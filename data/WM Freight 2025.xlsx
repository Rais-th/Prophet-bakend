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upplyChain\Supply Chain\"/>
    </mc:Choice>
  </mc:AlternateContent>
  <xr:revisionPtr revIDLastSave="0" documentId="13_ncr:1_{24346F0D-7331-4517-AA65-9672A60D0224}" xr6:coauthVersionLast="47" xr6:coauthVersionMax="47" xr10:uidLastSave="{00000000-0000-0000-0000-000000000000}"/>
  <bookViews>
    <workbookView xWindow="-103" yWindow="-103" windowWidth="29692" windowHeight="11829" firstSheet="1" activeTab="11" xr2:uid="{CA8FB1EB-E299-49A7-9E5B-4BFC4E21F235}"/>
  </bookViews>
  <sheets>
    <sheet name="Jan 2025" sheetId="1" r:id="rId1"/>
    <sheet name="Feb 2025" sheetId="2" r:id="rId2"/>
    <sheet name="March 2025" sheetId="3" r:id="rId3"/>
    <sheet name="April 2025" sheetId="4" r:id="rId4"/>
    <sheet name="May 2025" sheetId="5" r:id="rId5"/>
    <sheet name="June 2025" sheetId="6" r:id="rId6"/>
    <sheet name="July 2025" sheetId="7" r:id="rId7"/>
    <sheet name="Aug 2025" sheetId="8" r:id="rId8"/>
    <sheet name="Sept 2025" sheetId="9" r:id="rId9"/>
    <sheet name="Oct 2025" sheetId="10" r:id="rId10"/>
    <sheet name="Nov 2025" sheetId="11" r:id="rId11"/>
    <sheet name="Dec 2025" sheetId="12" r:id="rId12"/>
    <sheet name="Sheet1" sheetId="14" r:id="rId13"/>
    <sheet name="Sheet2" sheetId="15" r:id="rId14"/>
    <sheet name="Full Year" sheetId="13" r:id="rId15"/>
  </sheets>
  <definedNames>
    <definedName name="_xlnm._FilterDatabase" localSheetId="14" hidden="1">'Full Year'!$A$1:$M$345</definedName>
    <definedName name="_xlnm._FilterDatabase" localSheetId="0" hidden="1">'Jan 2025'!$A$1:$I$110</definedName>
  </definedNames>
  <calcPr calcId="191029"/>
  <pivotCaches>
    <pivotCache cacheId="0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49" i="13" l="1"/>
  <c r="L549" i="13"/>
  <c r="K550" i="13"/>
  <c r="L550" i="13"/>
  <c r="K551" i="13"/>
  <c r="L551" i="13"/>
  <c r="K552" i="13"/>
  <c r="L552" i="13"/>
  <c r="K553" i="13"/>
  <c r="L553" i="13"/>
  <c r="K554" i="13"/>
  <c r="L554" i="13"/>
  <c r="K555" i="13"/>
  <c r="L555" i="13"/>
  <c r="K556" i="13"/>
  <c r="L556" i="13"/>
  <c r="K557" i="13"/>
  <c r="L557" i="13"/>
  <c r="K558" i="13"/>
  <c r="L558" i="13"/>
  <c r="K559" i="13"/>
  <c r="L559" i="13"/>
  <c r="K560" i="13"/>
  <c r="L560" i="13"/>
  <c r="K561" i="13"/>
  <c r="L561" i="13"/>
  <c r="K562" i="13"/>
  <c r="L562" i="13"/>
  <c r="K563" i="13"/>
  <c r="L563" i="13"/>
  <c r="K564" i="13"/>
  <c r="L564" i="13"/>
  <c r="K565" i="13"/>
  <c r="L565" i="13"/>
  <c r="K566" i="13"/>
  <c r="L566" i="13"/>
  <c r="K567" i="13"/>
  <c r="L567" i="13"/>
  <c r="K568" i="13"/>
  <c r="L568" i="13"/>
  <c r="K569" i="13"/>
  <c r="L569" i="13"/>
  <c r="K570" i="13"/>
  <c r="L570" i="13"/>
  <c r="K571" i="13"/>
  <c r="L571" i="13"/>
  <c r="K572" i="13"/>
  <c r="L572" i="13"/>
  <c r="K573" i="13"/>
  <c r="L573" i="13"/>
  <c r="K574" i="13"/>
  <c r="L574" i="13"/>
  <c r="K575" i="13"/>
  <c r="L575" i="13"/>
  <c r="K576" i="13"/>
  <c r="L576" i="13"/>
  <c r="K577" i="13"/>
  <c r="L577" i="13"/>
  <c r="K578" i="13"/>
  <c r="L578" i="13"/>
  <c r="K579" i="13"/>
  <c r="L579" i="13"/>
  <c r="K580" i="13"/>
  <c r="L580" i="13"/>
  <c r="K581" i="13"/>
  <c r="L581" i="13"/>
  <c r="K582" i="13"/>
  <c r="L582" i="13"/>
  <c r="K583" i="13"/>
  <c r="L583" i="13"/>
  <c r="K584" i="13"/>
  <c r="L584" i="13"/>
  <c r="K585" i="13"/>
  <c r="L585" i="13"/>
  <c r="K586" i="13"/>
  <c r="L586" i="13"/>
  <c r="K587" i="13"/>
  <c r="L587" i="13"/>
  <c r="K588" i="13"/>
  <c r="L588" i="13"/>
  <c r="K589" i="13"/>
  <c r="L589" i="13"/>
  <c r="K590" i="13"/>
  <c r="L590" i="13"/>
  <c r="K591" i="13"/>
  <c r="L591" i="13"/>
  <c r="K592" i="13"/>
  <c r="L592" i="13"/>
  <c r="K593" i="13"/>
  <c r="L593" i="13"/>
  <c r="K594" i="13"/>
  <c r="L594" i="13"/>
  <c r="E549" i="13"/>
  <c r="F549" i="13" s="1"/>
  <c r="E550" i="13"/>
  <c r="F550" i="13" s="1"/>
  <c r="E551" i="13"/>
  <c r="F551" i="13" s="1"/>
  <c r="E552" i="13"/>
  <c r="F552" i="13"/>
  <c r="E553" i="13"/>
  <c r="F553" i="13" s="1"/>
  <c r="E554" i="13"/>
  <c r="F554" i="13" s="1"/>
  <c r="E555" i="13"/>
  <c r="F555" i="13" s="1"/>
  <c r="E556" i="13"/>
  <c r="F556" i="13"/>
  <c r="E557" i="13"/>
  <c r="F557" i="13" s="1"/>
  <c r="E558" i="13"/>
  <c r="F558" i="13" s="1"/>
  <c r="E559" i="13"/>
  <c r="F559" i="13" s="1"/>
  <c r="E560" i="13"/>
  <c r="F560" i="13"/>
  <c r="E561" i="13"/>
  <c r="F561" i="13" s="1"/>
  <c r="E562" i="13"/>
  <c r="F562" i="13" s="1"/>
  <c r="E563" i="13"/>
  <c r="F563" i="13" s="1"/>
  <c r="E564" i="13"/>
  <c r="F564" i="13"/>
  <c r="E565" i="13"/>
  <c r="F565" i="13" s="1"/>
  <c r="E566" i="13"/>
  <c r="F566" i="13" s="1"/>
  <c r="E567" i="13"/>
  <c r="F567" i="13" s="1"/>
  <c r="E568" i="13"/>
  <c r="F568" i="13"/>
  <c r="E569" i="13"/>
  <c r="F569" i="13" s="1"/>
  <c r="E570" i="13"/>
  <c r="F570" i="13" s="1"/>
  <c r="E571" i="13"/>
  <c r="F571" i="13" s="1"/>
  <c r="E572" i="13"/>
  <c r="F572" i="13"/>
  <c r="E573" i="13"/>
  <c r="F573" i="13" s="1"/>
  <c r="E574" i="13"/>
  <c r="F574" i="13" s="1"/>
  <c r="E575" i="13"/>
  <c r="F575" i="13" s="1"/>
  <c r="E576" i="13"/>
  <c r="F576" i="13"/>
  <c r="E577" i="13"/>
  <c r="F577" i="13" s="1"/>
  <c r="E578" i="13"/>
  <c r="F578" i="13" s="1"/>
  <c r="E579" i="13"/>
  <c r="F579" i="13" s="1"/>
  <c r="E580" i="13"/>
  <c r="F580" i="13"/>
  <c r="E581" i="13"/>
  <c r="F581" i="13" s="1"/>
  <c r="E582" i="13"/>
  <c r="F582" i="13" s="1"/>
  <c r="E583" i="13"/>
  <c r="F583" i="13" s="1"/>
  <c r="E584" i="13"/>
  <c r="F584" i="13"/>
  <c r="E585" i="13"/>
  <c r="F585" i="13" s="1"/>
  <c r="E586" i="13"/>
  <c r="F586" i="13" s="1"/>
  <c r="E587" i="13"/>
  <c r="F587" i="13" s="1"/>
  <c r="E588" i="13"/>
  <c r="F588" i="13"/>
  <c r="E589" i="13"/>
  <c r="F589" i="13" s="1"/>
  <c r="E590" i="13"/>
  <c r="F590" i="13" s="1"/>
  <c r="E591" i="13"/>
  <c r="F591" i="13" s="1"/>
  <c r="E592" i="13"/>
  <c r="F592" i="13"/>
  <c r="E593" i="13"/>
  <c r="F593" i="13" s="1"/>
  <c r="E594" i="13"/>
  <c r="F594" i="13" s="1"/>
  <c r="K453" i="13"/>
  <c r="L453" i="13"/>
  <c r="K454" i="13"/>
  <c r="L454" i="13"/>
  <c r="K455" i="13"/>
  <c r="L455" i="13"/>
  <c r="K456" i="13"/>
  <c r="L456" i="13"/>
  <c r="K457" i="13"/>
  <c r="L457" i="13"/>
  <c r="K458" i="13"/>
  <c r="L458" i="13"/>
  <c r="K459" i="13"/>
  <c r="L459" i="13"/>
  <c r="K460" i="13"/>
  <c r="L460" i="13"/>
  <c r="K461" i="13"/>
  <c r="L461" i="13"/>
  <c r="K462" i="13"/>
  <c r="L462" i="13"/>
  <c r="K463" i="13"/>
  <c r="L463" i="13"/>
  <c r="K464" i="13"/>
  <c r="L464" i="13"/>
  <c r="K465" i="13"/>
  <c r="L465" i="13"/>
  <c r="K466" i="13"/>
  <c r="L466" i="13"/>
  <c r="K467" i="13"/>
  <c r="L467" i="13"/>
  <c r="K468" i="13"/>
  <c r="L468" i="13"/>
  <c r="K469" i="13"/>
  <c r="L469" i="13"/>
  <c r="K470" i="13"/>
  <c r="L470" i="13"/>
  <c r="K471" i="13"/>
  <c r="L471" i="13"/>
  <c r="K472" i="13"/>
  <c r="L472" i="13"/>
  <c r="K473" i="13"/>
  <c r="L473" i="13"/>
  <c r="K474" i="13"/>
  <c r="L474" i="13"/>
  <c r="K475" i="13"/>
  <c r="L475" i="13"/>
  <c r="K476" i="13"/>
  <c r="L476" i="13"/>
  <c r="K477" i="13"/>
  <c r="L477" i="13"/>
  <c r="K478" i="13"/>
  <c r="L478" i="13"/>
  <c r="K479" i="13"/>
  <c r="L479" i="13"/>
  <c r="K480" i="13"/>
  <c r="L480" i="13"/>
  <c r="K481" i="13"/>
  <c r="L481" i="13"/>
  <c r="K482" i="13"/>
  <c r="L482" i="13"/>
  <c r="K483" i="13"/>
  <c r="L483" i="13"/>
  <c r="K484" i="13"/>
  <c r="L484" i="13"/>
  <c r="K485" i="13"/>
  <c r="L485" i="13"/>
  <c r="K486" i="13"/>
  <c r="L486" i="13"/>
  <c r="K487" i="13"/>
  <c r="L487" i="13"/>
  <c r="K488" i="13"/>
  <c r="L488" i="13"/>
  <c r="K489" i="13"/>
  <c r="L489" i="13"/>
  <c r="K490" i="13"/>
  <c r="L490" i="13"/>
  <c r="K491" i="13"/>
  <c r="L491" i="13"/>
  <c r="K492" i="13"/>
  <c r="L492" i="13"/>
  <c r="K493" i="13"/>
  <c r="L493" i="13"/>
  <c r="K494" i="13"/>
  <c r="L494" i="13"/>
  <c r="K495" i="13"/>
  <c r="L495" i="13"/>
  <c r="K496" i="13"/>
  <c r="L496" i="13"/>
  <c r="K497" i="13"/>
  <c r="L497" i="13"/>
  <c r="K498" i="13"/>
  <c r="L498" i="13"/>
  <c r="K499" i="13"/>
  <c r="L499" i="13"/>
  <c r="K500" i="13"/>
  <c r="L500" i="13"/>
  <c r="K501" i="13"/>
  <c r="L501" i="13"/>
  <c r="K502" i="13"/>
  <c r="L502" i="13"/>
  <c r="K503" i="13"/>
  <c r="L503" i="13"/>
  <c r="K504" i="13"/>
  <c r="L504" i="13"/>
  <c r="K505" i="13"/>
  <c r="L505" i="13"/>
  <c r="K506" i="13"/>
  <c r="L506" i="13"/>
  <c r="K507" i="13"/>
  <c r="L507" i="13"/>
  <c r="K508" i="13"/>
  <c r="L508" i="13"/>
  <c r="K509" i="13"/>
  <c r="L509" i="13"/>
  <c r="K510" i="13"/>
  <c r="L510" i="13"/>
  <c r="K511" i="13"/>
  <c r="L511" i="13"/>
  <c r="K512" i="13"/>
  <c r="L512" i="13"/>
  <c r="K513" i="13"/>
  <c r="L513" i="13"/>
  <c r="K514" i="13"/>
  <c r="L514" i="13"/>
  <c r="K515" i="13"/>
  <c r="L515" i="13"/>
  <c r="K516" i="13"/>
  <c r="L516" i="13"/>
  <c r="K517" i="13"/>
  <c r="L517" i="13"/>
  <c r="K518" i="13"/>
  <c r="L518" i="13"/>
  <c r="K519" i="13"/>
  <c r="L519" i="13"/>
  <c r="K520" i="13"/>
  <c r="L520" i="13"/>
  <c r="K521" i="13"/>
  <c r="L521" i="13"/>
  <c r="K522" i="13"/>
  <c r="L522" i="13"/>
  <c r="K523" i="13"/>
  <c r="L523" i="13"/>
  <c r="K524" i="13"/>
  <c r="L524" i="13"/>
  <c r="K525" i="13"/>
  <c r="L525" i="13"/>
  <c r="K526" i="13"/>
  <c r="L526" i="13"/>
  <c r="K527" i="13"/>
  <c r="L527" i="13"/>
  <c r="K528" i="13"/>
  <c r="L528" i="13"/>
  <c r="K529" i="13"/>
  <c r="L529" i="13"/>
  <c r="K530" i="13"/>
  <c r="L530" i="13"/>
  <c r="K531" i="13"/>
  <c r="L531" i="13"/>
  <c r="K532" i="13"/>
  <c r="L532" i="13"/>
  <c r="K533" i="13"/>
  <c r="L533" i="13"/>
  <c r="K534" i="13"/>
  <c r="L534" i="13"/>
  <c r="K535" i="13"/>
  <c r="L535" i="13"/>
  <c r="K536" i="13"/>
  <c r="L536" i="13"/>
  <c r="K537" i="13"/>
  <c r="L537" i="13"/>
  <c r="K538" i="13"/>
  <c r="L538" i="13"/>
  <c r="K539" i="13"/>
  <c r="L539" i="13"/>
  <c r="K540" i="13"/>
  <c r="L540" i="13"/>
  <c r="K541" i="13"/>
  <c r="L541" i="13"/>
  <c r="K542" i="13"/>
  <c r="L542" i="13"/>
  <c r="K543" i="13"/>
  <c r="L543" i="13"/>
  <c r="K544" i="13"/>
  <c r="L544" i="13"/>
  <c r="K545" i="13"/>
  <c r="L545" i="13"/>
  <c r="K546" i="13"/>
  <c r="L546" i="13"/>
  <c r="K547" i="13"/>
  <c r="L547" i="13"/>
  <c r="K548" i="13"/>
  <c r="L548" i="13"/>
  <c r="E453" i="13"/>
  <c r="F453" i="13" s="1"/>
  <c r="E454" i="13"/>
  <c r="F454" i="13"/>
  <c r="E455" i="13"/>
  <c r="F455" i="13"/>
  <c r="E456" i="13"/>
  <c r="F456" i="13"/>
  <c r="E457" i="13"/>
  <c r="F457" i="13" s="1"/>
  <c r="E458" i="13"/>
  <c r="F458" i="13"/>
  <c r="E459" i="13"/>
  <c r="F459" i="13"/>
  <c r="E460" i="13"/>
  <c r="F460" i="13"/>
  <c r="E461" i="13"/>
  <c r="F461" i="13" s="1"/>
  <c r="E462" i="13"/>
  <c r="F462" i="13"/>
  <c r="E463" i="13"/>
  <c r="F463" i="13"/>
  <c r="E464" i="13"/>
  <c r="F464" i="13"/>
  <c r="E465" i="13"/>
  <c r="F465" i="13" s="1"/>
  <c r="E466" i="13"/>
  <c r="F466" i="13"/>
  <c r="E467" i="13"/>
  <c r="F467" i="13"/>
  <c r="E468" i="13"/>
  <c r="F468" i="13"/>
  <c r="E469" i="13"/>
  <c r="F469" i="13" s="1"/>
  <c r="E470" i="13"/>
  <c r="F470" i="13"/>
  <c r="E471" i="13"/>
  <c r="F471" i="13"/>
  <c r="E472" i="13"/>
  <c r="F472" i="13"/>
  <c r="E473" i="13"/>
  <c r="F473" i="13" s="1"/>
  <c r="E474" i="13"/>
  <c r="F474" i="13"/>
  <c r="E475" i="13"/>
  <c r="F475" i="13"/>
  <c r="E476" i="13"/>
  <c r="F476" i="13"/>
  <c r="E477" i="13"/>
  <c r="F477" i="13" s="1"/>
  <c r="E478" i="13"/>
  <c r="F478" i="13"/>
  <c r="E479" i="13"/>
  <c r="F479" i="13"/>
  <c r="E480" i="13"/>
  <c r="F480" i="13"/>
  <c r="E481" i="13"/>
  <c r="F481" i="13" s="1"/>
  <c r="E482" i="13"/>
  <c r="F482" i="13"/>
  <c r="E483" i="13"/>
  <c r="F483" i="13"/>
  <c r="E484" i="13"/>
  <c r="F484" i="13"/>
  <c r="E485" i="13"/>
  <c r="F485" i="13" s="1"/>
  <c r="E486" i="13"/>
  <c r="F486" i="13"/>
  <c r="E487" i="13"/>
  <c r="F487" i="13"/>
  <c r="E488" i="13"/>
  <c r="F488" i="13"/>
  <c r="E489" i="13"/>
  <c r="F489" i="13" s="1"/>
  <c r="E490" i="13"/>
  <c r="F490" i="13"/>
  <c r="E491" i="13"/>
  <c r="F491" i="13"/>
  <c r="E492" i="13"/>
  <c r="F492" i="13"/>
  <c r="E493" i="13"/>
  <c r="F493" i="13" s="1"/>
  <c r="E494" i="13"/>
  <c r="F494" i="13"/>
  <c r="E495" i="13"/>
  <c r="F495" i="13"/>
  <c r="E496" i="13"/>
  <c r="F496" i="13"/>
  <c r="E497" i="13"/>
  <c r="F497" i="13" s="1"/>
  <c r="E498" i="13"/>
  <c r="F498" i="13"/>
  <c r="E499" i="13"/>
  <c r="F499" i="13"/>
  <c r="E500" i="13"/>
  <c r="F500" i="13"/>
  <c r="E501" i="13"/>
  <c r="F501" i="13" s="1"/>
  <c r="E502" i="13"/>
  <c r="F502" i="13"/>
  <c r="E503" i="13"/>
  <c r="F503" i="13"/>
  <c r="E504" i="13"/>
  <c r="F504" i="13"/>
  <c r="E505" i="13"/>
  <c r="F505" i="13" s="1"/>
  <c r="E506" i="13"/>
  <c r="F506" i="13"/>
  <c r="E507" i="13"/>
  <c r="F507" i="13"/>
  <c r="E508" i="13"/>
  <c r="F508" i="13"/>
  <c r="E509" i="13"/>
  <c r="F509" i="13" s="1"/>
  <c r="E510" i="13"/>
  <c r="F510" i="13"/>
  <c r="E511" i="13"/>
  <c r="F511" i="13"/>
  <c r="E512" i="13"/>
  <c r="F512" i="13"/>
  <c r="E513" i="13"/>
  <c r="F513" i="13" s="1"/>
  <c r="E514" i="13"/>
  <c r="F514" i="13"/>
  <c r="E515" i="13"/>
  <c r="F515" i="13"/>
  <c r="E516" i="13"/>
  <c r="F516" i="13"/>
  <c r="E517" i="13"/>
  <c r="F517" i="13" s="1"/>
  <c r="E518" i="13"/>
  <c r="F518" i="13"/>
  <c r="E519" i="13"/>
  <c r="F519" i="13"/>
  <c r="E520" i="13"/>
  <c r="F520" i="13"/>
  <c r="E521" i="13"/>
  <c r="F521" i="13" s="1"/>
  <c r="E522" i="13"/>
  <c r="F522" i="13"/>
  <c r="E523" i="13"/>
  <c r="F523" i="13"/>
  <c r="E524" i="13"/>
  <c r="F524" i="13"/>
  <c r="E525" i="13"/>
  <c r="F525" i="13" s="1"/>
  <c r="E526" i="13"/>
  <c r="F526" i="13"/>
  <c r="E527" i="13"/>
  <c r="F527" i="13"/>
  <c r="E528" i="13"/>
  <c r="F528" i="13"/>
  <c r="E529" i="13"/>
  <c r="F529" i="13" s="1"/>
  <c r="E530" i="13"/>
  <c r="F530" i="13"/>
  <c r="E531" i="13"/>
  <c r="F531" i="13"/>
  <c r="E532" i="13"/>
  <c r="F532" i="13"/>
  <c r="E533" i="13"/>
  <c r="F533" i="13" s="1"/>
  <c r="E534" i="13"/>
  <c r="F534" i="13"/>
  <c r="E535" i="13"/>
  <c r="F535" i="13"/>
  <c r="E536" i="13"/>
  <c r="F536" i="13"/>
  <c r="E537" i="13"/>
  <c r="F537" i="13" s="1"/>
  <c r="E538" i="13"/>
  <c r="F538" i="13"/>
  <c r="E539" i="13"/>
  <c r="F539" i="13"/>
  <c r="E540" i="13"/>
  <c r="F540" i="13"/>
  <c r="E541" i="13"/>
  <c r="F541" i="13" s="1"/>
  <c r="E542" i="13"/>
  <c r="F542" i="13"/>
  <c r="E543" i="13"/>
  <c r="F543" i="13"/>
  <c r="E544" i="13"/>
  <c r="F544" i="13"/>
  <c r="E545" i="13"/>
  <c r="F545" i="13" s="1"/>
  <c r="E546" i="13"/>
  <c r="F546" i="13"/>
  <c r="E547" i="13"/>
  <c r="F547" i="13"/>
  <c r="E548" i="13"/>
  <c r="F548" i="13"/>
  <c r="K344" i="13"/>
  <c r="L344" i="13"/>
  <c r="K345" i="13"/>
  <c r="L345" i="13"/>
  <c r="K346" i="13"/>
  <c r="L346" i="13"/>
  <c r="K347" i="13"/>
  <c r="L347" i="13"/>
  <c r="K348" i="13"/>
  <c r="L348" i="13"/>
  <c r="K349" i="13"/>
  <c r="L349" i="13"/>
  <c r="K350" i="13"/>
  <c r="L350" i="13"/>
  <c r="K351" i="13"/>
  <c r="L351" i="13"/>
  <c r="K352" i="13"/>
  <c r="L352" i="13"/>
  <c r="K353" i="13"/>
  <c r="L353" i="13"/>
  <c r="K354" i="13"/>
  <c r="L354" i="13"/>
  <c r="K355" i="13"/>
  <c r="L355" i="13"/>
  <c r="K356" i="13"/>
  <c r="L356" i="13"/>
  <c r="K357" i="13"/>
  <c r="L357" i="13"/>
  <c r="K358" i="13"/>
  <c r="L358" i="13"/>
  <c r="K359" i="13"/>
  <c r="L359" i="13"/>
  <c r="K360" i="13"/>
  <c r="L360" i="13"/>
  <c r="K361" i="13"/>
  <c r="L361" i="13"/>
  <c r="K362" i="13"/>
  <c r="L362" i="13"/>
  <c r="K363" i="13"/>
  <c r="L363" i="13"/>
  <c r="K364" i="13"/>
  <c r="L364" i="13"/>
  <c r="K365" i="13"/>
  <c r="L365" i="13"/>
  <c r="K366" i="13"/>
  <c r="L366" i="13"/>
  <c r="K367" i="13"/>
  <c r="L367" i="13"/>
  <c r="K368" i="13"/>
  <c r="L368" i="13"/>
  <c r="K369" i="13"/>
  <c r="L369" i="13"/>
  <c r="K370" i="13"/>
  <c r="L370" i="13"/>
  <c r="K371" i="13"/>
  <c r="L371" i="13"/>
  <c r="K372" i="13"/>
  <c r="L372" i="13"/>
  <c r="K373" i="13"/>
  <c r="L373" i="13"/>
  <c r="K374" i="13"/>
  <c r="L374" i="13"/>
  <c r="K375" i="13"/>
  <c r="L375" i="13"/>
  <c r="K376" i="13"/>
  <c r="L376" i="13"/>
  <c r="K377" i="13"/>
  <c r="L377" i="13"/>
  <c r="K378" i="13"/>
  <c r="L378" i="13"/>
  <c r="K379" i="13"/>
  <c r="L379" i="13"/>
  <c r="K380" i="13"/>
  <c r="L380" i="13"/>
  <c r="K381" i="13"/>
  <c r="L381" i="13"/>
  <c r="K382" i="13"/>
  <c r="L382" i="13"/>
  <c r="K383" i="13"/>
  <c r="L383" i="13"/>
  <c r="K384" i="13"/>
  <c r="L384" i="13"/>
  <c r="K385" i="13"/>
  <c r="L385" i="13"/>
  <c r="K386" i="13"/>
  <c r="L386" i="13"/>
  <c r="K387" i="13"/>
  <c r="L387" i="13"/>
  <c r="K388" i="13"/>
  <c r="L388" i="13"/>
  <c r="K389" i="13"/>
  <c r="L389" i="13"/>
  <c r="K390" i="13"/>
  <c r="L390" i="13"/>
  <c r="K391" i="13"/>
  <c r="L391" i="13"/>
  <c r="K392" i="13"/>
  <c r="L392" i="13"/>
  <c r="K393" i="13"/>
  <c r="L393" i="13"/>
  <c r="K394" i="13"/>
  <c r="L394" i="13"/>
  <c r="K395" i="13"/>
  <c r="L395" i="13"/>
  <c r="K396" i="13"/>
  <c r="L396" i="13"/>
  <c r="K397" i="13"/>
  <c r="L397" i="13"/>
  <c r="K398" i="13"/>
  <c r="L398" i="13"/>
  <c r="K399" i="13"/>
  <c r="L399" i="13"/>
  <c r="K400" i="13"/>
  <c r="L400" i="13"/>
  <c r="K401" i="13"/>
  <c r="L401" i="13"/>
  <c r="K402" i="13"/>
  <c r="L402" i="13"/>
  <c r="K403" i="13"/>
  <c r="L403" i="13"/>
  <c r="K404" i="13"/>
  <c r="L404" i="13"/>
  <c r="K405" i="13"/>
  <c r="L405" i="13"/>
  <c r="K406" i="13"/>
  <c r="L406" i="13"/>
  <c r="K407" i="13"/>
  <c r="L407" i="13"/>
  <c r="K408" i="13"/>
  <c r="L408" i="13"/>
  <c r="K409" i="13"/>
  <c r="L409" i="13"/>
  <c r="K410" i="13"/>
  <c r="L410" i="13"/>
  <c r="K411" i="13"/>
  <c r="L411" i="13"/>
  <c r="K412" i="13"/>
  <c r="L412" i="13"/>
  <c r="K413" i="13"/>
  <c r="L413" i="13"/>
  <c r="K414" i="13"/>
  <c r="L414" i="13"/>
  <c r="K415" i="13"/>
  <c r="L415" i="13"/>
  <c r="K416" i="13"/>
  <c r="L416" i="13"/>
  <c r="K417" i="13"/>
  <c r="L417" i="13"/>
  <c r="K418" i="13"/>
  <c r="L418" i="13"/>
  <c r="K419" i="13"/>
  <c r="L419" i="13"/>
  <c r="K420" i="13"/>
  <c r="L420" i="13"/>
  <c r="K421" i="13"/>
  <c r="L421" i="13"/>
  <c r="K422" i="13"/>
  <c r="L422" i="13"/>
  <c r="K423" i="13"/>
  <c r="L423" i="13"/>
  <c r="K424" i="13"/>
  <c r="L424" i="13"/>
  <c r="K425" i="13"/>
  <c r="L425" i="13"/>
  <c r="K426" i="13"/>
  <c r="L426" i="13"/>
  <c r="K427" i="13"/>
  <c r="L427" i="13"/>
  <c r="K428" i="13"/>
  <c r="L428" i="13"/>
  <c r="K429" i="13"/>
  <c r="L429" i="13"/>
  <c r="K430" i="13"/>
  <c r="L430" i="13"/>
  <c r="K431" i="13"/>
  <c r="L431" i="13"/>
  <c r="K432" i="13"/>
  <c r="L432" i="13"/>
  <c r="K433" i="13"/>
  <c r="L433" i="13"/>
  <c r="K434" i="13"/>
  <c r="L434" i="13"/>
  <c r="K435" i="13"/>
  <c r="L435" i="13"/>
  <c r="K436" i="13"/>
  <c r="L436" i="13"/>
  <c r="K437" i="13"/>
  <c r="L437" i="13"/>
  <c r="K438" i="13"/>
  <c r="L438" i="13"/>
  <c r="K439" i="13"/>
  <c r="L439" i="13"/>
  <c r="K440" i="13"/>
  <c r="L440" i="13"/>
  <c r="K441" i="13"/>
  <c r="L441" i="13"/>
  <c r="K442" i="13"/>
  <c r="L442" i="13"/>
  <c r="K443" i="13"/>
  <c r="L443" i="13"/>
  <c r="K444" i="13"/>
  <c r="L444" i="13"/>
  <c r="K445" i="13"/>
  <c r="L445" i="13"/>
  <c r="K446" i="13"/>
  <c r="L446" i="13"/>
  <c r="K447" i="13"/>
  <c r="L447" i="13"/>
  <c r="K448" i="13"/>
  <c r="L448" i="13"/>
  <c r="K449" i="13"/>
  <c r="L449" i="13"/>
  <c r="K450" i="13"/>
  <c r="L450" i="13"/>
  <c r="K451" i="13"/>
  <c r="L451" i="13"/>
  <c r="K452" i="13"/>
  <c r="L452" i="13"/>
  <c r="E345" i="13"/>
  <c r="F345" i="13" s="1"/>
  <c r="E346" i="13"/>
  <c r="F346" i="13" s="1"/>
  <c r="E347" i="13"/>
  <c r="F347" i="13" s="1"/>
  <c r="E348" i="13"/>
  <c r="F348" i="13"/>
  <c r="E349" i="13"/>
  <c r="F349" i="13" s="1"/>
  <c r="E350" i="13"/>
  <c r="F350" i="13" s="1"/>
  <c r="E351" i="13"/>
  <c r="F351" i="13" s="1"/>
  <c r="E352" i="13"/>
  <c r="F352" i="13"/>
  <c r="E353" i="13"/>
  <c r="F353" i="13" s="1"/>
  <c r="E354" i="13"/>
  <c r="F354" i="13" s="1"/>
  <c r="E355" i="13"/>
  <c r="F355" i="13" s="1"/>
  <c r="E356" i="13"/>
  <c r="F356" i="13"/>
  <c r="E357" i="13"/>
  <c r="F357" i="13" s="1"/>
  <c r="E358" i="13"/>
  <c r="F358" i="13" s="1"/>
  <c r="E359" i="13"/>
  <c r="F359" i="13" s="1"/>
  <c r="E360" i="13"/>
  <c r="F360" i="13"/>
  <c r="E361" i="13"/>
  <c r="F361" i="13" s="1"/>
  <c r="E362" i="13"/>
  <c r="F362" i="13" s="1"/>
  <c r="E363" i="13"/>
  <c r="F363" i="13" s="1"/>
  <c r="E364" i="13"/>
  <c r="F364" i="13"/>
  <c r="E365" i="13"/>
  <c r="F365" i="13" s="1"/>
  <c r="E366" i="13"/>
  <c r="F366" i="13" s="1"/>
  <c r="E367" i="13"/>
  <c r="F367" i="13" s="1"/>
  <c r="E368" i="13"/>
  <c r="F368" i="13"/>
  <c r="E369" i="13"/>
  <c r="F369" i="13" s="1"/>
  <c r="E370" i="13"/>
  <c r="F370" i="13" s="1"/>
  <c r="E371" i="13"/>
  <c r="F371" i="13" s="1"/>
  <c r="E372" i="13"/>
  <c r="F372" i="13"/>
  <c r="E373" i="13"/>
  <c r="F373" i="13" s="1"/>
  <c r="E374" i="13"/>
  <c r="F374" i="13" s="1"/>
  <c r="E375" i="13"/>
  <c r="F375" i="13" s="1"/>
  <c r="E376" i="13"/>
  <c r="F376" i="13"/>
  <c r="E377" i="13"/>
  <c r="F377" i="13" s="1"/>
  <c r="E378" i="13"/>
  <c r="F378" i="13" s="1"/>
  <c r="E379" i="13"/>
  <c r="F379" i="13" s="1"/>
  <c r="E380" i="13"/>
  <c r="F380" i="13"/>
  <c r="E381" i="13"/>
  <c r="F381" i="13" s="1"/>
  <c r="E382" i="13"/>
  <c r="F382" i="13" s="1"/>
  <c r="E383" i="13"/>
  <c r="F383" i="13" s="1"/>
  <c r="E384" i="13"/>
  <c r="F384" i="13"/>
  <c r="E385" i="13"/>
  <c r="F385" i="13" s="1"/>
  <c r="E386" i="13"/>
  <c r="F386" i="13" s="1"/>
  <c r="E387" i="13"/>
  <c r="F387" i="13" s="1"/>
  <c r="E388" i="13"/>
  <c r="F388" i="13"/>
  <c r="E389" i="13"/>
  <c r="F389" i="13" s="1"/>
  <c r="E390" i="13"/>
  <c r="F390" i="13" s="1"/>
  <c r="E391" i="13"/>
  <c r="F391" i="13" s="1"/>
  <c r="E392" i="13"/>
  <c r="F392" i="13"/>
  <c r="E393" i="13"/>
  <c r="F393" i="13" s="1"/>
  <c r="E394" i="13"/>
  <c r="F394" i="13" s="1"/>
  <c r="E395" i="13"/>
  <c r="F395" i="13" s="1"/>
  <c r="E396" i="13"/>
  <c r="F396" i="13"/>
  <c r="E397" i="13"/>
  <c r="F397" i="13" s="1"/>
  <c r="E398" i="13"/>
  <c r="F398" i="13" s="1"/>
  <c r="E399" i="13"/>
  <c r="F399" i="13" s="1"/>
  <c r="E400" i="13"/>
  <c r="F400" i="13"/>
  <c r="E401" i="13"/>
  <c r="F401" i="13" s="1"/>
  <c r="E402" i="13"/>
  <c r="F402" i="13" s="1"/>
  <c r="E403" i="13"/>
  <c r="F403" i="13" s="1"/>
  <c r="E404" i="13"/>
  <c r="F404" i="13"/>
  <c r="E405" i="13"/>
  <c r="F405" i="13" s="1"/>
  <c r="E406" i="13"/>
  <c r="F406" i="13" s="1"/>
  <c r="E407" i="13"/>
  <c r="F407" i="13" s="1"/>
  <c r="E408" i="13"/>
  <c r="F408" i="13"/>
  <c r="E409" i="13"/>
  <c r="F409" i="13" s="1"/>
  <c r="E410" i="13"/>
  <c r="F410" i="13" s="1"/>
  <c r="E411" i="13"/>
  <c r="F411" i="13" s="1"/>
  <c r="E412" i="13"/>
  <c r="F412" i="13"/>
  <c r="E413" i="13"/>
  <c r="F413" i="13" s="1"/>
  <c r="E414" i="13"/>
  <c r="F414" i="13" s="1"/>
  <c r="E415" i="13"/>
  <c r="F415" i="13" s="1"/>
  <c r="E416" i="13"/>
  <c r="F416" i="13"/>
  <c r="E417" i="13"/>
  <c r="F417" i="13" s="1"/>
  <c r="E418" i="13"/>
  <c r="F418" i="13" s="1"/>
  <c r="E419" i="13"/>
  <c r="F419" i="13" s="1"/>
  <c r="E420" i="13"/>
  <c r="F420" i="13"/>
  <c r="E421" i="13"/>
  <c r="F421" i="13" s="1"/>
  <c r="E422" i="13"/>
  <c r="F422" i="13" s="1"/>
  <c r="E423" i="13"/>
  <c r="F423" i="13" s="1"/>
  <c r="E424" i="13"/>
  <c r="F424" i="13"/>
  <c r="E425" i="13"/>
  <c r="F425" i="13" s="1"/>
  <c r="E426" i="13"/>
  <c r="F426" i="13" s="1"/>
  <c r="E427" i="13"/>
  <c r="F427" i="13" s="1"/>
  <c r="E428" i="13"/>
  <c r="F428" i="13"/>
  <c r="E429" i="13"/>
  <c r="F429" i="13" s="1"/>
  <c r="E430" i="13"/>
  <c r="F430" i="13" s="1"/>
  <c r="E431" i="13"/>
  <c r="F431" i="13" s="1"/>
  <c r="E432" i="13"/>
  <c r="F432" i="13"/>
  <c r="E433" i="13"/>
  <c r="F433" i="13" s="1"/>
  <c r="E434" i="13"/>
  <c r="F434" i="13" s="1"/>
  <c r="E435" i="13"/>
  <c r="F435" i="13" s="1"/>
  <c r="E436" i="13"/>
  <c r="F436" i="13"/>
  <c r="E437" i="13"/>
  <c r="F437" i="13" s="1"/>
  <c r="E438" i="13"/>
  <c r="F438" i="13" s="1"/>
  <c r="E439" i="13"/>
  <c r="F439" i="13" s="1"/>
  <c r="E440" i="13"/>
  <c r="F440" i="13"/>
  <c r="E441" i="13"/>
  <c r="F441" i="13" s="1"/>
  <c r="E442" i="13"/>
  <c r="F442" i="13" s="1"/>
  <c r="E443" i="13"/>
  <c r="F443" i="13" s="1"/>
  <c r="E444" i="13"/>
  <c r="F444" i="13"/>
  <c r="E445" i="13"/>
  <c r="F445" i="13" s="1"/>
  <c r="E446" i="13"/>
  <c r="F446" i="13" s="1"/>
  <c r="E447" i="13"/>
  <c r="F447" i="13" s="1"/>
  <c r="E448" i="13"/>
  <c r="F448" i="13"/>
  <c r="E449" i="13"/>
  <c r="F449" i="13" s="1"/>
  <c r="E450" i="13"/>
  <c r="F450" i="13" s="1"/>
  <c r="E451" i="13"/>
  <c r="F451" i="13" s="1"/>
  <c r="E452" i="13"/>
  <c r="F452" i="13"/>
  <c r="E344" i="13"/>
  <c r="E342" i="13"/>
  <c r="E336" i="13"/>
  <c r="E330" i="13"/>
  <c r="E319" i="13"/>
  <c r="E317" i="13"/>
  <c r="F317" i="13" s="1"/>
  <c r="E301" i="13"/>
  <c r="E298" i="13"/>
  <c r="F298" i="13" s="1"/>
  <c r="E295" i="13"/>
  <c r="E291" i="13"/>
  <c r="E287" i="13"/>
  <c r="E281" i="13"/>
  <c r="E280" i="13"/>
  <c r="E279" i="13"/>
  <c r="F279" i="13" s="1"/>
  <c r="E278" i="13"/>
  <c r="E264" i="13"/>
  <c r="F264" i="13" s="1"/>
  <c r="E261" i="13"/>
  <c r="E257" i="13"/>
  <c r="E252" i="13"/>
  <c r="E251" i="13"/>
  <c r="E248" i="13"/>
  <c r="E242" i="13"/>
  <c r="F242" i="13" s="1"/>
  <c r="E241" i="13"/>
  <c r="E239" i="13"/>
  <c r="F239" i="13" s="1"/>
  <c r="E238" i="13"/>
  <c r="E229" i="13"/>
  <c r="E228" i="13"/>
  <c r="E227" i="13"/>
  <c r="E222" i="13"/>
  <c r="E221" i="13"/>
  <c r="F221" i="13" s="1"/>
  <c r="E215" i="13"/>
  <c r="F215" i="13" s="1"/>
  <c r="E206" i="13"/>
  <c r="F206" i="13" s="1"/>
  <c r="E192" i="13"/>
  <c r="E191" i="13"/>
  <c r="E189" i="13"/>
  <c r="E181" i="13"/>
  <c r="E178" i="13"/>
  <c r="E169" i="13"/>
  <c r="F169" i="13" s="1"/>
  <c r="E165" i="13"/>
  <c r="E164" i="13"/>
  <c r="F164" i="13" s="1"/>
  <c r="E156" i="13"/>
  <c r="E155" i="13"/>
  <c r="E154" i="13"/>
  <c r="E153" i="13"/>
  <c r="E150" i="13"/>
  <c r="E148" i="13"/>
  <c r="F148" i="13" s="1"/>
  <c r="E147" i="13"/>
  <c r="E144" i="13"/>
  <c r="F144" i="13" s="1"/>
  <c r="E140" i="13"/>
  <c r="E139" i="13"/>
  <c r="E134" i="13"/>
  <c r="E122" i="13"/>
  <c r="E121" i="13"/>
  <c r="E120" i="13"/>
  <c r="F120" i="13" s="1"/>
  <c r="E112" i="13"/>
  <c r="E108" i="13"/>
  <c r="F108" i="13" s="1"/>
  <c r="E101" i="13"/>
  <c r="E96" i="13"/>
  <c r="E95" i="13"/>
  <c r="E94" i="13"/>
  <c r="E87" i="13"/>
  <c r="F87" i="13" s="1"/>
  <c r="E86" i="13"/>
  <c r="F86" i="13" s="1"/>
  <c r="E85" i="13"/>
  <c r="F85" i="13" s="1"/>
  <c r="E84" i="13"/>
  <c r="F84" i="13" s="1"/>
  <c r="E75" i="13"/>
  <c r="E71" i="13"/>
  <c r="E49" i="13"/>
  <c r="E47" i="13"/>
  <c r="E46" i="13"/>
  <c r="F46" i="13" s="1"/>
  <c r="E44" i="13"/>
  <c r="F44" i="13" s="1"/>
  <c r="E43" i="13"/>
  <c r="F43" i="13" s="1"/>
  <c r="E35" i="13"/>
  <c r="F35" i="13" s="1"/>
  <c r="E34" i="13"/>
  <c r="F49" i="13"/>
  <c r="E2" i="13"/>
  <c r="F34" i="13"/>
  <c r="F47" i="13"/>
  <c r="F71" i="13"/>
  <c r="F75" i="13"/>
  <c r="F94" i="13"/>
  <c r="F95" i="13"/>
  <c r="F96" i="13"/>
  <c r="F101" i="13"/>
  <c r="F112" i="13"/>
  <c r="F121" i="13"/>
  <c r="F122" i="13"/>
  <c r="F134" i="13"/>
  <c r="F139" i="13"/>
  <c r="F140" i="13"/>
  <c r="F147" i="13"/>
  <c r="F150" i="13"/>
  <c r="F153" i="13"/>
  <c r="F154" i="13"/>
  <c r="F155" i="13"/>
  <c r="F156" i="13"/>
  <c r="F165" i="13"/>
  <c r="F178" i="13"/>
  <c r="F181" i="13"/>
  <c r="F189" i="13"/>
  <c r="F191" i="13"/>
  <c r="F192" i="13"/>
  <c r="F222" i="13"/>
  <c r="F227" i="13"/>
  <c r="F228" i="13"/>
  <c r="F229" i="13"/>
  <c r="F238" i="13"/>
  <c r="F241" i="13"/>
  <c r="F248" i="13"/>
  <c r="F251" i="13"/>
  <c r="F252" i="13"/>
  <c r="F257" i="13"/>
  <c r="F261" i="13"/>
  <c r="F278" i="13"/>
  <c r="F280" i="13"/>
  <c r="F281" i="13"/>
  <c r="F287" i="13"/>
  <c r="F291" i="13"/>
  <c r="F295" i="13"/>
  <c r="F301" i="13"/>
  <c r="F319" i="13"/>
  <c r="F330" i="13"/>
  <c r="F336" i="13"/>
  <c r="F342" i="13"/>
  <c r="F344" i="13"/>
  <c r="E4" i="13"/>
  <c r="E5" i="13"/>
  <c r="E6" i="13"/>
  <c r="E7" i="13"/>
  <c r="K7" i="13" s="1"/>
  <c r="E8" i="13"/>
  <c r="E9" i="13"/>
  <c r="E10" i="13"/>
  <c r="K10" i="13" s="1"/>
  <c r="E11" i="13"/>
  <c r="E12" i="13"/>
  <c r="E13" i="13"/>
  <c r="E14" i="13"/>
  <c r="E15" i="13"/>
  <c r="K15" i="13" s="1"/>
  <c r="E16" i="13"/>
  <c r="E17" i="13"/>
  <c r="E18" i="13"/>
  <c r="K18" i="13" s="1"/>
  <c r="E19" i="13"/>
  <c r="E20" i="13"/>
  <c r="E21" i="13"/>
  <c r="E22" i="13"/>
  <c r="E23" i="13"/>
  <c r="K23" i="13" s="1"/>
  <c r="E24" i="13"/>
  <c r="E25" i="13"/>
  <c r="E26" i="13"/>
  <c r="K26" i="13" s="1"/>
  <c r="E27" i="13"/>
  <c r="E28" i="13"/>
  <c r="E29" i="13"/>
  <c r="E30" i="13"/>
  <c r="E31" i="13"/>
  <c r="K31" i="13" s="1"/>
  <c r="E32" i="13"/>
  <c r="F32" i="13" s="1"/>
  <c r="L32" i="13" s="1"/>
  <c r="E33" i="13"/>
  <c r="E343" i="13"/>
  <c r="K343" i="13" s="1"/>
  <c r="E341" i="13"/>
  <c r="E340" i="13"/>
  <c r="E339" i="13"/>
  <c r="F339" i="13" s="1"/>
  <c r="L339" i="13" s="1"/>
  <c r="E338" i="13"/>
  <c r="F338" i="13" s="1"/>
  <c r="L338" i="13" s="1"/>
  <c r="E337" i="13"/>
  <c r="E335" i="13"/>
  <c r="K335" i="13" s="1"/>
  <c r="E334" i="13"/>
  <c r="E333" i="13"/>
  <c r="E332" i="13"/>
  <c r="E331" i="13"/>
  <c r="E329" i="13"/>
  <c r="E328" i="13"/>
  <c r="F328" i="13" s="1"/>
  <c r="L328" i="13" s="1"/>
  <c r="E327" i="13"/>
  <c r="K327" i="13" s="1"/>
  <c r="E326" i="13"/>
  <c r="E325" i="13"/>
  <c r="E324" i="13"/>
  <c r="F324" i="13" s="1"/>
  <c r="L324" i="13" s="1"/>
  <c r="E323" i="13"/>
  <c r="E322" i="13"/>
  <c r="K322" i="13" s="1"/>
  <c r="E321" i="13"/>
  <c r="E320" i="13"/>
  <c r="F320" i="13" s="1"/>
  <c r="L320" i="13" s="1"/>
  <c r="E318" i="13"/>
  <c r="E316" i="13"/>
  <c r="F316" i="13" s="1"/>
  <c r="L316" i="13" s="1"/>
  <c r="E315" i="13"/>
  <c r="F315" i="13" s="1"/>
  <c r="L315" i="13" s="1"/>
  <c r="E314" i="13"/>
  <c r="K314" i="13" s="1"/>
  <c r="E313" i="13"/>
  <c r="E312" i="13"/>
  <c r="E311" i="13"/>
  <c r="K311" i="13" s="1"/>
  <c r="E310" i="13"/>
  <c r="E309" i="13"/>
  <c r="E308" i="13"/>
  <c r="F308" i="13" s="1"/>
  <c r="L308" i="13" s="1"/>
  <c r="E307" i="13"/>
  <c r="F307" i="13" s="1"/>
  <c r="L307" i="13" s="1"/>
  <c r="E306" i="13"/>
  <c r="F306" i="13" s="1"/>
  <c r="L306" i="13" s="1"/>
  <c r="E305" i="13"/>
  <c r="E304" i="13"/>
  <c r="E303" i="13"/>
  <c r="K303" i="13" s="1"/>
  <c r="E302" i="13"/>
  <c r="E300" i="13"/>
  <c r="F300" i="13" s="1"/>
  <c r="L300" i="13" s="1"/>
  <c r="E299" i="13"/>
  <c r="F299" i="13" s="1"/>
  <c r="L299" i="13" s="1"/>
  <c r="E297" i="13"/>
  <c r="E296" i="13"/>
  <c r="F296" i="13" s="1"/>
  <c r="L296" i="13" s="1"/>
  <c r="E294" i="13"/>
  <c r="E293" i="13"/>
  <c r="E292" i="13"/>
  <c r="E290" i="13"/>
  <c r="F290" i="13" s="1"/>
  <c r="L290" i="13" s="1"/>
  <c r="E289" i="13"/>
  <c r="E288" i="13"/>
  <c r="F288" i="13" s="1"/>
  <c r="L288" i="13" s="1"/>
  <c r="E286" i="13"/>
  <c r="E285" i="13"/>
  <c r="E284" i="13"/>
  <c r="E283" i="13"/>
  <c r="E282" i="13"/>
  <c r="K282" i="13" s="1"/>
  <c r="E277" i="13"/>
  <c r="E276" i="13"/>
  <c r="E275" i="13"/>
  <c r="E274" i="13"/>
  <c r="K274" i="13" s="1"/>
  <c r="E273" i="13"/>
  <c r="E272" i="13"/>
  <c r="E271" i="13"/>
  <c r="K271" i="13" s="1"/>
  <c r="E270" i="13"/>
  <c r="E269" i="13"/>
  <c r="E268" i="13"/>
  <c r="F268" i="13" s="1"/>
  <c r="L268" i="13" s="1"/>
  <c r="E267" i="13"/>
  <c r="E266" i="13"/>
  <c r="K266" i="13" s="1"/>
  <c r="E265" i="13"/>
  <c r="E263" i="13"/>
  <c r="K263" i="13" s="1"/>
  <c r="E262" i="13"/>
  <c r="E260" i="13"/>
  <c r="E259" i="13"/>
  <c r="E258" i="13"/>
  <c r="K258" i="13" s="1"/>
  <c r="E256" i="13"/>
  <c r="F256" i="13" s="1"/>
  <c r="L256" i="13" s="1"/>
  <c r="E255" i="13"/>
  <c r="K255" i="13" s="1"/>
  <c r="E254" i="13"/>
  <c r="E253" i="13"/>
  <c r="E250" i="13"/>
  <c r="K250" i="13" s="1"/>
  <c r="E249" i="13"/>
  <c r="E247" i="13"/>
  <c r="K247" i="13" s="1"/>
  <c r="E246" i="13"/>
  <c r="E245" i="13"/>
  <c r="E244" i="13"/>
  <c r="E243" i="13"/>
  <c r="E240" i="13"/>
  <c r="E237" i="13"/>
  <c r="E236" i="13"/>
  <c r="E235" i="13"/>
  <c r="E234" i="13"/>
  <c r="K234" i="13" s="1"/>
  <c r="E233" i="13"/>
  <c r="E232" i="13"/>
  <c r="E231" i="13"/>
  <c r="K231" i="13" s="1"/>
  <c r="E230" i="13"/>
  <c r="E226" i="13"/>
  <c r="K226" i="13" s="1"/>
  <c r="E225" i="13"/>
  <c r="E224" i="13"/>
  <c r="E223" i="13"/>
  <c r="K223" i="13" s="1"/>
  <c r="E220" i="13"/>
  <c r="E219" i="13"/>
  <c r="E218" i="13"/>
  <c r="K218" i="13" s="1"/>
  <c r="E217" i="13"/>
  <c r="E216" i="13"/>
  <c r="E214" i="13"/>
  <c r="E213" i="13"/>
  <c r="E212" i="13"/>
  <c r="E211" i="13"/>
  <c r="E210" i="13"/>
  <c r="K210" i="13" s="1"/>
  <c r="E209" i="13"/>
  <c r="E208" i="13"/>
  <c r="E207" i="13"/>
  <c r="K207" i="13" s="1"/>
  <c r="E205" i="13"/>
  <c r="E204" i="13"/>
  <c r="F204" i="13" s="1"/>
  <c r="L204" i="13" s="1"/>
  <c r="E203" i="13"/>
  <c r="E202" i="13"/>
  <c r="K202" i="13" s="1"/>
  <c r="E201" i="13"/>
  <c r="E200" i="13"/>
  <c r="F200" i="13" s="1"/>
  <c r="L200" i="13" s="1"/>
  <c r="E199" i="13"/>
  <c r="K199" i="13" s="1"/>
  <c r="E198" i="13"/>
  <c r="E197" i="13"/>
  <c r="E196" i="13"/>
  <c r="E195" i="13"/>
  <c r="E194" i="13"/>
  <c r="K194" i="13" s="1"/>
  <c r="E193" i="13"/>
  <c r="E190" i="13"/>
  <c r="E188" i="13"/>
  <c r="E187" i="13"/>
  <c r="E186" i="13"/>
  <c r="K186" i="13" s="1"/>
  <c r="E185" i="13"/>
  <c r="E184" i="13"/>
  <c r="F184" i="13" s="1"/>
  <c r="L184" i="13" s="1"/>
  <c r="E183" i="13"/>
  <c r="K183" i="13" s="1"/>
  <c r="E182" i="13"/>
  <c r="E180" i="13"/>
  <c r="E179" i="13"/>
  <c r="E177" i="13"/>
  <c r="E176" i="13"/>
  <c r="E175" i="13"/>
  <c r="K175" i="13" s="1"/>
  <c r="E174" i="13"/>
  <c r="E173" i="13"/>
  <c r="E172" i="13"/>
  <c r="E171" i="13"/>
  <c r="E170" i="13"/>
  <c r="K170" i="13" s="1"/>
  <c r="E168" i="13"/>
  <c r="E167" i="13"/>
  <c r="K167" i="13" s="1"/>
  <c r="E166" i="13"/>
  <c r="E163" i="13"/>
  <c r="F163" i="13" s="1"/>
  <c r="L163" i="13" s="1"/>
  <c r="E162" i="13"/>
  <c r="K162" i="13" s="1"/>
  <c r="E161" i="13"/>
  <c r="E160" i="13"/>
  <c r="E159" i="13"/>
  <c r="K159" i="13" s="1"/>
  <c r="E158" i="13"/>
  <c r="E157" i="13"/>
  <c r="E152" i="13"/>
  <c r="E151" i="13"/>
  <c r="K151" i="13" s="1"/>
  <c r="E149" i="13"/>
  <c r="E146" i="13"/>
  <c r="K146" i="13" s="1"/>
  <c r="E145" i="13"/>
  <c r="E143" i="13"/>
  <c r="K143" i="13" s="1"/>
  <c r="E142" i="13"/>
  <c r="E141" i="13"/>
  <c r="E138" i="13"/>
  <c r="F138" i="13" s="1"/>
  <c r="L138" i="13" s="1"/>
  <c r="E137" i="13"/>
  <c r="E136" i="13"/>
  <c r="E135" i="13"/>
  <c r="K135" i="13" s="1"/>
  <c r="E133" i="13"/>
  <c r="E132" i="13"/>
  <c r="E131" i="13"/>
  <c r="E130" i="13"/>
  <c r="K130" i="13" s="1"/>
  <c r="E129" i="13"/>
  <c r="E128" i="13"/>
  <c r="E127" i="13"/>
  <c r="K127" i="13" s="1"/>
  <c r="E126" i="13"/>
  <c r="E125" i="13"/>
  <c r="E124" i="13"/>
  <c r="E123" i="13"/>
  <c r="E119" i="13"/>
  <c r="K119" i="13" s="1"/>
  <c r="E118" i="13"/>
  <c r="E117" i="13"/>
  <c r="E116" i="13"/>
  <c r="E115" i="13"/>
  <c r="E114" i="13"/>
  <c r="K114" i="13" s="1"/>
  <c r="E113" i="13"/>
  <c r="E111" i="13"/>
  <c r="K111" i="13" s="1"/>
  <c r="E110" i="13"/>
  <c r="E109" i="13"/>
  <c r="E107" i="13"/>
  <c r="F107" i="13" s="1"/>
  <c r="L107" i="13" s="1"/>
  <c r="E106" i="13"/>
  <c r="K106" i="13" s="1"/>
  <c r="E105" i="13"/>
  <c r="E104" i="13"/>
  <c r="E103" i="13"/>
  <c r="K103" i="13" s="1"/>
  <c r="E102" i="13"/>
  <c r="E100" i="13"/>
  <c r="E99" i="13"/>
  <c r="F99" i="13" s="1"/>
  <c r="L99" i="13" s="1"/>
  <c r="E98" i="13"/>
  <c r="K98" i="13" s="1"/>
  <c r="E97" i="13"/>
  <c r="E93" i="13"/>
  <c r="E92" i="13"/>
  <c r="E91" i="13"/>
  <c r="E90" i="13"/>
  <c r="K90" i="13" s="1"/>
  <c r="E89" i="13"/>
  <c r="E88" i="13"/>
  <c r="E83" i="13"/>
  <c r="E82" i="13"/>
  <c r="K82" i="13" s="1"/>
  <c r="E81" i="13"/>
  <c r="E80" i="13"/>
  <c r="E79" i="13"/>
  <c r="K79" i="13" s="1"/>
  <c r="E78" i="13"/>
  <c r="E77" i="13"/>
  <c r="E76" i="13"/>
  <c r="E74" i="13"/>
  <c r="K74" i="13" s="1"/>
  <c r="E73" i="13"/>
  <c r="E72" i="13"/>
  <c r="E70" i="13"/>
  <c r="E69" i="13"/>
  <c r="E68" i="13"/>
  <c r="E67" i="13"/>
  <c r="E66" i="13"/>
  <c r="K66" i="13" s="1"/>
  <c r="E65" i="13"/>
  <c r="E64" i="13"/>
  <c r="E63" i="13"/>
  <c r="K63" i="13" s="1"/>
  <c r="E62" i="13"/>
  <c r="E61" i="13"/>
  <c r="E60" i="13"/>
  <c r="E59" i="13"/>
  <c r="E58" i="13"/>
  <c r="K58" i="13" s="1"/>
  <c r="E57" i="13"/>
  <c r="E56" i="13"/>
  <c r="E55" i="13"/>
  <c r="K55" i="13" s="1"/>
  <c r="E54" i="13"/>
  <c r="E53" i="13"/>
  <c r="E52" i="13"/>
  <c r="E51" i="13"/>
  <c r="E50" i="13"/>
  <c r="K50" i="13" s="1"/>
  <c r="E48" i="13"/>
  <c r="E45" i="13"/>
  <c r="E42" i="13"/>
  <c r="K42" i="13" s="1"/>
  <c r="E41" i="13"/>
  <c r="E40" i="13"/>
  <c r="E39" i="13"/>
  <c r="K39" i="13" s="1"/>
  <c r="E38" i="13"/>
  <c r="E37" i="13"/>
  <c r="E36" i="13"/>
  <c r="E3" i="13"/>
  <c r="K306" i="13" l="1"/>
  <c r="F170" i="13"/>
  <c r="L170" i="13" s="1"/>
  <c r="F130" i="13"/>
  <c r="L130" i="13" s="1"/>
  <c r="F10" i="13"/>
  <c r="L10" i="13" s="1"/>
  <c r="K339" i="13"/>
  <c r="K338" i="13"/>
  <c r="F199" i="13"/>
  <c r="L199" i="13" s="1"/>
  <c r="F282" i="13"/>
  <c r="L282" i="13" s="1"/>
  <c r="F314" i="13"/>
  <c r="L314" i="13" s="1"/>
  <c r="F159" i="13"/>
  <c r="L159" i="13" s="1"/>
  <c r="F114" i="13"/>
  <c r="L114" i="13" s="1"/>
  <c r="F218" i="13"/>
  <c r="L218" i="13" s="1"/>
  <c r="K320" i="13"/>
  <c r="K99" i="13"/>
  <c r="F311" i="13"/>
  <c r="L311" i="13" s="1"/>
  <c r="K299" i="13"/>
  <c r="F231" i="13"/>
  <c r="L231" i="13" s="1"/>
  <c r="F202" i="13"/>
  <c r="L202" i="13" s="1"/>
  <c r="F175" i="13"/>
  <c r="L175" i="13" s="1"/>
  <c r="F111" i="13"/>
  <c r="L111" i="13" s="1"/>
  <c r="F271" i="13"/>
  <c r="L271" i="13" s="1"/>
  <c r="F194" i="13"/>
  <c r="L194" i="13" s="1"/>
  <c r="F82" i="13"/>
  <c r="L82" i="13" s="1"/>
  <c r="F39" i="13"/>
  <c r="L39" i="13" s="1"/>
  <c r="F162" i="13"/>
  <c r="L162" i="13" s="1"/>
  <c r="F335" i="13"/>
  <c r="L335" i="13" s="1"/>
  <c r="F250" i="13"/>
  <c r="L250" i="13" s="1"/>
  <c r="K290" i="13"/>
  <c r="K200" i="13"/>
  <c r="K316" i="13"/>
  <c r="F263" i="13"/>
  <c r="L263" i="13" s="1"/>
  <c r="K182" i="13"/>
  <c r="F182" i="13"/>
  <c r="L182" i="13" s="1"/>
  <c r="K232" i="13"/>
  <c r="F232" i="13"/>
  <c r="L232" i="13" s="1"/>
  <c r="K244" i="13"/>
  <c r="F244" i="13"/>
  <c r="L244" i="13" s="1"/>
  <c r="K286" i="13"/>
  <c r="F286" i="13"/>
  <c r="L286" i="13" s="1"/>
  <c r="K325" i="13"/>
  <c r="F325" i="13"/>
  <c r="L325" i="13" s="1"/>
  <c r="K33" i="13"/>
  <c r="F33" i="13"/>
  <c r="L33" i="13" s="1"/>
  <c r="K17" i="13"/>
  <c r="F17" i="13"/>
  <c r="L17" i="13" s="1"/>
  <c r="K9" i="13"/>
  <c r="F9" i="13"/>
  <c r="L9" i="13" s="1"/>
  <c r="F274" i="13"/>
  <c r="L274" i="13" s="1"/>
  <c r="F223" i="13"/>
  <c r="L223" i="13" s="1"/>
  <c r="F55" i="13"/>
  <c r="L55" i="13" s="1"/>
  <c r="K105" i="13"/>
  <c r="F105" i="13"/>
  <c r="L105" i="13" s="1"/>
  <c r="K172" i="13"/>
  <c r="F172" i="13"/>
  <c r="L172" i="13" s="1"/>
  <c r="K193" i="13"/>
  <c r="F193" i="13"/>
  <c r="L193" i="13" s="1"/>
  <c r="K201" i="13"/>
  <c r="F201" i="13"/>
  <c r="L201" i="13" s="1"/>
  <c r="K219" i="13"/>
  <c r="F219" i="13"/>
  <c r="L219" i="13" s="1"/>
  <c r="K297" i="13"/>
  <c r="F297" i="13"/>
  <c r="L297" i="13" s="1"/>
  <c r="K334" i="13"/>
  <c r="F334" i="13"/>
  <c r="L334" i="13" s="1"/>
  <c r="K25" i="13"/>
  <c r="F25" i="13"/>
  <c r="L25" i="13" s="1"/>
  <c r="K268" i="13"/>
  <c r="K184" i="13"/>
  <c r="K107" i="13"/>
  <c r="F255" i="13"/>
  <c r="L255" i="13" s="1"/>
  <c r="F135" i="13"/>
  <c r="L135" i="13" s="1"/>
  <c r="K3" i="13"/>
  <c r="F3" i="13"/>
  <c r="L3" i="13" s="1"/>
  <c r="K45" i="13"/>
  <c r="F45" i="13"/>
  <c r="L45" i="13" s="1"/>
  <c r="K56" i="13"/>
  <c r="F56" i="13"/>
  <c r="L56" i="13" s="1"/>
  <c r="K64" i="13"/>
  <c r="F64" i="13"/>
  <c r="L64" i="13" s="1"/>
  <c r="K73" i="13"/>
  <c r="F73" i="13"/>
  <c r="L73" i="13" s="1"/>
  <c r="K97" i="13"/>
  <c r="F97" i="13"/>
  <c r="L97" i="13" s="1"/>
  <c r="K116" i="13"/>
  <c r="F116" i="13"/>
  <c r="L116" i="13" s="1"/>
  <c r="K136" i="13"/>
  <c r="F136" i="13"/>
  <c r="L136" i="13" s="1"/>
  <c r="K149" i="13"/>
  <c r="F149" i="13"/>
  <c r="L149" i="13" s="1"/>
  <c r="K173" i="13"/>
  <c r="F173" i="13"/>
  <c r="L173" i="13" s="1"/>
  <c r="F211" i="13"/>
  <c r="L211" i="13" s="1"/>
  <c r="K211" i="13"/>
  <c r="F220" i="13"/>
  <c r="L220" i="13" s="1"/>
  <c r="K220" i="13"/>
  <c r="K233" i="13"/>
  <c r="F233" i="13"/>
  <c r="L233" i="13" s="1"/>
  <c r="K245" i="13"/>
  <c r="F245" i="13"/>
  <c r="L245" i="13" s="1"/>
  <c r="F267" i="13"/>
  <c r="L267" i="13" s="1"/>
  <c r="K267" i="13"/>
  <c r="F275" i="13"/>
  <c r="L275" i="13" s="1"/>
  <c r="K275" i="13"/>
  <c r="K326" i="13"/>
  <c r="F326" i="13"/>
  <c r="L326" i="13" s="1"/>
  <c r="K24" i="13"/>
  <c r="F24" i="13"/>
  <c r="L24" i="13" s="1"/>
  <c r="K16" i="13"/>
  <c r="F16" i="13"/>
  <c r="L16" i="13" s="1"/>
  <c r="K8" i="13"/>
  <c r="F8" i="13"/>
  <c r="L8" i="13" s="1"/>
  <c r="K288" i="13"/>
  <c r="K138" i="13"/>
  <c r="F79" i="13"/>
  <c r="L79" i="13" s="1"/>
  <c r="F50" i="13"/>
  <c r="L50" i="13" s="1"/>
  <c r="F7" i="13"/>
  <c r="L7" i="13" s="1"/>
  <c r="K300" i="13"/>
  <c r="F266" i="13"/>
  <c r="L266" i="13" s="1"/>
  <c r="K118" i="13"/>
  <c r="F118" i="13"/>
  <c r="L118" i="13" s="1"/>
  <c r="F259" i="13"/>
  <c r="L259" i="13" s="1"/>
  <c r="K259" i="13"/>
  <c r="K302" i="13"/>
  <c r="F302" i="13"/>
  <c r="L302" i="13" s="1"/>
  <c r="K30" i="13"/>
  <c r="F30" i="13"/>
  <c r="L30" i="13" s="1"/>
  <c r="F127" i="13"/>
  <c r="L127" i="13" s="1"/>
  <c r="F90" i="13"/>
  <c r="L90" i="13" s="1"/>
  <c r="F74" i="13"/>
  <c r="L74" i="13" s="1"/>
  <c r="F31" i="13"/>
  <c r="L31" i="13" s="1"/>
  <c r="K72" i="13"/>
  <c r="F72" i="13"/>
  <c r="L72" i="13" s="1"/>
  <c r="K126" i="13"/>
  <c r="F126" i="13"/>
  <c r="L126" i="13" s="1"/>
  <c r="K48" i="13"/>
  <c r="F48" i="13"/>
  <c r="L48" i="13" s="1"/>
  <c r="K174" i="13"/>
  <c r="F174" i="13"/>
  <c r="L174" i="13" s="1"/>
  <c r="F203" i="13"/>
  <c r="L203" i="13" s="1"/>
  <c r="K203" i="13"/>
  <c r="K246" i="13"/>
  <c r="F246" i="13"/>
  <c r="L246" i="13" s="1"/>
  <c r="F276" i="13"/>
  <c r="L276" i="13" s="1"/>
  <c r="K276" i="13"/>
  <c r="K88" i="13"/>
  <c r="F88" i="13"/>
  <c r="L88" i="13" s="1"/>
  <c r="K129" i="13"/>
  <c r="F129" i="13"/>
  <c r="L129" i="13" s="1"/>
  <c r="K213" i="13"/>
  <c r="F213" i="13"/>
  <c r="L213" i="13" s="1"/>
  <c r="K269" i="13"/>
  <c r="F269" i="13"/>
  <c r="L269" i="13" s="1"/>
  <c r="K277" i="13"/>
  <c r="F277" i="13"/>
  <c r="L277" i="13" s="1"/>
  <c r="K310" i="13"/>
  <c r="F310" i="13"/>
  <c r="L310" i="13" s="1"/>
  <c r="K14" i="13"/>
  <c r="F14" i="13"/>
  <c r="L14" i="13" s="1"/>
  <c r="K38" i="13"/>
  <c r="F38" i="13"/>
  <c r="L38" i="13" s="1"/>
  <c r="K67" i="13"/>
  <c r="F67" i="13"/>
  <c r="L67" i="13" s="1"/>
  <c r="K110" i="13"/>
  <c r="F110" i="13"/>
  <c r="L110" i="13" s="1"/>
  <c r="K157" i="13"/>
  <c r="F157" i="13"/>
  <c r="L157" i="13" s="1"/>
  <c r="K197" i="13"/>
  <c r="F197" i="13"/>
  <c r="L197" i="13" s="1"/>
  <c r="K214" i="13"/>
  <c r="F214" i="13"/>
  <c r="L214" i="13" s="1"/>
  <c r="K225" i="13"/>
  <c r="F225" i="13"/>
  <c r="L225" i="13" s="1"/>
  <c r="K260" i="13"/>
  <c r="F260" i="13"/>
  <c r="L260" i="13" s="1"/>
  <c r="K292" i="13"/>
  <c r="F292" i="13"/>
  <c r="L292" i="13" s="1"/>
  <c r="K321" i="13"/>
  <c r="F321" i="13"/>
  <c r="L321" i="13" s="1"/>
  <c r="K329" i="13"/>
  <c r="F329" i="13"/>
  <c r="L329" i="13" s="1"/>
  <c r="K29" i="13"/>
  <c r="F29" i="13"/>
  <c r="L29" i="13" s="1"/>
  <c r="K21" i="13"/>
  <c r="F21" i="13"/>
  <c r="L21" i="13" s="1"/>
  <c r="K13" i="13"/>
  <c r="F13" i="13"/>
  <c r="L13" i="13" s="1"/>
  <c r="K5" i="13"/>
  <c r="F5" i="13"/>
  <c r="L5" i="13" s="1"/>
  <c r="K315" i="13"/>
  <c r="K256" i="13"/>
  <c r="K32" i="13"/>
  <c r="F303" i="13"/>
  <c r="L303" i="13" s="1"/>
  <c r="F143" i="13"/>
  <c r="L143" i="13" s="1"/>
  <c r="F106" i="13"/>
  <c r="L106" i="13" s="1"/>
  <c r="F26" i="13"/>
  <c r="L26" i="13" s="1"/>
  <c r="K81" i="13"/>
  <c r="F81" i="13"/>
  <c r="L81" i="13" s="1"/>
  <c r="K115" i="13"/>
  <c r="F115" i="13"/>
  <c r="L115" i="13" s="1"/>
  <c r="K36" i="13"/>
  <c r="F36" i="13"/>
  <c r="L36" i="13" s="1"/>
  <c r="K65" i="13"/>
  <c r="F65" i="13"/>
  <c r="L65" i="13" s="1"/>
  <c r="F83" i="13"/>
  <c r="L83" i="13" s="1"/>
  <c r="K83" i="13"/>
  <c r="K128" i="13"/>
  <c r="F128" i="13"/>
  <c r="L128" i="13" s="1"/>
  <c r="F212" i="13"/>
  <c r="L212" i="13" s="1"/>
  <c r="K212" i="13"/>
  <c r="K309" i="13"/>
  <c r="F309" i="13"/>
  <c r="L309" i="13" s="1"/>
  <c r="K109" i="13"/>
  <c r="F109" i="13"/>
  <c r="L109" i="13" s="1"/>
  <c r="K166" i="13"/>
  <c r="F166" i="13"/>
  <c r="L166" i="13" s="1"/>
  <c r="K224" i="13"/>
  <c r="F224" i="13"/>
  <c r="L224" i="13" s="1"/>
  <c r="K204" i="13"/>
  <c r="K100" i="13"/>
  <c r="F100" i="13"/>
  <c r="L100" i="13" s="1"/>
  <c r="K270" i="13"/>
  <c r="F270" i="13"/>
  <c r="L270" i="13" s="1"/>
  <c r="K52" i="13"/>
  <c r="F52" i="13"/>
  <c r="L52" i="13" s="1"/>
  <c r="K60" i="13"/>
  <c r="F60" i="13"/>
  <c r="L60" i="13" s="1"/>
  <c r="K68" i="13"/>
  <c r="F68" i="13"/>
  <c r="L68" i="13" s="1"/>
  <c r="K78" i="13"/>
  <c r="F78" i="13"/>
  <c r="L78" i="13" s="1"/>
  <c r="K102" i="13"/>
  <c r="F102" i="13"/>
  <c r="L102" i="13" s="1"/>
  <c r="K123" i="13"/>
  <c r="F123" i="13"/>
  <c r="L123" i="13" s="1"/>
  <c r="K131" i="13"/>
  <c r="F131" i="13"/>
  <c r="L131" i="13" s="1"/>
  <c r="K142" i="13"/>
  <c r="F142" i="13"/>
  <c r="L142" i="13" s="1"/>
  <c r="K158" i="13"/>
  <c r="F158" i="13"/>
  <c r="L158" i="13" s="1"/>
  <c r="K168" i="13"/>
  <c r="F168" i="13"/>
  <c r="L168" i="13" s="1"/>
  <c r="K177" i="13"/>
  <c r="F177" i="13"/>
  <c r="L177" i="13" s="1"/>
  <c r="K187" i="13"/>
  <c r="F187" i="13"/>
  <c r="L187" i="13" s="1"/>
  <c r="K198" i="13"/>
  <c r="F198" i="13"/>
  <c r="L198" i="13" s="1"/>
  <c r="K216" i="13"/>
  <c r="F216" i="13"/>
  <c r="L216" i="13" s="1"/>
  <c r="K237" i="13"/>
  <c r="F237" i="13"/>
  <c r="L237" i="13" s="1"/>
  <c r="K262" i="13"/>
  <c r="F262" i="13"/>
  <c r="L262" i="13" s="1"/>
  <c r="K283" i="13"/>
  <c r="F283" i="13"/>
  <c r="L283" i="13" s="1"/>
  <c r="K293" i="13"/>
  <c r="F293" i="13"/>
  <c r="L293" i="13" s="1"/>
  <c r="K304" i="13"/>
  <c r="F304" i="13"/>
  <c r="L304" i="13" s="1"/>
  <c r="K312" i="13"/>
  <c r="F312" i="13"/>
  <c r="L312" i="13" s="1"/>
  <c r="K331" i="13"/>
  <c r="F331" i="13"/>
  <c r="L331" i="13" s="1"/>
  <c r="K340" i="13"/>
  <c r="F340" i="13"/>
  <c r="L340" i="13" s="1"/>
  <c r="K28" i="13"/>
  <c r="F28" i="13"/>
  <c r="L28" i="13" s="1"/>
  <c r="K20" i="13"/>
  <c r="F20" i="13"/>
  <c r="L20" i="13" s="1"/>
  <c r="K12" i="13"/>
  <c r="F12" i="13"/>
  <c r="L12" i="13" s="1"/>
  <c r="K4" i="13"/>
  <c r="F4" i="13"/>
  <c r="L4" i="13" s="1"/>
  <c r="K328" i="13"/>
  <c r="K296" i="13"/>
  <c r="F327" i="13"/>
  <c r="L327" i="13" s="1"/>
  <c r="F247" i="13"/>
  <c r="L247" i="13" s="1"/>
  <c r="F210" i="13"/>
  <c r="L210" i="13" s="1"/>
  <c r="F167" i="13"/>
  <c r="L167" i="13" s="1"/>
  <c r="F103" i="13"/>
  <c r="L103" i="13" s="1"/>
  <c r="F66" i="13"/>
  <c r="L66" i="13" s="1"/>
  <c r="F23" i="13"/>
  <c r="L23" i="13" s="1"/>
  <c r="K93" i="13"/>
  <c r="F93" i="13"/>
  <c r="L93" i="13" s="1"/>
  <c r="K161" i="13"/>
  <c r="F161" i="13"/>
  <c r="L161" i="13" s="1"/>
  <c r="K57" i="13"/>
  <c r="F57" i="13"/>
  <c r="L57" i="13" s="1"/>
  <c r="K337" i="13"/>
  <c r="F337" i="13"/>
  <c r="L337" i="13" s="1"/>
  <c r="K37" i="13"/>
  <c r="F37" i="13"/>
  <c r="L37" i="13" s="1"/>
  <c r="K76" i="13"/>
  <c r="F76" i="13"/>
  <c r="L76" i="13" s="1"/>
  <c r="K185" i="13"/>
  <c r="F185" i="13"/>
  <c r="L185" i="13" s="1"/>
  <c r="K22" i="13"/>
  <c r="F22" i="13"/>
  <c r="L22" i="13" s="1"/>
  <c r="K51" i="13"/>
  <c r="F51" i="13"/>
  <c r="L51" i="13" s="1"/>
  <c r="K77" i="13"/>
  <c r="F77" i="13"/>
  <c r="L77" i="13" s="1"/>
  <c r="K141" i="13"/>
  <c r="F141" i="13"/>
  <c r="L141" i="13" s="1"/>
  <c r="K176" i="13"/>
  <c r="F176" i="13"/>
  <c r="L176" i="13" s="1"/>
  <c r="K205" i="13"/>
  <c r="F205" i="13"/>
  <c r="L205" i="13" s="1"/>
  <c r="K249" i="13"/>
  <c r="F249" i="13"/>
  <c r="L249" i="13" s="1"/>
  <c r="K40" i="13"/>
  <c r="F40" i="13"/>
  <c r="L40" i="13" s="1"/>
  <c r="K53" i="13"/>
  <c r="F53" i="13"/>
  <c r="L53" i="13" s="1"/>
  <c r="K61" i="13"/>
  <c r="F61" i="13"/>
  <c r="L61" i="13" s="1"/>
  <c r="K69" i="13"/>
  <c r="F69" i="13"/>
  <c r="L69" i="13" s="1"/>
  <c r="K91" i="13"/>
  <c r="F91" i="13"/>
  <c r="L91" i="13" s="1"/>
  <c r="K113" i="13"/>
  <c r="F113" i="13"/>
  <c r="L113" i="13" s="1"/>
  <c r="K124" i="13"/>
  <c r="F124" i="13"/>
  <c r="L124" i="13" s="1"/>
  <c r="K132" i="13"/>
  <c r="F132" i="13"/>
  <c r="L132" i="13" s="1"/>
  <c r="K179" i="13"/>
  <c r="F179" i="13"/>
  <c r="L179" i="13" s="1"/>
  <c r="K188" i="13"/>
  <c r="F188" i="13"/>
  <c r="L188" i="13" s="1"/>
  <c r="K208" i="13"/>
  <c r="F208" i="13"/>
  <c r="L208" i="13" s="1"/>
  <c r="K217" i="13"/>
  <c r="F217" i="13"/>
  <c r="L217" i="13" s="1"/>
  <c r="K230" i="13"/>
  <c r="F230" i="13"/>
  <c r="L230" i="13" s="1"/>
  <c r="K240" i="13"/>
  <c r="F240" i="13"/>
  <c r="L240" i="13" s="1"/>
  <c r="K253" i="13"/>
  <c r="F253" i="13"/>
  <c r="L253" i="13" s="1"/>
  <c r="K272" i="13"/>
  <c r="F272" i="13"/>
  <c r="L272" i="13" s="1"/>
  <c r="K284" i="13"/>
  <c r="F284" i="13"/>
  <c r="L284" i="13" s="1"/>
  <c r="K294" i="13"/>
  <c r="F294" i="13"/>
  <c r="L294" i="13" s="1"/>
  <c r="K305" i="13"/>
  <c r="F305" i="13"/>
  <c r="L305" i="13" s="1"/>
  <c r="K313" i="13"/>
  <c r="F313" i="13"/>
  <c r="L313" i="13" s="1"/>
  <c r="K323" i="13"/>
  <c r="F323" i="13"/>
  <c r="L323" i="13" s="1"/>
  <c r="K332" i="13"/>
  <c r="F332" i="13"/>
  <c r="L332" i="13" s="1"/>
  <c r="K341" i="13"/>
  <c r="F341" i="13"/>
  <c r="L341" i="13" s="1"/>
  <c r="K27" i="13"/>
  <c r="F27" i="13"/>
  <c r="L27" i="13" s="1"/>
  <c r="K19" i="13"/>
  <c r="F19" i="13"/>
  <c r="L19" i="13" s="1"/>
  <c r="K11" i="13"/>
  <c r="F11" i="13"/>
  <c r="L11" i="13" s="1"/>
  <c r="F2" i="13"/>
  <c r="K324" i="13"/>
  <c r="K308" i="13"/>
  <c r="K163" i="13"/>
  <c r="F322" i="13"/>
  <c r="L322" i="13" s="1"/>
  <c r="F258" i="13"/>
  <c r="L258" i="13" s="1"/>
  <c r="F207" i="13"/>
  <c r="L207" i="13" s="1"/>
  <c r="F186" i="13"/>
  <c r="L186" i="13" s="1"/>
  <c r="F151" i="13"/>
  <c r="L151" i="13" s="1"/>
  <c r="F63" i="13"/>
  <c r="L63" i="13" s="1"/>
  <c r="F18" i="13"/>
  <c r="L18" i="13" s="1"/>
  <c r="K117" i="13"/>
  <c r="F117" i="13"/>
  <c r="L117" i="13" s="1"/>
  <c r="K137" i="13"/>
  <c r="F137" i="13"/>
  <c r="L137" i="13" s="1"/>
  <c r="F195" i="13"/>
  <c r="L195" i="13" s="1"/>
  <c r="K195" i="13"/>
  <c r="K289" i="13"/>
  <c r="F289" i="13"/>
  <c r="L289" i="13" s="1"/>
  <c r="K318" i="13"/>
  <c r="F318" i="13"/>
  <c r="L318" i="13" s="1"/>
  <c r="F234" i="13"/>
  <c r="L234" i="13" s="1"/>
  <c r="F146" i="13"/>
  <c r="L146" i="13" s="1"/>
  <c r="K152" i="13"/>
  <c r="F152" i="13"/>
  <c r="L152" i="13" s="1"/>
  <c r="F196" i="13"/>
  <c r="L196" i="13" s="1"/>
  <c r="K196" i="13"/>
  <c r="F235" i="13"/>
  <c r="L235" i="13" s="1"/>
  <c r="K235" i="13"/>
  <c r="K6" i="13"/>
  <c r="F6" i="13"/>
  <c r="L6" i="13" s="1"/>
  <c r="K59" i="13"/>
  <c r="F59" i="13"/>
  <c r="L59" i="13" s="1"/>
  <c r="K89" i="13"/>
  <c r="F89" i="13"/>
  <c r="L89" i="13" s="1"/>
  <c r="K236" i="13"/>
  <c r="F236" i="13"/>
  <c r="L236" i="13" s="1"/>
  <c r="K41" i="13"/>
  <c r="F41" i="13"/>
  <c r="L41" i="13" s="1"/>
  <c r="K54" i="13"/>
  <c r="F54" i="13"/>
  <c r="L54" i="13" s="1"/>
  <c r="K62" i="13"/>
  <c r="F62" i="13"/>
  <c r="L62" i="13" s="1"/>
  <c r="K70" i="13"/>
  <c r="F70" i="13"/>
  <c r="L70" i="13" s="1"/>
  <c r="K80" i="13"/>
  <c r="F80" i="13"/>
  <c r="L80" i="13" s="1"/>
  <c r="K92" i="13"/>
  <c r="F92" i="13"/>
  <c r="L92" i="13" s="1"/>
  <c r="K104" i="13"/>
  <c r="F104" i="13"/>
  <c r="L104" i="13" s="1"/>
  <c r="K125" i="13"/>
  <c r="F125" i="13"/>
  <c r="L125" i="13" s="1"/>
  <c r="K133" i="13"/>
  <c r="F133" i="13"/>
  <c r="L133" i="13" s="1"/>
  <c r="K145" i="13"/>
  <c r="F145" i="13"/>
  <c r="L145" i="13" s="1"/>
  <c r="K160" i="13"/>
  <c r="F160" i="13"/>
  <c r="L160" i="13" s="1"/>
  <c r="F171" i="13"/>
  <c r="L171" i="13" s="1"/>
  <c r="K171" i="13"/>
  <c r="F180" i="13"/>
  <c r="L180" i="13" s="1"/>
  <c r="K180" i="13"/>
  <c r="K190" i="13"/>
  <c r="F190" i="13"/>
  <c r="L190" i="13" s="1"/>
  <c r="K209" i="13"/>
  <c r="F209" i="13"/>
  <c r="L209" i="13" s="1"/>
  <c r="F243" i="13"/>
  <c r="L243" i="13" s="1"/>
  <c r="K243" i="13"/>
  <c r="K254" i="13"/>
  <c r="F254" i="13"/>
  <c r="L254" i="13" s="1"/>
  <c r="K265" i="13"/>
  <c r="F265" i="13"/>
  <c r="L265" i="13" s="1"/>
  <c r="K273" i="13"/>
  <c r="F273" i="13"/>
  <c r="L273" i="13" s="1"/>
  <c r="K285" i="13"/>
  <c r="F285" i="13"/>
  <c r="L285" i="13" s="1"/>
  <c r="K333" i="13"/>
  <c r="F333" i="13"/>
  <c r="L333" i="13" s="1"/>
  <c r="K307" i="13"/>
  <c r="F343" i="13"/>
  <c r="L343" i="13" s="1"/>
  <c r="F226" i="13"/>
  <c r="L226" i="13" s="1"/>
  <c r="F183" i="13"/>
  <c r="L183" i="13" s="1"/>
  <c r="F119" i="13"/>
  <c r="L119" i="13" s="1"/>
  <c r="F98" i="13"/>
  <c r="L98" i="13" s="1"/>
  <c r="F58" i="13"/>
  <c r="L58" i="13" s="1"/>
  <c r="F42" i="13"/>
  <c r="L42" i="13" s="1"/>
  <c r="F15" i="13"/>
  <c r="L15" i="13" s="1"/>
</calcChain>
</file>

<file path=xl/sharedStrings.xml><?xml version="1.0" encoding="utf-8"?>
<sst xmlns="http://schemas.openxmlformats.org/spreadsheetml/2006/main" count="7859" uniqueCount="2305">
  <si>
    <t>Date Shipped</t>
  </si>
  <si>
    <t>Ship to on SO</t>
  </si>
  <si>
    <t>SO #</t>
  </si>
  <si>
    <t>Weight</t>
  </si>
  <si>
    <t>Pallet Count</t>
  </si>
  <si>
    <t>LTL/Closed/Flatbed</t>
  </si>
  <si>
    <t>Broker</t>
  </si>
  <si>
    <t>Cost</t>
  </si>
  <si>
    <t>Comments</t>
  </si>
  <si>
    <t>Wesco - Plainfield IN</t>
  </si>
  <si>
    <t>21-19220-1</t>
  </si>
  <si>
    <t>Flatbed</t>
  </si>
  <si>
    <t>Customer Set Up</t>
  </si>
  <si>
    <t>Choctaw Kaul-Chicago IL</t>
  </si>
  <si>
    <t>21-19472-1</t>
  </si>
  <si>
    <t>Closed</t>
  </si>
  <si>
    <t>Flock Freight</t>
  </si>
  <si>
    <t>Wesco-Olathe KS</t>
  </si>
  <si>
    <t>21-19249-2</t>
  </si>
  <si>
    <t>Landry Logistics</t>
  </si>
  <si>
    <t>Border States-Amarillo TX</t>
  </si>
  <si>
    <t>21-19320-1</t>
  </si>
  <si>
    <t>LCRA-Boerne TX</t>
  </si>
  <si>
    <t>21-19333-1</t>
  </si>
  <si>
    <t>21-19489-1</t>
  </si>
  <si>
    <t>Traffic Tech</t>
  </si>
  <si>
    <t>21-19333-2</t>
  </si>
  <si>
    <t>21-19333-4</t>
  </si>
  <si>
    <t>21-19333-3</t>
  </si>
  <si>
    <t>21-19333-5</t>
  </si>
  <si>
    <t>21-19333-8</t>
  </si>
  <si>
    <t>NYPA-Massena NY</t>
  </si>
  <si>
    <t>21-18542-14</t>
  </si>
  <si>
    <t>Wesco-Des Moines IA</t>
  </si>
  <si>
    <t>21-19469-1</t>
  </si>
  <si>
    <t>LTL</t>
  </si>
  <si>
    <t>21-19333-7</t>
  </si>
  <si>
    <t>21-19333-6/21-19333-9</t>
  </si>
  <si>
    <t>Border States-Brighton CO</t>
  </si>
  <si>
    <t>21-19490-1</t>
  </si>
  <si>
    <t>Gateway South</t>
  </si>
  <si>
    <t>21-19130-1/21-19120-1/21-1-121-1/19118-1/21-19117-1/21-18973-1/21-18969-4/21-18952-3</t>
  </si>
  <si>
    <t>6 stop drop</t>
  </si>
  <si>
    <t>Power Line-Cleveland OH</t>
  </si>
  <si>
    <t>21-19497-1</t>
  </si>
  <si>
    <t>Loth Logistics</t>
  </si>
  <si>
    <t>Dominion-Eastover SC</t>
  </si>
  <si>
    <t>21-17673-1</t>
  </si>
  <si>
    <t>21-18542-15</t>
  </si>
  <si>
    <t>PPL-HazleTownship PA</t>
  </si>
  <si>
    <t>21-18695-1</t>
  </si>
  <si>
    <t>Knichel Logitics</t>
  </si>
  <si>
    <t>Anixter-Ashland VA</t>
  </si>
  <si>
    <t>21-19416-1/21-18708-1/21-18528-1/21-19049-1</t>
  </si>
  <si>
    <t>Trinity Logistics</t>
  </si>
  <si>
    <t>21-18542-16</t>
  </si>
  <si>
    <t>Georgia Power-McDonough GA</t>
  </si>
  <si>
    <t>21-19457-1</t>
  </si>
  <si>
    <t>Dis-Tran-Alexandria LA</t>
  </si>
  <si>
    <t>21-19463-1</t>
  </si>
  <si>
    <t>Techline-San Antonio TX</t>
  </si>
  <si>
    <t>21-19351-1</t>
  </si>
  <si>
    <t>Border States-Spokane WA</t>
  </si>
  <si>
    <t>21-19498-1</t>
  </si>
  <si>
    <t>Border States-Rapid City SD</t>
  </si>
  <si>
    <t>21-19487-1</t>
  </si>
  <si>
    <t>Choctaw Kaul-New Castle DE</t>
  </si>
  <si>
    <t>21-19503-1</t>
  </si>
  <si>
    <t>Choctaw Kaul-Dundalk MD</t>
  </si>
  <si>
    <t>21-19491-1</t>
  </si>
  <si>
    <t>21-19491-2</t>
  </si>
  <si>
    <t>APS-Phoenix AZ</t>
  </si>
  <si>
    <t>21-19453-1/21-19387-1</t>
  </si>
  <si>
    <t>Anixter Power-Orlando FL</t>
  </si>
  <si>
    <t>21-19337-1</t>
  </si>
  <si>
    <t>Oncor-Irving TX</t>
  </si>
  <si>
    <t>21-19349-1</t>
  </si>
  <si>
    <t>Anixter-Spokane Valley WA</t>
  </si>
  <si>
    <t>21-18806-1</t>
  </si>
  <si>
    <t>Stuart Irby-Neosho MO</t>
  </si>
  <si>
    <t>21-19507-1</t>
  </si>
  <si>
    <t>Stuart Irby-Des Moines IA</t>
  </si>
  <si>
    <t>21-19508-1</t>
  </si>
  <si>
    <t>Stuart Irby-Delta UT</t>
  </si>
  <si>
    <t>21-19494-2</t>
  </si>
  <si>
    <t>21-19494-1</t>
  </si>
  <si>
    <t>21-18850-1/21-18611-1</t>
  </si>
  <si>
    <t>Fletcher-Granite City IL</t>
  </si>
  <si>
    <t>21-18809-13</t>
  </si>
  <si>
    <t>PGI completed in Dec</t>
  </si>
  <si>
    <t>21-18809-14</t>
  </si>
  <si>
    <t>21-18542-17</t>
  </si>
  <si>
    <t>TVA-Hanceville AL</t>
  </si>
  <si>
    <t>21-18176-1</t>
  </si>
  <si>
    <t>Anixter-Orlando FL</t>
  </si>
  <si>
    <t>21-19427-1</t>
  </si>
  <si>
    <t>Wesco-Dayton NJ</t>
  </si>
  <si>
    <t>21-19426-2</t>
  </si>
  <si>
    <t>21-19411-1</t>
  </si>
  <si>
    <t>Wesco-Cincinnati OH</t>
  </si>
  <si>
    <t>21-19270-1</t>
  </si>
  <si>
    <t>Anixter-Oklahoma City OK</t>
  </si>
  <si>
    <t>21-19242-3</t>
  </si>
  <si>
    <t>Choctaw Kaul-Upper Marlboro MD</t>
  </si>
  <si>
    <t>21-19322-1</t>
  </si>
  <si>
    <t>MD Henry-Pelham AL</t>
  </si>
  <si>
    <t>21-19496-1</t>
  </si>
  <si>
    <t>Stuart Irby-Liverpool NY</t>
  </si>
  <si>
    <t>21-19475-1</t>
  </si>
  <si>
    <t>21-19543-1</t>
  </si>
  <si>
    <t>21-19249-3</t>
  </si>
  <si>
    <t>21-19249-4</t>
  </si>
  <si>
    <t>21-19113-1</t>
  </si>
  <si>
    <t>Stuart Irby-Fort Worth TX</t>
  </si>
  <si>
    <t>21-19514-1</t>
  </si>
  <si>
    <t>Entergy-Beaumont TX</t>
  </si>
  <si>
    <t>21-19301-1</t>
  </si>
  <si>
    <t>BGE-Baltimore MD</t>
  </si>
  <si>
    <t>21-19479-1</t>
  </si>
  <si>
    <t>21-19104-2</t>
  </si>
  <si>
    <t>Border States-Eau Claire WI</t>
  </si>
  <si>
    <t>21-19534-1</t>
  </si>
  <si>
    <t>21-19104-1</t>
  </si>
  <si>
    <t>21-19517-1</t>
  </si>
  <si>
    <t>21-19536-1</t>
  </si>
  <si>
    <t>21-19435-4</t>
  </si>
  <si>
    <t>21-19515-1</t>
  </si>
  <si>
    <t>21-18270-11</t>
  </si>
  <si>
    <t>21-18270-12</t>
  </si>
  <si>
    <t>Border States-Albertville MN</t>
  </si>
  <si>
    <t>21-19516-1/21-19535-1</t>
  </si>
  <si>
    <t>PG&amp;E-Lodi CA</t>
  </si>
  <si>
    <t>21-19084-1</t>
  </si>
  <si>
    <t>Dominion Energy-West Columbia SC</t>
  </si>
  <si>
    <t>21-19481-1</t>
  </si>
  <si>
    <t>21-19435-5</t>
  </si>
  <si>
    <t>Wesco-Santa Fe CA</t>
  </si>
  <si>
    <t>21-19559-1</t>
  </si>
  <si>
    <t>21-19111-1</t>
  </si>
  <si>
    <t>Power Line-Youngwood PA</t>
  </si>
  <si>
    <t>21-19501-1</t>
  </si>
  <si>
    <t>GTC-Forsyth GA</t>
  </si>
  <si>
    <t>21-19158-1</t>
  </si>
  <si>
    <t>Power Line-Sidney OH</t>
  </si>
  <si>
    <t>21-19493-1</t>
  </si>
  <si>
    <t>21-18270-13</t>
  </si>
  <si>
    <t>Graybar-Manchester NH</t>
  </si>
  <si>
    <t>21-19495-1</t>
  </si>
  <si>
    <t>21-19495-2</t>
  </si>
  <si>
    <t>21-18270-14/21-18270-17</t>
  </si>
  <si>
    <t>PPL-Hazleton PA</t>
  </si>
  <si>
    <t>21-19587-2</t>
  </si>
  <si>
    <t>21-19419-1</t>
  </si>
  <si>
    <t>Alabama Power-Calera AL</t>
  </si>
  <si>
    <t>21-19604-4</t>
  </si>
  <si>
    <t>21-19604-3</t>
  </si>
  <si>
    <t>Ameren-Park Hills MO</t>
  </si>
  <si>
    <t>21-18841-1</t>
  </si>
  <si>
    <t>21-19604-1</t>
  </si>
  <si>
    <t>Entergy-Little Rock AR</t>
  </si>
  <si>
    <t>21-19593-1</t>
  </si>
  <si>
    <t>Knichel Logistics</t>
  </si>
  <si>
    <t>21-19587-1</t>
  </si>
  <si>
    <t>Brownstown Elec-Lawrenceburg KY</t>
  </si>
  <si>
    <t>21-19428-1</t>
  </si>
  <si>
    <t>Anixter-Linden IN</t>
  </si>
  <si>
    <t>21-19499-1</t>
  </si>
  <si>
    <t>21-19486-1</t>
  </si>
  <si>
    <t>Wesco-Clayton NC</t>
  </si>
  <si>
    <t>21-19482-1</t>
  </si>
  <si>
    <t>21-19604-5</t>
  </si>
  <si>
    <t>Ameren-Maryland Heights MO</t>
  </si>
  <si>
    <t>21-19407-1</t>
  </si>
  <si>
    <t>21-18271-9</t>
  </si>
  <si>
    <t>21-19587-3</t>
  </si>
  <si>
    <t>Alpha Power-Woods Cross UT</t>
  </si>
  <si>
    <t>21-19552-1</t>
  </si>
  <si>
    <t>21-19584-1/21-19549-1</t>
  </si>
  <si>
    <t>21-19327-2</t>
  </si>
  <si>
    <t>TVA-Brownsville TN</t>
  </si>
  <si>
    <t>21-19421-9</t>
  </si>
  <si>
    <t>21-19606-2</t>
  </si>
  <si>
    <t>21-19625-1/21-19562-1</t>
  </si>
  <si>
    <t>Entergy-Hammond LA</t>
  </si>
  <si>
    <t>21-19592-1/21-19539-1/21-19477-1/21-19561-1</t>
  </si>
  <si>
    <t>21-19623-3</t>
  </si>
  <si>
    <t>21-19623-2</t>
  </si>
  <si>
    <t>21-19476-1</t>
  </si>
  <si>
    <t>21-19623-1</t>
  </si>
  <si>
    <t>PSE&amp;G-Elmer NJ</t>
  </si>
  <si>
    <t>21-19128-5</t>
  </si>
  <si>
    <t>Border States-Pewaukee WI</t>
  </si>
  <si>
    <t>21-18923-3/21-19619-1</t>
  </si>
  <si>
    <t>Wesco-Garner NC</t>
  </si>
  <si>
    <t>21-19621-1</t>
  </si>
  <si>
    <t>National Grid-North Attleboro MA</t>
  </si>
  <si>
    <t>21-19599-3</t>
  </si>
  <si>
    <t>21-19599-2</t>
  </si>
  <si>
    <t>21-18270-15</t>
  </si>
  <si>
    <t>21-19352-1</t>
  </si>
  <si>
    <t>21-18270-16</t>
  </si>
  <si>
    <t>21-19599-1</t>
  </si>
  <si>
    <t>CEEUS-West Columbia SC</t>
  </si>
  <si>
    <t>21-19609-1</t>
  </si>
  <si>
    <t>Graybar-Bridgeport CT</t>
  </si>
  <si>
    <t>21-19223-1</t>
  </si>
  <si>
    <t>21-19442-1</t>
  </si>
  <si>
    <t>TVA-Muscle Shoals AL</t>
  </si>
  <si>
    <t>21-19610-1</t>
  </si>
  <si>
    <t>21-18271-1</t>
  </si>
  <si>
    <t>21-19514-3</t>
  </si>
  <si>
    <t>21-19584-2</t>
  </si>
  <si>
    <t>Stuart Irby-Cumberland RI</t>
  </si>
  <si>
    <t>21-19598-1</t>
  </si>
  <si>
    <t>Border States-Jackson MO</t>
  </si>
  <si>
    <t>21-19624-1</t>
  </si>
  <si>
    <t>21-19637-1</t>
  </si>
  <si>
    <t>21-19637-2</t>
  </si>
  <si>
    <t>21-19623-5</t>
  </si>
  <si>
    <t>21-19514-4</t>
  </si>
  <si>
    <t>21-19514-2</t>
  </si>
  <si>
    <t>21-19659-1</t>
  </si>
  <si>
    <t>21-19640-1/21-19446-1/21-19643-1</t>
  </si>
  <si>
    <t>Wesco-Rochester MN</t>
  </si>
  <si>
    <t>21-19636-1</t>
  </si>
  <si>
    <t>WUE-Sidney NE</t>
  </si>
  <si>
    <t>21-19546-1</t>
  </si>
  <si>
    <t>21-18271-10</t>
  </si>
  <si>
    <t>21-19623-4</t>
  </si>
  <si>
    <t>Wesco-Plainfield IN</t>
  </si>
  <si>
    <t>21-19388-1</t>
  </si>
  <si>
    <t>21-19294-1</t>
  </si>
  <si>
    <t>21-19623-7</t>
  </si>
  <si>
    <t>21-19568-1</t>
  </si>
  <si>
    <t>21-19651-1</t>
  </si>
  <si>
    <t>21-19327-1</t>
  </si>
  <si>
    <t>21-18271-11</t>
  </si>
  <si>
    <t>21-19623-6</t>
  </si>
  <si>
    <t>Sediver-Canada</t>
  </si>
  <si>
    <t>21-19590-1</t>
  </si>
  <si>
    <t>21-19554-1</t>
  </si>
  <si>
    <t>21-18271-12</t>
  </si>
  <si>
    <t>21-19595-1</t>
  </si>
  <si>
    <t>Border States-Dundee MS</t>
  </si>
  <si>
    <t>21-19585-1</t>
  </si>
  <si>
    <t>21-19588-1</t>
  </si>
  <si>
    <t>21-19604-2</t>
  </si>
  <si>
    <t>Wesco-Santa Fe SPR CA</t>
  </si>
  <si>
    <t>21-19660-1</t>
  </si>
  <si>
    <t>21-19639-1</t>
  </si>
  <si>
    <t>TVA-Gallatin TN</t>
  </si>
  <si>
    <t>21-19141-1</t>
  </si>
  <si>
    <t>21-19617-1</t>
  </si>
  <si>
    <t>21-19588-3</t>
  </si>
  <si>
    <t>21-19588-2</t>
  </si>
  <si>
    <t>Techline-Austin TX</t>
  </si>
  <si>
    <t>21-19671-2</t>
  </si>
  <si>
    <t>21-19671-1</t>
  </si>
  <si>
    <t>21-19663-1</t>
  </si>
  <si>
    <t>21-19560-1</t>
  </si>
  <si>
    <t>21-19141-2</t>
  </si>
  <si>
    <t>21-19696-1</t>
  </si>
  <si>
    <t>21-19664-1</t>
  </si>
  <si>
    <t>21-19668-1</t>
  </si>
  <si>
    <t>21-19591-1</t>
  </si>
  <si>
    <t>First Energy-Connellsville PA</t>
  </si>
  <si>
    <t>21-19607-1</t>
  </si>
  <si>
    <t>21-19249-6</t>
  </si>
  <si>
    <t>Wesco-Charlotte NC</t>
  </si>
  <si>
    <t>21-19620-1</t>
  </si>
  <si>
    <t>Stuart Irby-Ft Worth TX</t>
  </si>
  <si>
    <t>21-19238-1</t>
  </si>
  <si>
    <t>21-19249-5</t>
  </si>
  <si>
    <t>Duke-Charlotte NC</t>
  </si>
  <si>
    <t>21-19260-2</t>
  </si>
  <si>
    <t>21-19650-1</t>
  </si>
  <si>
    <t>Wesco-Orlando FL</t>
  </si>
  <si>
    <t>21-19681-1</t>
  </si>
  <si>
    <t>Wesco-San Antonio TX</t>
  </si>
  <si>
    <t>21-19510-1</t>
  </si>
  <si>
    <t>21-19485-1/21-19605-1</t>
  </si>
  <si>
    <t>Border States-Sidney NE</t>
  </si>
  <si>
    <t>21-19652-1</t>
  </si>
  <si>
    <t>21-19653-1/21-19608-1/21-19651-2</t>
  </si>
  <si>
    <t>21-19721-1</t>
  </si>
  <si>
    <t>21-19694-1</t>
  </si>
  <si>
    <t>Power Line-Whitehall PA</t>
  </si>
  <si>
    <t>21-19695-1</t>
  </si>
  <si>
    <t>BSE-Rio Rancho NM</t>
  </si>
  <si>
    <t>21-19692-1</t>
  </si>
  <si>
    <t>WUE-Montrose CO</t>
  </si>
  <si>
    <t>21-19708-1</t>
  </si>
  <si>
    <t>21-19684-1</t>
  </si>
  <si>
    <t>MD Henry Co-Pelham AL</t>
  </si>
  <si>
    <t>21-19202-1</t>
  </si>
  <si>
    <t>21-19616-1/21-19644-1</t>
  </si>
  <si>
    <t>First Energy-Bethel PA</t>
  </si>
  <si>
    <t>21-19737-1/21-19736-1</t>
  </si>
  <si>
    <t>Naional Grid-Whitinsville MA</t>
  </si>
  <si>
    <t>21-19709-1</t>
  </si>
  <si>
    <t>21-19304-3</t>
  </si>
  <si>
    <t>21-19304-1</t>
  </si>
  <si>
    <t>21-19672-1/21-19722-1</t>
  </si>
  <si>
    <t>21-19733-1</t>
  </si>
  <si>
    <t>21-19558-1</t>
  </si>
  <si>
    <t>21-19742-1</t>
  </si>
  <si>
    <t>PPL-Hazle Township PA</t>
  </si>
  <si>
    <t>21-19504-1</t>
  </si>
  <si>
    <t>21-19504-2</t>
  </si>
  <si>
    <t>Georgia Transmission-Forsyth GA</t>
  </si>
  <si>
    <t>21-19711-1</t>
  </si>
  <si>
    <t>Jax Transport</t>
  </si>
  <si>
    <t>Power Line-Mooresville IN</t>
  </si>
  <si>
    <t>21-19578-1</t>
  </si>
  <si>
    <t>21-19700-1</t>
  </si>
  <si>
    <t>21-19578-2</t>
  </si>
  <si>
    <t>21-19725-1</t>
  </si>
  <si>
    <t>21-19727-1</t>
  </si>
  <si>
    <t>21-19455-2</t>
  </si>
  <si>
    <t>Ameren-Decatur IL</t>
  </si>
  <si>
    <t>21-19335-1/21-19750-1</t>
  </si>
  <si>
    <t>Stuart Irby-New Haven CT</t>
  </si>
  <si>
    <t>21-19751-1</t>
  </si>
  <si>
    <t>ComEd-Libertyville IL</t>
  </si>
  <si>
    <t>21-19767-1</t>
  </si>
  <si>
    <t>21-19779-2</t>
  </si>
  <si>
    <t>21-19779-1</t>
  </si>
  <si>
    <t>21-19723-3</t>
  </si>
  <si>
    <t>21-19723-1</t>
  </si>
  <si>
    <t>21-19723-2</t>
  </si>
  <si>
    <t>Gresco-Nashville TN</t>
  </si>
  <si>
    <t>21-19728-1</t>
  </si>
  <si>
    <t>21-19304-2</t>
  </si>
  <si>
    <t>21-19603-2</t>
  </si>
  <si>
    <t>21-19603-3</t>
  </si>
  <si>
    <t>21-19603-1</t>
  </si>
  <si>
    <t>21-19651-3</t>
  </si>
  <si>
    <t>21-19710-1</t>
  </si>
  <si>
    <t>21-19690-4/21-19690-7</t>
  </si>
  <si>
    <t>21-19795-1</t>
  </si>
  <si>
    <t>21-19710-4</t>
  </si>
  <si>
    <t>21-19710-2</t>
  </si>
  <si>
    <t>21-19710-3</t>
  </si>
  <si>
    <t>21-18044-11</t>
  </si>
  <si>
    <t>21-19690-2</t>
  </si>
  <si>
    <t>21-19690-3</t>
  </si>
  <si>
    <t>21-19690-1</t>
  </si>
  <si>
    <t>21-19747-1</t>
  </si>
  <si>
    <t>21-19786-1</t>
  </si>
  <si>
    <t>Wesco-Greenfield IN</t>
  </si>
  <si>
    <t>21-19792-1</t>
  </si>
  <si>
    <t>21-19784-1</t>
  </si>
  <si>
    <t>Wesco-Walls MS</t>
  </si>
  <si>
    <t>21-19553-1</t>
  </si>
  <si>
    <t>21-19788-1</t>
  </si>
  <si>
    <t>21-19739-2</t>
  </si>
  <si>
    <t>Graybar-Rutland VT</t>
  </si>
  <si>
    <t>21-19739-1</t>
  </si>
  <si>
    <t>Wesco-Reddick FL</t>
  </si>
  <si>
    <t>21-19312-2</t>
  </si>
  <si>
    <t>21-19312-3</t>
  </si>
  <si>
    <t>21-19789-1</t>
  </si>
  <si>
    <t>21-19447-1</t>
  </si>
  <si>
    <t>TVA-Leoma TN</t>
  </si>
  <si>
    <t>21-19447-2</t>
  </si>
  <si>
    <t>NYPA-Marcy NY</t>
  </si>
  <si>
    <t>21-19824-1</t>
  </si>
  <si>
    <t>21-19786-2</t>
  </si>
  <si>
    <t>21-19790-1</t>
  </si>
  <si>
    <t>Arkansas Elect-Mountain Home AR</t>
  </si>
  <si>
    <t>21-19714-1</t>
  </si>
  <si>
    <t>21-19824-2</t>
  </si>
  <si>
    <t>Duke-Reddick FL</t>
  </si>
  <si>
    <t>21-19312-4</t>
  </si>
  <si>
    <t>21-19825-1</t>
  </si>
  <si>
    <t>Georgia Power-Forest Park GA</t>
  </si>
  <si>
    <t>21-19738-1</t>
  </si>
  <si>
    <t>21-19785-1/21-19793-1</t>
  </si>
  <si>
    <t>21-19532-1</t>
  </si>
  <si>
    <t>21-19766-1</t>
  </si>
  <si>
    <t>21-19632-1</t>
  </si>
  <si>
    <t>21-19766-2</t>
  </si>
  <si>
    <t>Umatilla Electric-Hermiston OR</t>
  </si>
  <si>
    <t>21-19796-1</t>
  </si>
  <si>
    <t>21-19312-1</t>
  </si>
  <si>
    <t>Power Line-Reed City MI</t>
  </si>
  <si>
    <t>21-19423-1</t>
  </si>
  <si>
    <t>21-19740-1</t>
  </si>
  <si>
    <t>21-19741-1</t>
  </si>
  <si>
    <t>Anixter-Crows Landing CA</t>
  </si>
  <si>
    <t>21-19594-1</t>
  </si>
  <si>
    <t>21-19787-1</t>
  </si>
  <si>
    <t>21-19834-1</t>
  </si>
  <si>
    <t>21-19690-5</t>
  </si>
  <si>
    <t>21-19819-5</t>
  </si>
  <si>
    <t>21-19819-1</t>
  </si>
  <si>
    <t>21-19819-3</t>
  </si>
  <si>
    <t>National Grid-Lancaster NY</t>
  </si>
  <si>
    <t>21-19600-1</t>
  </si>
  <si>
    <t xml:space="preserve">Address for Buffalo was incorrect </t>
  </si>
  <si>
    <t>21-19600-2</t>
  </si>
  <si>
    <t>21-19741-2</t>
  </si>
  <si>
    <t>21-19600-4</t>
  </si>
  <si>
    <t xml:space="preserve">Address for Cheektowaga was incorrect </t>
  </si>
  <si>
    <t>21-19600-3</t>
  </si>
  <si>
    <t>21-18542-19</t>
  </si>
  <si>
    <t>Replaced pallets missing from CHR direct shipment - added this to 21-19600-3 for a 2 stop drop</t>
  </si>
  <si>
    <t>21-19819-4</t>
  </si>
  <si>
    <t>21-19819-2</t>
  </si>
  <si>
    <t>21-19141-3</t>
  </si>
  <si>
    <t>21-19702-1</t>
  </si>
  <si>
    <t>21-19199-1</t>
  </si>
  <si>
    <t>21-19832-1/21-19701-1</t>
  </si>
  <si>
    <t>21-19492-1</t>
  </si>
  <si>
    <t>21-19304-4</t>
  </si>
  <si>
    <t>21-19865-1</t>
  </si>
  <si>
    <t>21-19199-2</t>
  </si>
  <si>
    <t>21-19229-1</t>
  </si>
  <si>
    <t>21-19655-2</t>
  </si>
  <si>
    <t>21-19869-1</t>
  </si>
  <si>
    <t>21-19242-4</t>
  </si>
  <si>
    <t>21-19342-2</t>
  </si>
  <si>
    <t>21-19342-1</t>
  </si>
  <si>
    <t>21-19854-1</t>
  </si>
  <si>
    <t>CEE-US-West Columbia SC</t>
  </si>
  <si>
    <t>21-19843-1</t>
  </si>
  <si>
    <t>21-19341-1/21-19342-3</t>
  </si>
  <si>
    <t>21-19836-1</t>
  </si>
  <si>
    <t>21-19837-1</t>
  </si>
  <si>
    <t>21-19885-1</t>
  </si>
  <si>
    <t>21-19600-5</t>
  </si>
  <si>
    <t>21-19838-1</t>
  </si>
  <si>
    <t>21-19841-1</t>
  </si>
  <si>
    <t>21-19880-1</t>
  </si>
  <si>
    <t>21-19834-2</t>
  </si>
  <si>
    <t>Oncor-Sherman TX</t>
  </si>
  <si>
    <t>21-19912-1</t>
  </si>
  <si>
    <t>21-19897-1</t>
  </si>
  <si>
    <t>Alpha Power-Wood Cross UT</t>
  </si>
  <si>
    <t>21-19873</t>
  </si>
  <si>
    <t>Wesco-Jackson MO</t>
  </si>
  <si>
    <t>21-19450-1</t>
  </si>
  <si>
    <t>Detention charges plus pallet jack purchase - wrong info given should have been a flatbed</t>
  </si>
  <si>
    <t>21-19279-1</t>
  </si>
  <si>
    <t>Choctaw Kaul-Fallstwon MD</t>
  </si>
  <si>
    <t>21-19884-1</t>
  </si>
  <si>
    <t>21-19884-3</t>
  </si>
  <si>
    <t>21-19893-1</t>
  </si>
  <si>
    <t>Wrong address given</t>
  </si>
  <si>
    <t>21-19655-1</t>
  </si>
  <si>
    <t>21-19884-2</t>
  </si>
  <si>
    <t>21-19840-1</t>
  </si>
  <si>
    <t>National Grid-Sterling MA</t>
  </si>
  <si>
    <t>21-19918-1</t>
  </si>
  <si>
    <t>21-19840-2</t>
  </si>
  <si>
    <t>21-19909-1</t>
  </si>
  <si>
    <t>21-19765-1</t>
  </si>
  <si>
    <t>Peak Substation-Ozona TX</t>
  </si>
  <si>
    <t>21-19828-1</t>
  </si>
  <si>
    <t>21-19899-1/21-19900-1/21-19898-1/21-19930-1</t>
  </si>
  <si>
    <t>21-19918-2</t>
  </si>
  <si>
    <t>21-19690-6</t>
  </si>
  <si>
    <t>Border States-Duluth MN</t>
  </si>
  <si>
    <t>21-19910-1</t>
  </si>
  <si>
    <t>21-19279-2</t>
  </si>
  <si>
    <t>21-19338-1</t>
  </si>
  <si>
    <t>21-19734-1</t>
  </si>
  <si>
    <t>21-19918-4</t>
  </si>
  <si>
    <t>21-19918-3</t>
  </si>
  <si>
    <t>21-19918-5</t>
  </si>
  <si>
    <t>21-19914-2</t>
  </si>
  <si>
    <t>21-19716-1/21-19839-1/21-19715-1/21-19753-1</t>
  </si>
  <si>
    <t>21-19689-1</t>
  </si>
  <si>
    <t>21-19911-1</t>
  </si>
  <si>
    <t>21-19864-1</t>
  </si>
  <si>
    <t>21-19600-6</t>
  </si>
  <si>
    <t>21-19905-1</t>
  </si>
  <si>
    <t>Wesco-Harrisburg PA</t>
  </si>
  <si>
    <t>21-19927-1</t>
  </si>
  <si>
    <t>21-19777-1</t>
  </si>
  <si>
    <t>21-19949-1</t>
  </si>
  <si>
    <t>21-19914-1</t>
  </si>
  <si>
    <t>21-19906-1</t>
  </si>
  <si>
    <t>21-19833-1</t>
  </si>
  <si>
    <t>21-19622-1</t>
  </si>
  <si>
    <t>21-19622-2</t>
  </si>
  <si>
    <t>Anixter-Boise ID</t>
  </si>
  <si>
    <t>21-19805-1</t>
  </si>
  <si>
    <t>21-19777-2/21-19693-1/21-19684-2/21-19929-1</t>
  </si>
  <si>
    <t>Power Line-Connellsville PA</t>
  </si>
  <si>
    <t>21-19913-1</t>
  </si>
  <si>
    <t>Garybar-Manchester NH</t>
  </si>
  <si>
    <t>21-19881-1</t>
  </si>
  <si>
    <t>Anixter-San Antonio TX</t>
  </si>
  <si>
    <t>21-19959-1</t>
  </si>
  <si>
    <t>21-19884-4</t>
  </si>
  <si>
    <t>Central Elec-Jefferson City MO</t>
  </si>
  <si>
    <t>21-19962-1</t>
  </si>
  <si>
    <t>21-19904-1</t>
  </si>
  <si>
    <t>PG&amp;E-Bakersfield CA</t>
  </si>
  <si>
    <t>21-19915-1</t>
  </si>
  <si>
    <t>Border States-Frohna MO</t>
  </si>
  <si>
    <t>21-19530-1</t>
  </si>
  <si>
    <t>21-19768-1</t>
  </si>
  <si>
    <t>21-19777-3</t>
  </si>
  <si>
    <t>21-19863-3</t>
  </si>
  <si>
    <t>21-19902-2</t>
  </si>
  <si>
    <t>21-19952-1</t>
  </si>
  <si>
    <t>21-19863-4</t>
  </si>
  <si>
    <t>21-19863-2</t>
  </si>
  <si>
    <t>21-19952-2</t>
  </si>
  <si>
    <t>21-19856-1</t>
  </si>
  <si>
    <t>Power Line-Lima OH</t>
  </si>
  <si>
    <t>21-19929-4</t>
  </si>
  <si>
    <t>Address change - originally going to Sidney OH</t>
  </si>
  <si>
    <t>21-19929-5</t>
  </si>
  <si>
    <t>Border States-Garden City KS</t>
  </si>
  <si>
    <t>21-19920-1</t>
  </si>
  <si>
    <t>21-19929-2</t>
  </si>
  <si>
    <t>Turtle&amp;Hughes-Lawnside NJ</t>
  </si>
  <si>
    <t>21-19958-1</t>
  </si>
  <si>
    <t>21-19902-1</t>
  </si>
  <si>
    <t>21-19929-3</t>
  </si>
  <si>
    <t>Anixter Power Solutions-Orlando FL</t>
  </si>
  <si>
    <t>21-19852-1</t>
  </si>
  <si>
    <t>21-19971-1</t>
  </si>
  <si>
    <t>21-19950-1</t>
  </si>
  <si>
    <t>KAMO Power-Vinita OK</t>
  </si>
  <si>
    <t>21-19919-1</t>
  </si>
  <si>
    <t>21-19970-3</t>
  </si>
  <si>
    <t>21-19970-1</t>
  </si>
  <si>
    <t>21-19417-1</t>
  </si>
  <si>
    <t>Border States-The Dalles OR</t>
  </si>
  <si>
    <t>21-19977-2</t>
  </si>
  <si>
    <t>21-19977-1</t>
  </si>
  <si>
    <t>21-19842-1</t>
  </si>
  <si>
    <t>National Grid-Buffalo NY</t>
  </si>
  <si>
    <t>21-19984-1</t>
  </si>
  <si>
    <t>21-19878-1/21-19978-1</t>
  </si>
  <si>
    <t>21-19925-1</t>
  </si>
  <si>
    <t>21-19948-3</t>
  </si>
  <si>
    <t>21-19948-1</t>
  </si>
  <si>
    <t>National Grid-Clifton Park NY</t>
  </si>
  <si>
    <t>21-19989-1</t>
  </si>
  <si>
    <t>21-19986-1</t>
  </si>
  <si>
    <t>21-19254-3</t>
  </si>
  <si>
    <t>Anixter-Linden-IN</t>
  </si>
  <si>
    <t>21-19981-1</t>
  </si>
  <si>
    <t>21-19988-1</t>
  </si>
  <si>
    <t>21-19614-1</t>
  </si>
  <si>
    <t>Kamick-Burns Harbor IN</t>
  </si>
  <si>
    <t>21-19943-1</t>
  </si>
  <si>
    <t>21-19254-2</t>
  </si>
  <si>
    <t>21-19254-1</t>
  </si>
  <si>
    <t>21-19973-1</t>
  </si>
  <si>
    <t>21-19985-1</t>
  </si>
  <si>
    <t>Wesco-Butte MT</t>
  </si>
  <si>
    <t>21-19964-1/21-19769-1</t>
  </si>
  <si>
    <t>21-19902-3/21-19902-4</t>
  </si>
  <si>
    <t>21-19885-2</t>
  </si>
  <si>
    <t>Techline-Fort Worth TX</t>
  </si>
  <si>
    <t>21-19682-1</t>
  </si>
  <si>
    <t>21-19417-4</t>
  </si>
  <si>
    <t>Choctaw Kaul-Baltimore MD</t>
  </si>
  <si>
    <t>21-19980-1</t>
  </si>
  <si>
    <t>Show Me Power-Marshfield MO</t>
  </si>
  <si>
    <t>21-19983-1</t>
  </si>
  <si>
    <t>21-19957-1</t>
  </si>
  <si>
    <t>21-19417-3</t>
  </si>
  <si>
    <t>21-19597-1</t>
  </si>
  <si>
    <t>21-19863-1</t>
  </si>
  <si>
    <t>21-19968-1</t>
  </si>
  <si>
    <t>21-19924-1</t>
  </si>
  <si>
    <t>Comed-Libertyville IL</t>
  </si>
  <si>
    <t>21-19993</t>
  </si>
  <si>
    <t>Gulf Power-Pensacola FL</t>
  </si>
  <si>
    <t>21-20016-1</t>
  </si>
  <si>
    <t>Weight lbs.</t>
  </si>
  <si>
    <t>Weight kg</t>
  </si>
  <si>
    <t>Cost per kg</t>
  </si>
  <si>
    <t>Metric Tons</t>
  </si>
  <si>
    <t>cost per ton</t>
  </si>
  <si>
    <t>21-20001-1/21-20005-1</t>
  </si>
  <si>
    <t>Power Line-Bethal PA</t>
  </si>
  <si>
    <t>21-19933-1</t>
  </si>
  <si>
    <t>21-19942-1</t>
  </si>
  <si>
    <t>21-20022-1</t>
  </si>
  <si>
    <t>21-20022-2</t>
  </si>
  <si>
    <t>21-19417-5</t>
  </si>
  <si>
    <t>21-19948-2</t>
  </si>
  <si>
    <t>21-20007-1</t>
  </si>
  <si>
    <t>21-19417-2</t>
  </si>
  <si>
    <t>21-20009-1</t>
  </si>
  <si>
    <t>Choctaw Kaul-Salisbury MD</t>
  </si>
  <si>
    <t>21-20023-1/21-20024-1</t>
  </si>
  <si>
    <t>Duke Energy-Charlotte NC</t>
  </si>
  <si>
    <t>21-20034-2</t>
  </si>
  <si>
    <t>21-20028-1/21-20028-2</t>
  </si>
  <si>
    <t>21-19510-2</t>
  </si>
  <si>
    <t>21-20034-1</t>
  </si>
  <si>
    <t>21-20031-1</t>
  </si>
  <si>
    <t>21-20033-3</t>
  </si>
  <si>
    <t>21-20032-1</t>
  </si>
  <si>
    <t>21-20033-2</t>
  </si>
  <si>
    <t>21-19979-1</t>
  </si>
  <si>
    <t>21-20029-1</t>
  </si>
  <si>
    <t>21-19984-2</t>
  </si>
  <si>
    <t>21-19417-7</t>
  </si>
  <si>
    <t>21-20033-1</t>
  </si>
  <si>
    <t>21-20025-1</t>
  </si>
  <si>
    <t>21-19820-1</t>
  </si>
  <si>
    <t>21-19820-2</t>
  </si>
  <si>
    <t>21-19820-3</t>
  </si>
  <si>
    <t>21-20032-2</t>
  </si>
  <si>
    <t>21-20013-1</t>
  </si>
  <si>
    <t>Wesco-Santa Fe Springs CA</t>
  </si>
  <si>
    <t>21-20010-1</t>
  </si>
  <si>
    <t>21-19814-1</t>
  </si>
  <si>
    <t>Wesco-North Kingstown RI</t>
  </si>
  <si>
    <t>21-19944-2</t>
  </si>
  <si>
    <t>21-19944-3</t>
  </si>
  <si>
    <t>21-19944-1</t>
  </si>
  <si>
    <t>21-19944-4</t>
  </si>
  <si>
    <t>21-19944-5</t>
  </si>
  <si>
    <t>21-19944-6</t>
  </si>
  <si>
    <t>SRP-Gila Bend AZ</t>
  </si>
  <si>
    <t>21-20020-1</t>
  </si>
  <si>
    <t>21-19417-6</t>
  </si>
  <si>
    <t>21-19417-9</t>
  </si>
  <si>
    <t>21-19417-8</t>
  </si>
  <si>
    <t>21-19417-10</t>
  </si>
  <si>
    <t>21-20027-1</t>
  </si>
  <si>
    <t>21-20026-1</t>
  </si>
  <si>
    <t>21-19994-1</t>
  </si>
  <si>
    <t>BPA-Vancouver WA</t>
  </si>
  <si>
    <t>21-19662-1</t>
  </si>
  <si>
    <t>21-19662-2</t>
  </si>
  <si>
    <t>21-20039-1</t>
  </si>
  <si>
    <t>21-20063-2</t>
  </si>
  <si>
    <t>21-20021-1</t>
  </si>
  <si>
    <t>Wesco-Nashville TN</t>
  </si>
  <si>
    <t>21-20054-1</t>
  </si>
  <si>
    <t>21-20057-1</t>
  </si>
  <si>
    <t>21-19662-3</t>
  </si>
  <si>
    <t>21-19662-4</t>
  </si>
  <si>
    <t>21-20047-2</t>
  </si>
  <si>
    <t>21-20055-1</t>
  </si>
  <si>
    <t>21-20063-1</t>
  </si>
  <si>
    <t>Jax Transportation</t>
  </si>
  <si>
    <t>Fletcher-Poplar Bluff MO</t>
  </si>
  <si>
    <t>21-19729-3</t>
  </si>
  <si>
    <t>21-20047-1</t>
  </si>
  <si>
    <t>21-19644-2</t>
  </si>
  <si>
    <t>21-19682-2</t>
  </si>
  <si>
    <t>Resco-Moorehead MN</t>
  </si>
  <si>
    <t>21-19982-1</t>
  </si>
  <si>
    <t>21-19662-5</t>
  </si>
  <si>
    <t>21-20074-2</t>
  </si>
  <si>
    <t>One Source-Oceanside CA</t>
  </si>
  <si>
    <t>21-20011-1</t>
  </si>
  <si>
    <t xml:space="preserve">UPS </t>
  </si>
  <si>
    <t>Pepco-Key Largo FL</t>
  </si>
  <si>
    <t>21-20000-1</t>
  </si>
  <si>
    <t>21-19735-2</t>
  </si>
  <si>
    <t>21-20095-1</t>
  </si>
  <si>
    <t>21-20106-1</t>
  </si>
  <si>
    <t>21-20098-1</t>
  </si>
  <si>
    <t>21-20100-1</t>
  </si>
  <si>
    <t>21-20044-1</t>
  </si>
  <si>
    <t>National Grid-Liverpool NY</t>
  </si>
  <si>
    <t>21-20102-1</t>
  </si>
  <si>
    <t>Border States-Montrose CO</t>
  </si>
  <si>
    <t>21-20068-1</t>
  </si>
  <si>
    <t>21-20084-1</t>
  </si>
  <si>
    <t>21-20084-2</t>
  </si>
  <si>
    <t>21-20058-1</t>
  </si>
  <si>
    <t>21-20084-5</t>
  </si>
  <si>
    <t>21-20081-1</t>
  </si>
  <si>
    <t>21-20116-1</t>
  </si>
  <si>
    <t>21-20116-2</t>
  </si>
  <si>
    <t>Anixter-Tolleson AZ</t>
  </si>
  <si>
    <t>21-20043-1</t>
  </si>
  <si>
    <t>21-20119-1</t>
  </si>
  <si>
    <t>21-20084-4</t>
  </si>
  <si>
    <t>21-20084-3</t>
  </si>
  <si>
    <t>21-20117-1</t>
  </si>
  <si>
    <t>21-20066-1</t>
  </si>
  <si>
    <t>CEE US-Moncks Corner SC</t>
  </si>
  <si>
    <t>21-20122-1</t>
  </si>
  <si>
    <t>21-20107-1</t>
  </si>
  <si>
    <t>21-20074-3</t>
  </si>
  <si>
    <t>21-20072-1</t>
  </si>
  <si>
    <t>Choctaw Kaul-Newark DE</t>
  </si>
  <si>
    <t>21-20105-1</t>
  </si>
  <si>
    <t>Choctaw Kaul-Cape May Court House NJ</t>
  </si>
  <si>
    <t>21-20103-1</t>
  </si>
  <si>
    <t>Shipped as a 2 stop drop with 21-20105-1</t>
  </si>
  <si>
    <t>Shipped as a 2 stop drop with 21-20103-1</t>
  </si>
  <si>
    <t>Graybar-Newfane VT</t>
  </si>
  <si>
    <t>21-20030-1</t>
  </si>
  <si>
    <t>21-20074-1</t>
  </si>
  <si>
    <t>21-20052-1</t>
  </si>
  <si>
    <t>21-20064-1</t>
  </si>
  <si>
    <t>21-20147-1</t>
  </si>
  <si>
    <t>21-20085-1/21-20039-2</t>
  </si>
  <si>
    <t>21-20128-1</t>
  </si>
  <si>
    <t>21-20087-1</t>
  </si>
  <si>
    <t>21-20130-1</t>
  </si>
  <si>
    <t>Border States-Zapata TX</t>
  </si>
  <si>
    <t>21-20144-1</t>
  </si>
  <si>
    <t>21-20156-2</t>
  </si>
  <si>
    <t>21-20128-4</t>
  </si>
  <si>
    <t>21-20128-3/21-20128-8</t>
  </si>
  <si>
    <t>21-20104-1</t>
  </si>
  <si>
    <t>21-20069-2</t>
  </si>
  <si>
    <t>21-20147-2</t>
  </si>
  <si>
    <t>21-20038-1</t>
  </si>
  <si>
    <t>21-20069-1</t>
  </si>
  <si>
    <t>21-20156-1</t>
  </si>
  <si>
    <t>M&amp;A Elect-Poplar Bluff MO</t>
  </si>
  <si>
    <t>21-19735-3</t>
  </si>
  <si>
    <t>21-20154-1/21-20155-1</t>
  </si>
  <si>
    <t>21-20161-1</t>
  </si>
  <si>
    <t>Duke-Garner NC</t>
  </si>
  <si>
    <t>21-20078-1</t>
  </si>
  <si>
    <t>21-20128-5</t>
  </si>
  <si>
    <t>21-20128-6</t>
  </si>
  <si>
    <t>Choctaw Kaul-Bridgeton NJ</t>
  </si>
  <si>
    <t>21-20153-1</t>
  </si>
  <si>
    <t>21-20086-1</t>
  </si>
  <si>
    <t>PPL-Hasle Township PA</t>
  </si>
  <si>
    <t>21-19969-1</t>
  </si>
  <si>
    <t>21-20128-2</t>
  </si>
  <si>
    <t>21-20128-7</t>
  </si>
  <si>
    <t>21-20143-2</t>
  </si>
  <si>
    <t>21-20143-3/21-20143-4</t>
  </si>
  <si>
    <t>21-18297-2</t>
  </si>
  <si>
    <t>Basin-Beulah ND</t>
  </si>
  <si>
    <t>21-20097-1</t>
  </si>
  <si>
    <t>21-20158-1</t>
  </si>
  <si>
    <t>21-20070-1</t>
  </si>
  <si>
    <t>21-20143-1</t>
  </si>
  <si>
    <t>21-19672-2</t>
  </si>
  <si>
    <t>21-18897-2</t>
  </si>
  <si>
    <t>21-20175-1</t>
  </si>
  <si>
    <t>21-20180-1</t>
  </si>
  <si>
    <t>21-19638-2/21-19672-3</t>
  </si>
  <si>
    <t>21-18850-2</t>
  </si>
  <si>
    <t>21-18313-5/21-20082-2</t>
  </si>
  <si>
    <t>Border States-Lubbock TX</t>
  </si>
  <si>
    <t>21-20179-1</t>
  </si>
  <si>
    <t>Resco-Williston ND</t>
  </si>
  <si>
    <t>21-19296-2</t>
  </si>
  <si>
    <t xml:space="preserve">Techline-Fort Worth TX </t>
  </si>
  <si>
    <t>21-19991-1</t>
  </si>
  <si>
    <t>21-20127-2</t>
  </si>
  <si>
    <t xml:space="preserve">Closed </t>
  </si>
  <si>
    <t>National Grid-Whitinsville MA</t>
  </si>
  <si>
    <t>21-20123-1</t>
  </si>
  <si>
    <t>National Grid- Clifton Park NY</t>
  </si>
  <si>
    <t>21-20090-1</t>
  </si>
  <si>
    <t>21-20127-4</t>
  </si>
  <si>
    <t>21-20127-1</t>
  </si>
  <si>
    <t>21-20127-3</t>
  </si>
  <si>
    <t>21-20148-1/21-20149-1</t>
  </si>
  <si>
    <t>21-20127-5</t>
  </si>
  <si>
    <t>21-19342-4</t>
  </si>
  <si>
    <t>21-20127-6</t>
  </si>
  <si>
    <t>21-20185-1/21-20189-1</t>
  </si>
  <si>
    <t>21-20195-1</t>
  </si>
  <si>
    <t>21-18422-3/21-18897-3</t>
  </si>
  <si>
    <t>21-18526-1</t>
  </si>
  <si>
    <t>21-20073-1</t>
  </si>
  <si>
    <t>21-20101-2</t>
  </si>
  <si>
    <t>21-19342-5</t>
  </si>
  <si>
    <t>KBS-Houston TX</t>
  </si>
  <si>
    <t>21-20157-1</t>
  </si>
  <si>
    <t>21-20163-1</t>
  </si>
  <si>
    <t>Border States-Hermiston OR</t>
  </si>
  <si>
    <t>21-20211-3</t>
  </si>
  <si>
    <t>Address change from Yakima WA to Hermiston OR</t>
  </si>
  <si>
    <t>Stuart Irby-Waterville ME</t>
  </si>
  <si>
    <t>21-20201-1</t>
  </si>
  <si>
    <t>21-20101-1</t>
  </si>
  <si>
    <t>21-20211-1</t>
  </si>
  <si>
    <t>21-19926-1</t>
  </si>
  <si>
    <t>21-20211-2</t>
  </si>
  <si>
    <t>Anixter-Portland OR</t>
  </si>
  <si>
    <t>21-20061-1</t>
  </si>
  <si>
    <t>21-20223-1</t>
  </si>
  <si>
    <t>21-20226-1</t>
  </si>
  <si>
    <t>KBS-Lenorah TX</t>
  </si>
  <si>
    <t>21-19451-1</t>
  </si>
  <si>
    <t>21-20164-2</t>
  </si>
  <si>
    <t>21-20164-1</t>
  </si>
  <si>
    <t>Choctaw Kaul-Joliet IL</t>
  </si>
  <si>
    <t>21-20172-1</t>
  </si>
  <si>
    <t>Border States-Burlington CO</t>
  </si>
  <si>
    <t>21-20141-2</t>
  </si>
  <si>
    <t>21-20228-1</t>
  </si>
  <si>
    <t>21-20228-2</t>
  </si>
  <si>
    <t>21-20141-1</t>
  </si>
  <si>
    <t>21-20065-1</t>
  </si>
  <si>
    <t>21-20065-2</t>
  </si>
  <si>
    <t>21-20141-3</t>
  </si>
  <si>
    <t>21-20229-1</t>
  </si>
  <si>
    <t>21-20190-1</t>
  </si>
  <si>
    <t>21-20065-3</t>
  </si>
  <si>
    <t>21-20196-1</t>
  </si>
  <si>
    <t>Turtle &amp; Hughes-Bridgewater NJ</t>
  </si>
  <si>
    <t>21-20188-1</t>
  </si>
  <si>
    <t>21-20192-1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</si>
  <si>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</si>
  <si>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</si>
  <si>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</si>
  <si>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</si>
  <si>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</si>
  <si>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</si>
  <si>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</si>
  <si>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</si>
  <si>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</si>
  <si>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Count of SO #</t>
  </si>
  <si>
    <t>Sum of Weight lbs.</t>
  </si>
  <si>
    <t>21-22330</t>
  </si>
  <si>
    <t>Saber Power-Midland TX</t>
  </si>
  <si>
    <t>21-22013</t>
  </si>
  <si>
    <t xml:space="preserve">Anixter-Ashland VA </t>
  </si>
  <si>
    <t>21-22318-1</t>
  </si>
  <si>
    <t>Border States-Coolidge AZ</t>
  </si>
  <si>
    <t>21-21870-1</t>
  </si>
  <si>
    <t>21-21870-2</t>
  </si>
  <si>
    <t xml:space="preserve">21-22342 </t>
  </si>
  <si>
    <t>Armstrong Transportation</t>
  </si>
  <si>
    <t>21-23318-2</t>
  </si>
  <si>
    <t>Tri State-Sidney NE</t>
  </si>
  <si>
    <t>21-22310</t>
  </si>
  <si>
    <t>Wesco-Tolleson AZ</t>
  </si>
  <si>
    <t>21-22337-2</t>
  </si>
  <si>
    <t>21-21828-1</t>
  </si>
  <si>
    <t>21-22314-1</t>
  </si>
  <si>
    <t>21-21870-3</t>
  </si>
  <si>
    <t>21-21437</t>
  </si>
  <si>
    <t>Pike Newberry-Newberry SC</t>
  </si>
  <si>
    <t>21-21790-3</t>
  </si>
  <si>
    <t>21-22337-1</t>
  </si>
  <si>
    <t>Power South-Ansalusia AL</t>
  </si>
  <si>
    <t>21-22352</t>
  </si>
  <si>
    <t>Rhode Island-Middleton RI</t>
  </si>
  <si>
    <t>21-21502</t>
  </si>
  <si>
    <t>Address change to Tiverton RI</t>
  </si>
  <si>
    <t>21-22311</t>
  </si>
  <si>
    <t>21-21790</t>
  </si>
  <si>
    <t>21-22264</t>
  </si>
  <si>
    <t>21-21642</t>
  </si>
  <si>
    <t>21-21795-2</t>
  </si>
  <si>
    <t>Address change to Tiptonvile TN</t>
  </si>
  <si>
    <t>TVA-Oakland TN</t>
  </si>
  <si>
    <t>21-21795-1</t>
  </si>
  <si>
    <t>21-22300</t>
  </si>
  <si>
    <t>Resco-Moorhead MN</t>
  </si>
  <si>
    <t>21-22357</t>
  </si>
  <si>
    <t>21-22118-1</t>
  </si>
  <si>
    <t>21-22347</t>
  </si>
  <si>
    <t>21-21790-1</t>
  </si>
  <si>
    <t>21-22313</t>
  </si>
  <si>
    <t>21-22351</t>
  </si>
  <si>
    <t>21-22118-2</t>
  </si>
  <si>
    <t>21-21642-2</t>
  </si>
  <si>
    <t>21-22313-2</t>
  </si>
  <si>
    <t>GREC-Chouteau OK</t>
  </si>
  <si>
    <t>21-22266</t>
  </si>
  <si>
    <t>21-22344</t>
  </si>
  <si>
    <t>21-22148/21-22359</t>
  </si>
  <si>
    <t>Basin Elec-Stanton ND</t>
  </si>
  <si>
    <t>21-22323</t>
  </si>
  <si>
    <t>Stuart Irby-Mentor OH</t>
  </si>
  <si>
    <t>21-22159-1</t>
  </si>
  <si>
    <t>Rhode Island-Tiverton RI</t>
  </si>
  <si>
    <t>21-21503</t>
  </si>
  <si>
    <t>Rhode Island-Lincoln RI</t>
  </si>
  <si>
    <t>21-22030</t>
  </si>
  <si>
    <t>21-22159-2</t>
  </si>
  <si>
    <t>21-22313-1</t>
  </si>
  <si>
    <t>21-22360</t>
  </si>
  <si>
    <t>Choctaw Kaul-Milford Mill MD</t>
  </si>
  <si>
    <t>21-22362</t>
  </si>
  <si>
    <t>Wesco-Dallesport WA</t>
  </si>
  <si>
    <t>21-21138</t>
  </si>
  <si>
    <t>Dominion-Charleston SC</t>
  </si>
  <si>
    <t>21-21020-3</t>
  </si>
  <si>
    <t>Aiken Substation-Aiken SC</t>
  </si>
  <si>
    <t>21-21357</t>
  </si>
  <si>
    <t>21-22040-1</t>
  </si>
  <si>
    <t>21-21828/21-22314/21-22040</t>
  </si>
  <si>
    <t>21-21020-1</t>
  </si>
  <si>
    <t>Wesco-Garden City TX</t>
  </si>
  <si>
    <t>21-22294</t>
  </si>
  <si>
    <t>Anixter-Spokane WA</t>
  </si>
  <si>
    <t>21-21944</t>
  </si>
  <si>
    <t>21-22192</t>
  </si>
  <si>
    <t>21-22366</t>
  </si>
  <si>
    <t>21-21020-2</t>
  </si>
  <si>
    <t>21-22159-3</t>
  </si>
  <si>
    <t>Frogmore-St Helena SC</t>
  </si>
  <si>
    <t>21-21199</t>
  </si>
  <si>
    <t>Address change to Charleston SC</t>
  </si>
  <si>
    <t>21-22263</t>
  </si>
  <si>
    <t>21-22159</t>
  </si>
  <si>
    <t>Choctaw Kaul-Upper -Upper Marlboro MD</t>
  </si>
  <si>
    <t>21-22374</t>
  </si>
  <si>
    <t>Wesco-Amarillo TX</t>
  </si>
  <si>
    <t>21-22392</t>
  </si>
  <si>
    <t>21-21304-3</t>
  </si>
  <si>
    <t>Rush order-team drivers</t>
  </si>
  <si>
    <t>21-21304-2</t>
  </si>
  <si>
    <t xml:space="preserve">21-22389 </t>
  </si>
  <si>
    <t>Partial Flatbed Shipment</t>
  </si>
  <si>
    <t>21-21304-1</t>
  </si>
  <si>
    <t>Stuart Irby-West Valley City UT</t>
  </si>
  <si>
    <t>21-22384</t>
  </si>
  <si>
    <t>Graybar-Baltimore MD</t>
  </si>
  <si>
    <t>21-22230</t>
  </si>
  <si>
    <t>Border States-Racine WI</t>
  </si>
  <si>
    <t>21-22174-3</t>
  </si>
  <si>
    <t>21-22406-1</t>
  </si>
  <si>
    <t>21-22406-3</t>
  </si>
  <si>
    <t>21-21862</t>
  </si>
  <si>
    <t>Stuart Irby-Fulton NY</t>
  </si>
  <si>
    <t>21-22387</t>
  </si>
  <si>
    <t>21-22391</t>
  </si>
  <si>
    <t>21-22406-2</t>
  </si>
  <si>
    <t>Border States-Lakeville MN</t>
  </si>
  <si>
    <t>21-21269-9</t>
  </si>
  <si>
    <t>21-21269-3</t>
  </si>
  <si>
    <t>21-21269-7</t>
  </si>
  <si>
    <t>21-21269-6</t>
  </si>
  <si>
    <t>21-21269-1</t>
  </si>
  <si>
    <t>21-21269-2</t>
  </si>
  <si>
    <t>21-21269-4</t>
  </si>
  <si>
    <t>21-21269-5</t>
  </si>
  <si>
    <t>21-21269-8</t>
  </si>
  <si>
    <t>21-22414-1</t>
  </si>
  <si>
    <t>21-22414-2</t>
  </si>
  <si>
    <t>21-22414-3</t>
  </si>
  <si>
    <t>21-22414-4</t>
  </si>
  <si>
    <t>Oncor-Waco TX</t>
  </si>
  <si>
    <t>21-22415-1</t>
  </si>
  <si>
    <t>21-22415-2</t>
  </si>
  <si>
    <t>21-22174-2</t>
  </si>
  <si>
    <t>21-22174-1</t>
  </si>
  <si>
    <t>21-22367</t>
  </si>
  <si>
    <t>21-22043</t>
  </si>
  <si>
    <t>21-22396</t>
  </si>
  <si>
    <t>21-22316-1</t>
  </si>
  <si>
    <t>21-22316-2</t>
  </si>
  <si>
    <t>21-22316-3</t>
  </si>
  <si>
    <t>21-21983</t>
  </si>
  <si>
    <t>21-22346</t>
  </si>
  <si>
    <t>21-22422-1</t>
  </si>
  <si>
    <t>21-22422-2</t>
  </si>
  <si>
    <t>Wesco-Dayton OH</t>
  </si>
  <si>
    <t>21-22332</t>
  </si>
  <si>
    <t>21-22432</t>
  </si>
  <si>
    <t>21-21597-1</t>
  </si>
  <si>
    <t>21-21597-3</t>
  </si>
  <si>
    <t>21-22117</t>
  </si>
  <si>
    <t>21-22113</t>
  </si>
  <si>
    <t>Georgia Power-Macon GA</t>
  </si>
  <si>
    <t>21-22426-1</t>
  </si>
  <si>
    <t>21-22385</t>
  </si>
  <si>
    <t>21-22435</t>
  </si>
  <si>
    <t>21-22426-2</t>
  </si>
  <si>
    <t>21-22453</t>
  </si>
  <si>
    <t>Rhode Island-Burrville RI</t>
  </si>
  <si>
    <t>21-21511</t>
  </si>
  <si>
    <t>Bennett-Elverta CA</t>
  </si>
  <si>
    <t>21-21947</t>
  </si>
  <si>
    <t>21-22416</t>
  </si>
  <si>
    <t>Techline-Midkiff TX</t>
  </si>
  <si>
    <t>21-21458/21-21459</t>
  </si>
  <si>
    <t>21-21597-2</t>
  </si>
  <si>
    <t>21-21598-2</t>
  </si>
  <si>
    <t>21-21598-1</t>
  </si>
  <si>
    <t>21-21904/21-21700</t>
  </si>
  <si>
    <t>21-22468</t>
  </si>
  <si>
    <t>21-22452</t>
  </si>
  <si>
    <t>21-22390</t>
  </si>
  <si>
    <t>First Energy-Bethal PA</t>
  </si>
  <si>
    <t>21-22051</t>
  </si>
  <si>
    <t>21-22466</t>
  </si>
  <si>
    <t>Power Line Supply-Reed City MI</t>
  </si>
  <si>
    <t>21-22231</t>
  </si>
  <si>
    <t>21-22146</t>
  </si>
  <si>
    <t>21-22137</t>
  </si>
  <si>
    <t>Anixter Power Solutions-Tolleson AZ</t>
  </si>
  <si>
    <t>21-22464</t>
  </si>
  <si>
    <t>21-21598-3</t>
  </si>
  <si>
    <t>Address chabged to Tiverton RI per Kevin</t>
  </si>
  <si>
    <t>21-22444</t>
  </si>
  <si>
    <t>21-22307-1</t>
  </si>
  <si>
    <t>21-22419-1</t>
  </si>
  <si>
    <t>21-22172-1</t>
  </si>
  <si>
    <t>21-22172-2</t>
  </si>
  <si>
    <t>Power Line-Williamsburg IA</t>
  </si>
  <si>
    <t>21-22446</t>
  </si>
  <si>
    <t>21-22399</t>
  </si>
  <si>
    <t>21-22474</t>
  </si>
  <si>
    <t>21-22339/21-22340</t>
  </si>
  <si>
    <t>21-22361</t>
  </si>
  <si>
    <t>21-22419-2</t>
  </si>
  <si>
    <t>21-22520</t>
  </si>
  <si>
    <t>Pwer Line-North Kingstown RI</t>
  </si>
  <si>
    <t>21-22430</t>
  </si>
  <si>
    <t>21-22431/21-22348/21-22322</t>
  </si>
  <si>
    <t>Oncor-Odessa TX</t>
  </si>
  <si>
    <t>21-22413</t>
  </si>
  <si>
    <t>21-22377/21-22521</t>
  </si>
  <si>
    <t>21-22522-1</t>
  </si>
  <si>
    <t>One Source-Sun Valley CA</t>
  </si>
  <si>
    <t>21-22475/21-21248</t>
  </si>
  <si>
    <t>Bennett-Marana AZ</t>
  </si>
  <si>
    <t>21-22437-1</t>
  </si>
  <si>
    <t>21-22522-2</t>
  </si>
  <si>
    <t>21-22307/21-20804</t>
  </si>
  <si>
    <t>21-22516</t>
  </si>
  <si>
    <t>21-22437-2</t>
  </si>
  <si>
    <t>21-22532-2</t>
  </si>
  <si>
    <t>21-22532-1</t>
  </si>
  <si>
    <t>Choctaw Kaul-Detriot MI</t>
  </si>
  <si>
    <t>21-22519</t>
  </si>
  <si>
    <t>Border States-Duluth</t>
  </si>
  <si>
    <t>21-22518/21-22279</t>
  </si>
  <si>
    <t>21-22327</t>
  </si>
  <si>
    <t>21-22186</t>
  </si>
  <si>
    <t>21-22537</t>
  </si>
  <si>
    <t>Power Line-North Kingstown RI</t>
  </si>
  <si>
    <t>21-22078</t>
  </si>
  <si>
    <t>21-22394</t>
  </si>
  <si>
    <t>21-22535</t>
  </si>
  <si>
    <t>21-21965-1</t>
  </si>
  <si>
    <t>21-22533</t>
  </si>
  <si>
    <t>Rhode Island-Smithfield RI</t>
  </si>
  <si>
    <t>21-21502/21-22018</t>
  </si>
  <si>
    <t>Stuart Irby-Geneva NY</t>
  </si>
  <si>
    <t>21-22548</t>
  </si>
  <si>
    <t>NPPD-York NE</t>
  </si>
  <si>
    <t>21-64445</t>
  </si>
  <si>
    <t>21-22551</t>
  </si>
  <si>
    <t>4 pcs missing out of a crate for 21-22437</t>
  </si>
  <si>
    <t>21-21965/21-20846/21-22550</t>
  </si>
  <si>
    <t>Border States-Duquesne PA</t>
  </si>
  <si>
    <t>21-22549</t>
  </si>
  <si>
    <t>21-22565</t>
  </si>
  <si>
    <t>Anixter-Virgina Beach VA</t>
  </si>
  <si>
    <t>21-21951/21-21953</t>
  </si>
  <si>
    <t>21-22321-1</t>
  </si>
  <si>
    <t>21-22321-2</t>
  </si>
  <si>
    <t>21-22321-3</t>
  </si>
  <si>
    <t>21-22538</t>
  </si>
  <si>
    <t>21-22570</t>
  </si>
  <si>
    <t>21-22457</t>
  </si>
  <si>
    <t>21-22575</t>
  </si>
  <si>
    <t>21-22456</t>
  </si>
  <si>
    <t>21-22599</t>
  </si>
  <si>
    <t>Techline-Castroville TX</t>
  </si>
  <si>
    <t>21-22386</t>
  </si>
  <si>
    <t>21-22321-5</t>
  </si>
  <si>
    <t>21-22321-4</t>
  </si>
  <si>
    <t>Wesco-Groveland FL</t>
  </si>
  <si>
    <t>21-22530</t>
  </si>
  <si>
    <t>KAMO-Vinita OK</t>
  </si>
  <si>
    <t>21-22543</t>
  </si>
  <si>
    <t>21-22573</t>
  </si>
  <si>
    <t>21-22319-1</t>
  </si>
  <si>
    <t>21-22319-2</t>
  </si>
  <si>
    <t>21-22315-1</t>
  </si>
  <si>
    <t>21-22315-2</t>
  </si>
  <si>
    <t>PPL-Leighton PA</t>
  </si>
  <si>
    <t>21-22205-2</t>
  </si>
  <si>
    <t>21-21641-1</t>
  </si>
  <si>
    <t>21-22301</t>
  </si>
  <si>
    <t>21-22205-1</t>
  </si>
  <si>
    <t>21-21426-4</t>
  </si>
  <si>
    <t>TVA-Hartsville TN</t>
  </si>
  <si>
    <t>21-21336-1</t>
  </si>
  <si>
    <t>Wesco-Riviera Beach FL</t>
  </si>
  <si>
    <t>21-22373-2</t>
  </si>
  <si>
    <t>21-22205-4</t>
  </si>
  <si>
    <t>21-22325</t>
  </si>
  <si>
    <t>Power Line-Kingstown RI</t>
  </si>
  <si>
    <t>21-22583-1</t>
  </si>
  <si>
    <t>21-22319/21-22315</t>
  </si>
  <si>
    <t>21-22020-2</t>
  </si>
  <si>
    <t>21-22373-1</t>
  </si>
  <si>
    <t>21-22583-2</t>
  </si>
  <si>
    <t>21-22400</t>
  </si>
  <si>
    <t>21-22315-3</t>
  </si>
  <si>
    <t>21-21641-2</t>
  </si>
  <si>
    <t>21-22017/21-22019</t>
  </si>
  <si>
    <t>21-22063</t>
  </si>
  <si>
    <t>21-21673</t>
  </si>
  <si>
    <t>21-22021-2</t>
  </si>
  <si>
    <t>21-22022-2</t>
  </si>
  <si>
    <t>21-22595</t>
  </si>
  <si>
    <t>21-21426-3</t>
  </si>
  <si>
    <t>21-21426-1</t>
  </si>
  <si>
    <t>21-22205-3</t>
  </si>
  <si>
    <t>21-22598</t>
  </si>
  <si>
    <t>21-22020-1</t>
  </si>
  <si>
    <t>21-22021-1</t>
  </si>
  <si>
    <t>21-22022-1</t>
  </si>
  <si>
    <t>21-21426-2</t>
  </si>
  <si>
    <t>21-22623</t>
  </si>
  <si>
    <t>21-22597</t>
  </si>
  <si>
    <t>21-22546-2</t>
  </si>
  <si>
    <t>21-22122/21-22060</t>
  </si>
  <si>
    <t>21-22572</t>
  </si>
  <si>
    <t>21-22546-1</t>
  </si>
  <si>
    <t>21-22531-1</t>
  </si>
  <si>
    <t>Armstrong Transport</t>
  </si>
  <si>
    <t>21-22647</t>
  </si>
  <si>
    <t>One Source-Sylmar CA</t>
  </si>
  <si>
    <t>21-20858</t>
  </si>
  <si>
    <t xml:space="preserve">Stuart Irby-Mentor OH </t>
  </si>
  <si>
    <t>PPL-Drums PA</t>
  </si>
  <si>
    <t>21-21867-5</t>
  </si>
  <si>
    <t>21-21867-2</t>
  </si>
  <si>
    <t>21-21867-4</t>
  </si>
  <si>
    <t>21-21867-1</t>
  </si>
  <si>
    <t>21-22458</t>
  </si>
  <si>
    <t>21-21867-3</t>
  </si>
  <si>
    <t>Deseret Power Elec-Vernal UT</t>
  </si>
  <si>
    <t>21-22651</t>
  </si>
  <si>
    <t>One Source-Antioch CA</t>
  </si>
  <si>
    <t>21-22402</t>
  </si>
  <si>
    <t>21-22581</t>
  </si>
  <si>
    <t>21-22465</t>
  </si>
  <si>
    <t>21-22383</t>
  </si>
  <si>
    <t>21-21911</t>
  </si>
  <si>
    <t>21-22639</t>
  </si>
  <si>
    <t>21-22666-1</t>
  </si>
  <si>
    <t>21-22666-2</t>
  </si>
  <si>
    <t>21-22666-3</t>
  </si>
  <si>
    <t>TVA-Bluff City TN</t>
  </si>
  <si>
    <t>21-21336-2</t>
  </si>
  <si>
    <t>Address changed to Hartsville TN</t>
  </si>
  <si>
    <t>21-22585-1</t>
  </si>
  <si>
    <t>21-22619/21-22622</t>
  </si>
  <si>
    <t>21-22585-2</t>
  </si>
  <si>
    <t>National Grid-North Adams MA</t>
  </si>
  <si>
    <t>21-22627-1</t>
  </si>
  <si>
    <t>21-22528/21-22531-2</t>
  </si>
  <si>
    <t>21-22668</t>
  </si>
  <si>
    <t>21-22627-2</t>
  </si>
  <si>
    <t>21-22591</t>
  </si>
  <si>
    <t>21-22317</t>
  </si>
  <si>
    <t>21-22673</t>
  </si>
  <si>
    <t>21-22335-2</t>
  </si>
  <si>
    <t>21-22674</t>
  </si>
  <si>
    <t>21-22016</t>
  </si>
  <si>
    <t>21-22447</t>
  </si>
  <si>
    <t>Arkansas Elec-Little Rock AR</t>
  </si>
  <si>
    <t>21-22613</t>
  </si>
  <si>
    <t>Anixter Power Solutions-Key West FL</t>
  </si>
  <si>
    <t>21-22652</t>
  </si>
  <si>
    <t>21-22662</t>
  </si>
  <si>
    <t>21-22542</t>
  </si>
  <si>
    <t>Stuart Irby-Jackson TN</t>
  </si>
  <si>
    <t>21-22667</t>
  </si>
  <si>
    <t>21-22632</t>
  </si>
  <si>
    <t>21-22648</t>
  </si>
  <si>
    <t>21-22689</t>
  </si>
  <si>
    <t>Northeast Mo Elec-Palmyra MO</t>
  </si>
  <si>
    <t>21-22687-1</t>
  </si>
  <si>
    <t>21-22687-2</t>
  </si>
  <si>
    <t>Cooperative Ekec-Moncks Corner SC</t>
  </si>
  <si>
    <t>21-22605</t>
  </si>
  <si>
    <t>21-22335-3</t>
  </si>
  <si>
    <t>21-22153</t>
  </si>
  <si>
    <t>21-22335-1</t>
  </si>
  <si>
    <t>21-22653</t>
  </si>
  <si>
    <t>Wesco-Newberry SC</t>
  </si>
  <si>
    <t>21-22672</t>
  </si>
  <si>
    <t>21-22592</t>
  </si>
  <si>
    <t>BGE-Dundalk MD</t>
  </si>
  <si>
    <t>21-22589</t>
  </si>
  <si>
    <t>21-22579</t>
  </si>
  <si>
    <t>21-22679</t>
  </si>
  <si>
    <t>21-22706-2</t>
  </si>
  <si>
    <t>21-22706-1</t>
  </si>
  <si>
    <t>21-22651-2</t>
  </si>
  <si>
    <t>Anixter Power Solutions-Boise ID</t>
  </si>
  <si>
    <t>21-22675</t>
  </si>
  <si>
    <t>21-22600-6</t>
  </si>
  <si>
    <t>21-22600-5</t>
  </si>
  <si>
    <t>21-22600-8</t>
  </si>
  <si>
    <t>21-22600-2</t>
  </si>
  <si>
    <t>21-22600-7</t>
  </si>
  <si>
    <t>21-22600-1</t>
  </si>
  <si>
    <t>21-22600-3</t>
  </si>
  <si>
    <t>Stuart Irby-Willcox AZ</t>
  </si>
  <si>
    <t>21-22151</t>
  </si>
  <si>
    <t>2 stop drop with 21-22152/31-64871</t>
  </si>
  <si>
    <t>Stuart Irby-San Manuel AZ</t>
  </si>
  <si>
    <t>21-22152</t>
  </si>
  <si>
    <t>2 stop drop with 21-22151/31-64869</t>
  </si>
  <si>
    <t>Stuart Irby-Bosque NM</t>
  </si>
  <si>
    <t>21-22600-4</t>
  </si>
  <si>
    <t>21-22705</t>
  </si>
  <si>
    <t>21-22640/21-22708</t>
  </si>
  <si>
    <t>21-22635</t>
  </si>
  <si>
    <t>21-22593</t>
  </si>
  <si>
    <t>21-22695</t>
  </si>
  <si>
    <t>21-22718-1</t>
  </si>
  <si>
    <t>21-22718-2</t>
  </si>
  <si>
    <t>21-22720</t>
  </si>
  <si>
    <t>21-22730</t>
  </si>
  <si>
    <t>21-22345</t>
  </si>
  <si>
    <t>21-22710-1</t>
  </si>
  <si>
    <t>21-22710-2</t>
  </si>
  <si>
    <t>21-22594-1</t>
  </si>
  <si>
    <t>21-22320/21-22526/21-22594-2</t>
  </si>
  <si>
    <t>21-22741</t>
  </si>
  <si>
    <t>21-22718-3</t>
  </si>
  <si>
    <t>21-22719</t>
  </si>
  <si>
    <t>21-22738</t>
  </si>
  <si>
    <t>Stuart Irby-Cleveland OH</t>
  </si>
  <si>
    <t>21-22740</t>
  </si>
  <si>
    <t>21-22368/21-22372</t>
  </si>
  <si>
    <t>21-22577-2</t>
  </si>
  <si>
    <t>21-22577-1</t>
  </si>
  <si>
    <t>Graybar-Taunton MA</t>
  </si>
  <si>
    <t>21-22582</t>
  </si>
  <si>
    <t>Irby-Fulton NY</t>
  </si>
  <si>
    <t>21-22739-1</t>
  </si>
  <si>
    <t xml:space="preserve">Changed address to Woodland PA per Josh </t>
  </si>
  <si>
    <t>21-22661/21-22664</t>
  </si>
  <si>
    <t>21-22353</t>
  </si>
  <si>
    <t>21-22739</t>
  </si>
  <si>
    <t>Wesco-Lexington KY</t>
  </si>
  <si>
    <t>21-22660-2</t>
  </si>
  <si>
    <t>Brownstown Elec-Brownstown IN</t>
  </si>
  <si>
    <t>21-22732</t>
  </si>
  <si>
    <t>21-22804</t>
  </si>
  <si>
    <t>Techline-Austine TX</t>
  </si>
  <si>
    <t>21-22753</t>
  </si>
  <si>
    <t>21-22734</t>
  </si>
  <si>
    <t>21-22736-3</t>
  </si>
  <si>
    <t>21-22736-2</t>
  </si>
  <si>
    <t>21-22736-4/21-22527</t>
  </si>
  <si>
    <t>21-22736-1</t>
  </si>
  <si>
    <t>21-22469</t>
  </si>
  <si>
    <t>21-22742-1</t>
  </si>
  <si>
    <t>21-22742-2</t>
  </si>
  <si>
    <t>21-21965-2</t>
  </si>
  <si>
    <t>21-21965-6</t>
  </si>
  <si>
    <t>21-21965-4</t>
  </si>
  <si>
    <t>WUE-Brighton CO</t>
  </si>
  <si>
    <t>21-22637</t>
  </si>
  <si>
    <t>21-22715</t>
  </si>
  <si>
    <t>21-21965-5</t>
  </si>
  <si>
    <t>21-21965-7</t>
  </si>
  <si>
    <t>Coop Elect-Moncks Corner SC</t>
  </si>
  <si>
    <t>21-22771</t>
  </si>
  <si>
    <t>21-22810</t>
  </si>
  <si>
    <t>Choctaw Kaul-Berwyn PA</t>
  </si>
  <si>
    <t>21-22777</t>
  </si>
  <si>
    <t>Deseret Power-Vernal UT</t>
  </si>
  <si>
    <t>21-21965-3</t>
  </si>
  <si>
    <t>21-22733</t>
  </si>
  <si>
    <t>21-22683</t>
  </si>
  <si>
    <t>21-22714-1</t>
  </si>
  <si>
    <t>KAMO-El Doado Springs MO</t>
  </si>
  <si>
    <t>21-22759</t>
  </si>
  <si>
    <t>21-22714-3</t>
  </si>
  <si>
    <t>Graybar-Portland ME</t>
  </si>
  <si>
    <t>21-22809</t>
  </si>
  <si>
    <t>21-22714-2</t>
  </si>
  <si>
    <t>Oncor-Venus TX</t>
  </si>
  <si>
    <t>21-22677</t>
  </si>
  <si>
    <t>21-22775</t>
  </si>
  <si>
    <t>21-22471/21-22643/21-22563</t>
  </si>
  <si>
    <t>21-22769</t>
  </si>
  <si>
    <t>21-22627</t>
  </si>
  <si>
    <t>BGE-Gambrills MD</t>
  </si>
  <si>
    <t>21-22306</t>
  </si>
  <si>
    <t>21-22669</t>
  </si>
  <si>
    <t>TriState-Rio Rancho NM</t>
  </si>
  <si>
    <t>21-22671</t>
  </si>
  <si>
    <t>21-22407-6</t>
  </si>
  <si>
    <t>TriState-Sidney NE</t>
  </si>
  <si>
    <t>21-22621/21-22638/21-22629</t>
  </si>
  <si>
    <t>21-22407-2</t>
  </si>
  <si>
    <t>ComEd-Joliet IL</t>
  </si>
  <si>
    <t>21-22772</t>
  </si>
  <si>
    <t>Was orginally for Choctaw Kaul by changed by Charles Hoffman</t>
  </si>
  <si>
    <t>21-22407-4</t>
  </si>
  <si>
    <t>21-22407-3</t>
  </si>
  <si>
    <t>21-22407-5</t>
  </si>
  <si>
    <t>21-22407-1</t>
  </si>
  <si>
    <t>21-22866-1</t>
  </si>
  <si>
    <t>21-22728</t>
  </si>
  <si>
    <t>21-22626</t>
  </si>
  <si>
    <t>21-22887</t>
  </si>
  <si>
    <t>21-22523</t>
  </si>
  <si>
    <t>Stuart Irby-Baton Rouge LA</t>
  </si>
  <si>
    <t>21-22860</t>
  </si>
  <si>
    <t>21-22867</t>
  </si>
  <si>
    <t>21-22873/21-22866-3</t>
  </si>
  <si>
    <t xml:space="preserve">Power Line-North Kingstown RI </t>
  </si>
  <si>
    <t>21-22760</t>
  </si>
  <si>
    <t>Anixter-Greenfield IN</t>
  </si>
  <si>
    <t>21-22869/21-22765</t>
  </si>
  <si>
    <t>21-22866-2</t>
  </si>
  <si>
    <t>21-22890</t>
  </si>
  <si>
    <t>21-22691</t>
  </si>
  <si>
    <t>21-22545-1</t>
  </si>
  <si>
    <t>21-22634-1</t>
  </si>
  <si>
    <t>21-22657</t>
  </si>
  <si>
    <t>21-22757</t>
  </si>
  <si>
    <t>21-22649</t>
  </si>
  <si>
    <t>21-22726</t>
  </si>
  <si>
    <t>21-22634-2/21-22545</t>
  </si>
  <si>
    <t>21-22868</t>
  </si>
  <si>
    <t>21-21319-1</t>
  </si>
  <si>
    <t>Changed address from Summerville SC</t>
  </si>
  <si>
    <t>21-21319-2</t>
  </si>
  <si>
    <t>21-22893</t>
  </si>
  <si>
    <t xml:space="preserve">Stuart Irby-Neosho MO </t>
  </si>
  <si>
    <t>21-22645</t>
  </si>
  <si>
    <t>21-22751-1</t>
  </si>
  <si>
    <t>Brownstown-Lawrenceburg KY</t>
  </si>
  <si>
    <t>21-22910</t>
  </si>
  <si>
    <t>21-22721-1</t>
  </si>
  <si>
    <t>21-22721-2</t>
  </si>
  <si>
    <t>Global Procurement-Belmont NC</t>
  </si>
  <si>
    <t>21-22894</t>
  </si>
  <si>
    <t>Gresco-Wildwood FL</t>
  </si>
  <si>
    <t>21-22907</t>
  </si>
  <si>
    <t>21-22751-3</t>
  </si>
  <si>
    <t>21-22884</t>
  </si>
  <si>
    <t>Tarheel Elec-Burgaw NC</t>
  </si>
  <si>
    <t>21-22324</t>
  </si>
  <si>
    <t>BGE-Odenton MD</t>
  </si>
  <si>
    <t>21-22875</t>
  </si>
  <si>
    <t>Address change from New Castle DE</t>
  </si>
  <si>
    <t>Brownstown-Brownstown IN</t>
  </si>
  <si>
    <t>21-22911</t>
  </si>
  <si>
    <t>Comed-Rockford IL</t>
  </si>
  <si>
    <t>21-22773-2</t>
  </si>
  <si>
    <t>21-22751-2</t>
  </si>
  <si>
    <t>21-22773-1</t>
  </si>
  <si>
    <t>21-22909</t>
  </si>
  <si>
    <t>21-22609</t>
  </si>
  <si>
    <t>21-22773-4</t>
  </si>
  <si>
    <t>21-21810</t>
  </si>
  <si>
    <t>21-22539-1</t>
  </si>
  <si>
    <t>53 footer</t>
  </si>
  <si>
    <t>Dominion-Walterboro SC</t>
  </si>
  <si>
    <t>21-22539-2</t>
  </si>
  <si>
    <t>21-22920</t>
  </si>
  <si>
    <t>21-22773-3</t>
  </si>
  <si>
    <t>21-22906</t>
  </si>
  <si>
    <t>Dominion-West Columbia SC</t>
  </si>
  <si>
    <t>21-22774</t>
  </si>
  <si>
    <t>21-22908</t>
  </si>
  <si>
    <t>CEEUS-Moncks Corner SC</t>
  </si>
  <si>
    <t>21-22872</t>
  </si>
  <si>
    <t>21-22202</t>
  </si>
  <si>
    <t>Fletcher-Bridgeton MO</t>
  </si>
  <si>
    <t>21-22727</t>
  </si>
  <si>
    <t>21-22773-5</t>
  </si>
  <si>
    <t>21-22913</t>
  </si>
  <si>
    <t>Kamick-McHenry IL</t>
  </si>
  <si>
    <t>21-22919</t>
  </si>
  <si>
    <t>21-22660-1</t>
  </si>
  <si>
    <t>Stuart Irby-Powell Butte OR</t>
  </si>
  <si>
    <t>21-22161</t>
  </si>
  <si>
    <t>Hot Shot</t>
  </si>
  <si>
    <t>Had to deliver by Monday 5/5 per customer</t>
  </si>
  <si>
    <t>21-22611-1</t>
  </si>
  <si>
    <t>21-22612</t>
  </si>
  <si>
    <t xml:space="preserve">Armstrong Transport </t>
  </si>
  <si>
    <t>21-22611-2</t>
  </si>
  <si>
    <t>Fletcher-Batavia IL</t>
  </si>
  <si>
    <t>21-22912</t>
  </si>
  <si>
    <t>21-22926-1</t>
  </si>
  <si>
    <t>Border States-Lyman NE</t>
  </si>
  <si>
    <t>21-22615</t>
  </si>
  <si>
    <t>Hitachi-Augusta ME</t>
  </si>
  <si>
    <t>21-22889</t>
  </si>
  <si>
    <t>21-22614-1</t>
  </si>
  <si>
    <t>21-22614-2</t>
  </si>
  <si>
    <t>21-22628/21-22921</t>
  </si>
  <si>
    <t>21-22932-1</t>
  </si>
  <si>
    <t>Border States-Deming NM</t>
  </si>
  <si>
    <t>21-22427</t>
  </si>
  <si>
    <t>Rush order</t>
  </si>
  <si>
    <t>21-22929</t>
  </si>
  <si>
    <t>21-22922</t>
  </si>
  <si>
    <t>21-22932-2</t>
  </si>
  <si>
    <t>Border States-Amaillo TX</t>
  </si>
  <si>
    <t>21-22904</t>
  </si>
  <si>
    <t>21-22618</t>
  </si>
  <si>
    <t>21-22932-3</t>
  </si>
  <si>
    <t>21-22525-1</t>
  </si>
  <si>
    <t>TVA-Okolona MS</t>
  </si>
  <si>
    <t>21-21709-2</t>
  </si>
  <si>
    <t>21-21709-1</t>
  </si>
  <si>
    <t>21-22932-5</t>
  </si>
  <si>
    <t>21-21709-3</t>
  </si>
  <si>
    <t>21-22525-2</t>
  </si>
  <si>
    <t>21-22935/21-22934</t>
  </si>
  <si>
    <t>21-22776-2</t>
  </si>
  <si>
    <t>21-22903</t>
  </si>
  <si>
    <t>21-22932-4</t>
  </si>
  <si>
    <t>Arkansas Elec Coop-Little Rock AR</t>
  </si>
  <si>
    <t>21-22901</t>
  </si>
  <si>
    <t>Minnkota Power-Grand Forks ND</t>
  </si>
  <si>
    <t>21-22905</t>
  </si>
  <si>
    <t>Border States-Pembroke NH</t>
  </si>
  <si>
    <t>21-22923</t>
  </si>
  <si>
    <t>Stuart Irby-Elmira NY</t>
  </si>
  <si>
    <t>21-22945</t>
  </si>
  <si>
    <t>21-22954</t>
  </si>
  <si>
    <t>21-22799</t>
  </si>
  <si>
    <t>21-22776-1</t>
  </si>
  <si>
    <t>21-22941</t>
  </si>
  <si>
    <t>21-22938</t>
  </si>
  <si>
    <t>Sho-Me-Marshfield MO</t>
  </si>
  <si>
    <t>21-22946</t>
  </si>
  <si>
    <t>21-22633</t>
  </si>
  <si>
    <t>21-22957</t>
  </si>
  <si>
    <t>21-22947</t>
  </si>
  <si>
    <t>TVA-Arab AL</t>
  </si>
  <si>
    <t>21-22870</t>
  </si>
  <si>
    <t>Changed address to Hanceville AL</t>
  </si>
  <si>
    <t>21-22529-1</t>
  </si>
  <si>
    <t>21-22658</t>
  </si>
  <si>
    <t>21-22711</t>
  </si>
  <si>
    <t>21-22529-2</t>
  </si>
  <si>
    <t>21-22987-1</t>
  </si>
  <si>
    <t>Duke Energy-Williston FL</t>
  </si>
  <si>
    <t>21-22948</t>
  </si>
  <si>
    <t>21-22987-2</t>
  </si>
  <si>
    <t>21-22529-3</t>
  </si>
  <si>
    <t>21-22989</t>
  </si>
  <si>
    <t>Stuart Irby-Kennwick WA</t>
  </si>
  <si>
    <t>21-22709-1</t>
  </si>
  <si>
    <t>21-22709-2</t>
  </si>
  <si>
    <t>21-22942-2</t>
  </si>
  <si>
    <t>21-22942-1</t>
  </si>
  <si>
    <t>Resco-Ryder ND</t>
  </si>
  <si>
    <t>21-22449-10</t>
  </si>
  <si>
    <t>21-22449-9</t>
  </si>
  <si>
    <t>21-22449-7</t>
  </si>
  <si>
    <t>21-22449-6</t>
  </si>
  <si>
    <t>21-22449-5</t>
  </si>
  <si>
    <t>21-22449-4</t>
  </si>
  <si>
    <t>21-22449-3</t>
  </si>
  <si>
    <t>21-22449-2</t>
  </si>
  <si>
    <t>21-22449-1</t>
  </si>
  <si>
    <t>Resco-Tioga ND</t>
  </si>
  <si>
    <t>21-22451-2</t>
  </si>
  <si>
    <t>21-22451-1</t>
  </si>
  <si>
    <t>21-22450</t>
  </si>
  <si>
    <t>21-22451-3</t>
  </si>
  <si>
    <t>21-22449-8</t>
  </si>
  <si>
    <t>21-22448-3</t>
  </si>
  <si>
    <t>21-22571-1</t>
  </si>
  <si>
    <t>21-22571-2</t>
  </si>
  <si>
    <t>21-22451-4</t>
  </si>
  <si>
    <t>21-22448-2</t>
  </si>
  <si>
    <t>21-22984</t>
  </si>
  <si>
    <t>21-22750</t>
  </si>
  <si>
    <t>21-22449-14</t>
  </si>
  <si>
    <t>21-22448-1</t>
  </si>
  <si>
    <t>21-22449-12</t>
  </si>
  <si>
    <t>21-22449-11</t>
  </si>
  <si>
    <t>21-22942-3</t>
  </si>
  <si>
    <t>Rhode Island-Johnston RI</t>
  </si>
  <si>
    <t>21-22018</t>
  </si>
  <si>
    <t>Border States-Alexandria MN</t>
  </si>
  <si>
    <t>21-22425-5/21-22418-3</t>
  </si>
  <si>
    <t>21-22646</t>
  </si>
  <si>
    <t>21-2248-4/21-22449-15</t>
  </si>
  <si>
    <t>21-22425-3</t>
  </si>
  <si>
    <t>21-22425-4</t>
  </si>
  <si>
    <t>21-22425-2</t>
  </si>
  <si>
    <t>21-22425-1</t>
  </si>
  <si>
    <t>21-22418-2</t>
  </si>
  <si>
    <t>21-22418-1</t>
  </si>
  <si>
    <t>21-22449-13</t>
  </si>
  <si>
    <t>21-21965-8</t>
  </si>
  <si>
    <t>Gresco-Huntsville AL</t>
  </si>
  <si>
    <t>21-22805</t>
  </si>
  <si>
    <t>21-22961</t>
  </si>
  <si>
    <t>21-22754</t>
  </si>
  <si>
    <t>21-22707</t>
  </si>
  <si>
    <t>21-23022</t>
  </si>
  <si>
    <t>Wesco-Papillion NE</t>
  </si>
  <si>
    <t>21-23023</t>
  </si>
  <si>
    <t>21-22003</t>
  </si>
  <si>
    <t>Border States-Bismarck ND</t>
  </si>
  <si>
    <t>21-22713</t>
  </si>
  <si>
    <t>21-23021</t>
  </si>
  <si>
    <t>21-23020</t>
  </si>
  <si>
    <t>21-22676-2</t>
  </si>
  <si>
    <t>21-22712</t>
  </si>
  <si>
    <t>21-23030-1</t>
  </si>
  <si>
    <t>21-23030-2</t>
  </si>
  <si>
    <t>21-22676-1</t>
  </si>
  <si>
    <t>21-23030-3</t>
  </si>
  <si>
    <t>Graybar-Warrenton MO</t>
  </si>
  <si>
    <t>21-23018</t>
  </si>
  <si>
    <t>21-22700</t>
  </si>
  <si>
    <t>21-23031</t>
  </si>
  <si>
    <t>21-22950-1</t>
  </si>
  <si>
    <t>21-23016</t>
  </si>
  <si>
    <t>21-22716</t>
  </si>
  <si>
    <t>21-22625</t>
  </si>
  <si>
    <t>21-22950-2</t>
  </si>
  <si>
    <t>21-23032</t>
  </si>
  <si>
    <t>21-23027/21-23024</t>
  </si>
  <si>
    <t>21-23026</t>
  </si>
  <si>
    <t>21-22350-2</t>
  </si>
  <si>
    <t>21-22526-2/21-22350</t>
  </si>
  <si>
    <t>21-22688-2</t>
  </si>
  <si>
    <t>21-22526-1</t>
  </si>
  <si>
    <t>21-22688-1</t>
  </si>
  <si>
    <t>21-23017</t>
  </si>
  <si>
    <t>21-23074</t>
  </si>
  <si>
    <t>21-23058</t>
  </si>
  <si>
    <t>21-22302-3</t>
  </si>
  <si>
    <t>21-22302-4</t>
  </si>
  <si>
    <t>21-22302-2</t>
  </si>
  <si>
    <t>21-22962-3</t>
  </si>
  <si>
    <t>21-23114</t>
  </si>
  <si>
    <t>21-22690-2</t>
  </si>
  <si>
    <t>21-22962-1</t>
  </si>
  <si>
    <t>21-22690-1</t>
  </si>
  <si>
    <t>Basin Elec-Ryder ND</t>
  </si>
  <si>
    <t>21-22962-2</t>
  </si>
  <si>
    <t>21-23073</t>
  </si>
  <si>
    <t>Basin Elec-Tioga ND</t>
  </si>
  <si>
    <t>21-22756-1</t>
  </si>
  <si>
    <t>21-22302-1</t>
  </si>
  <si>
    <t>21-20985/21-22302-5</t>
  </si>
  <si>
    <t>Border States-Lincoln NE</t>
  </si>
  <si>
    <t>21-23113</t>
  </si>
  <si>
    <t>21-22590</t>
  </si>
  <si>
    <t>21-22704</t>
  </si>
  <si>
    <t>21-22966</t>
  </si>
  <si>
    <t>21-22992</t>
  </si>
  <si>
    <t>21-23025-1</t>
  </si>
  <si>
    <t>21-23044</t>
  </si>
  <si>
    <t>21-22735-1</t>
  </si>
  <si>
    <t>21-23028</t>
  </si>
  <si>
    <t>21-23117/21-22951</t>
  </si>
  <si>
    <t>Entergy-Jackson MS</t>
  </si>
  <si>
    <t>21-23003</t>
  </si>
  <si>
    <t>Changed address to Flora MS</t>
  </si>
  <si>
    <t>21-22735</t>
  </si>
  <si>
    <t>21-23093</t>
  </si>
  <si>
    <t>21-23075</t>
  </si>
  <si>
    <t>21-23025-2</t>
  </si>
  <si>
    <t>21-23053</t>
  </si>
  <si>
    <t>21-23066/21-23079</t>
  </si>
  <si>
    <t xml:space="preserve">Flatbed </t>
  </si>
  <si>
    <t>21-22811/21-22634-2</t>
  </si>
  <si>
    <t>21-23105</t>
  </si>
  <si>
    <t>Armstrong Trans</t>
  </si>
  <si>
    <t>21-23056</t>
  </si>
  <si>
    <t>21-23055</t>
  </si>
  <si>
    <t>21-22770</t>
  </si>
  <si>
    <t>Kamick Supply-McHenry IL</t>
  </si>
  <si>
    <t>21-23070</t>
  </si>
  <si>
    <t>21-23096</t>
  </si>
  <si>
    <t>21-23122</t>
  </si>
  <si>
    <t>21-23051</t>
  </si>
  <si>
    <t>c</t>
  </si>
  <si>
    <t>21-23116</t>
  </si>
  <si>
    <t>Stuart Irby-St Georgia UT</t>
  </si>
  <si>
    <t>21-23103</t>
  </si>
  <si>
    <t>Stuart Irby-Auburn ME</t>
  </si>
  <si>
    <t>21-23134</t>
  </si>
  <si>
    <t>21-23129</t>
  </si>
  <si>
    <t>21-22756-2/21-22545</t>
  </si>
  <si>
    <t>Oyster Creek-Forked River NJ</t>
  </si>
  <si>
    <t>21-22642-4</t>
  </si>
  <si>
    <t>21-22731-1</t>
  </si>
  <si>
    <t>21-22731-3</t>
  </si>
  <si>
    <t>TVA-Bowling Green KY</t>
  </si>
  <si>
    <t>21-21485-1</t>
  </si>
  <si>
    <t>21-22731-2</t>
  </si>
  <si>
    <t>21-22642-1</t>
  </si>
  <si>
    <t>Power Line-North Kingston RI</t>
  </si>
  <si>
    <t>21-23048</t>
  </si>
  <si>
    <t>21-23080</t>
  </si>
  <si>
    <t>21-22731-4</t>
  </si>
  <si>
    <t>21-22953-1</t>
  </si>
  <si>
    <t>21-23087</t>
  </si>
  <si>
    <t>21-23129/21-23106-2</t>
  </si>
  <si>
    <t>Address changed on 21-23129</t>
  </si>
  <si>
    <t>21-22641-7</t>
  </si>
  <si>
    <t>21-22642-3</t>
  </si>
  <si>
    <t>21-23054</t>
  </si>
  <si>
    <t>21-23107</t>
  </si>
  <si>
    <t>21-23036-1</t>
  </si>
  <si>
    <t>21-21485-2/21-21923-2</t>
  </si>
  <si>
    <t>21-23123</t>
  </si>
  <si>
    <t>21-23140</t>
  </si>
  <si>
    <t>21-22642-2</t>
  </si>
  <si>
    <t>21-21923-1</t>
  </si>
  <si>
    <t>21-22641-5</t>
  </si>
  <si>
    <t>21-22985-2</t>
  </si>
  <si>
    <t>21-22641-6</t>
  </si>
  <si>
    <t>21-22641-4</t>
  </si>
  <si>
    <t>21-22665/21-22731-5/21-22725</t>
  </si>
  <si>
    <t>21-22953-2/21-22524/21-23139</t>
  </si>
  <si>
    <t>21-22985-1</t>
  </si>
  <si>
    <t>21-22641-1</t>
  </si>
  <si>
    <t>21-22641-3</t>
  </si>
  <si>
    <t>21-22641-2</t>
  </si>
  <si>
    <t>21-22641-8</t>
  </si>
  <si>
    <t>21-22641-9</t>
  </si>
  <si>
    <t>Partial flatbed</t>
  </si>
  <si>
    <t>21-23085-1</t>
  </si>
  <si>
    <t>21-23085-4</t>
  </si>
  <si>
    <t>Brownstone Elec-Brownstown IN</t>
  </si>
  <si>
    <t>21-23052-2</t>
  </si>
  <si>
    <t>21-23052-1</t>
  </si>
  <si>
    <t>21-22928</t>
  </si>
  <si>
    <t>21-22926</t>
  </si>
  <si>
    <t>Staurt Irby-Waterville ME</t>
  </si>
  <si>
    <t>21-23084</t>
  </si>
  <si>
    <t>21-23085-2</t>
  </si>
  <si>
    <t>21-23085-3</t>
  </si>
  <si>
    <t>21-23052-3</t>
  </si>
  <si>
    <t>21-23148</t>
  </si>
  <si>
    <t>Power City-Reed City MI</t>
  </si>
  <si>
    <t>21-23110</t>
  </si>
  <si>
    <t>21-23036-2</t>
  </si>
  <si>
    <t>21-23136</t>
  </si>
  <si>
    <t>21-23052-4</t>
  </si>
  <si>
    <t>21-22952/21-23090-1</t>
  </si>
  <si>
    <t>21-23090-2</t>
  </si>
  <si>
    <t>21-23107 Shortage</t>
  </si>
  <si>
    <t>21-23081</t>
  </si>
  <si>
    <t>21-22729-1</t>
  </si>
  <si>
    <t>21-22729-2</t>
  </si>
  <si>
    <t>21-22729-3</t>
  </si>
  <si>
    <t>21-22949-1</t>
  </si>
  <si>
    <t>21-22949-2</t>
  </si>
  <si>
    <t>21-22642-5</t>
  </si>
  <si>
    <t>21-23119/21-23124</t>
  </si>
  <si>
    <t>21-22729-4</t>
  </si>
  <si>
    <t>21-23038</t>
  </si>
  <si>
    <t>21-22198-5</t>
  </si>
  <si>
    <t>21-22198-2</t>
  </si>
  <si>
    <t>21-22198-1</t>
  </si>
  <si>
    <t>21-22198-3</t>
  </si>
  <si>
    <t>21-22198-4/21-22198-7</t>
  </si>
  <si>
    <t>21-23208</t>
  </si>
  <si>
    <t>Stuart Irby-Latrobe PA</t>
  </si>
  <si>
    <t>21-23049</t>
  </si>
  <si>
    <t>21-22874</t>
  </si>
  <si>
    <t>21-23153/21-23014</t>
  </si>
  <si>
    <t>Graybar-Brooklyn NY</t>
  </si>
  <si>
    <t>21-23013</t>
  </si>
  <si>
    <t>21-23046/21-22761</t>
  </si>
  <si>
    <t>21-23200/21-23223</t>
  </si>
  <si>
    <t>21-20322-1</t>
  </si>
  <si>
    <t>21-20322-2</t>
  </si>
  <si>
    <t>21-22198-6</t>
  </si>
  <si>
    <t>21-23175</t>
  </si>
  <si>
    <t>21-23249-2</t>
  </si>
  <si>
    <t>Wett-Longhorm-Gail TX</t>
  </si>
  <si>
    <t>21-23094</t>
  </si>
  <si>
    <t>21-22980-2</t>
  </si>
  <si>
    <t>21-22980-1</t>
  </si>
  <si>
    <t>21-23249-1</t>
  </si>
  <si>
    <t>21-22980-3</t>
  </si>
  <si>
    <t>21-22980-4</t>
  </si>
  <si>
    <t>Wesco-Lake Placid FL</t>
  </si>
  <si>
    <t>21-23012</t>
  </si>
  <si>
    <t>21-23259/21-23260</t>
  </si>
  <si>
    <t>Arkansas Elec-Palmyra MO</t>
  </si>
  <si>
    <t>21-22687</t>
  </si>
  <si>
    <t>21-23258</t>
  </si>
  <si>
    <t>Oncor-Fort Worth TX</t>
  </si>
  <si>
    <t>21-22182-3</t>
  </si>
  <si>
    <t>21-22182-1</t>
  </si>
  <si>
    <t>21-22182-2</t>
  </si>
  <si>
    <t>21-22182-5</t>
  </si>
  <si>
    <t>LCRA-Austin TX</t>
  </si>
  <si>
    <t>21-22703</t>
  </si>
  <si>
    <t>21-23009</t>
  </si>
  <si>
    <t>Wesco-Pittsburgh PA</t>
  </si>
  <si>
    <t>21-22930/21-23034</t>
  </si>
  <si>
    <t>21-23207</t>
  </si>
  <si>
    <t>21-22182-9</t>
  </si>
  <si>
    <t>21-22182-4</t>
  </si>
  <si>
    <t>21-22981</t>
  </si>
  <si>
    <t>21-23078</t>
  </si>
  <si>
    <t>21-22182-6</t>
  </si>
  <si>
    <t>21-22182-8</t>
  </si>
  <si>
    <t>21-22182-7</t>
  </si>
  <si>
    <t>21-23172</t>
  </si>
  <si>
    <t>21-23322</t>
  </si>
  <si>
    <t>KAMO-ElDorado Springs MO</t>
  </si>
  <si>
    <t>21-22806</t>
  </si>
  <si>
    <t>21-23095</t>
  </si>
  <si>
    <t>21-23267</t>
  </si>
  <si>
    <t>21-22182-11</t>
  </si>
  <si>
    <t>21-22182-10</t>
  </si>
  <si>
    <t>21-22756/21-22812</t>
  </si>
  <si>
    <t>21-23035</t>
  </si>
  <si>
    <t>21-22924-1/21-22924-2</t>
  </si>
  <si>
    <t>Georgia Power-Marietta GA</t>
  </si>
  <si>
    <t>21-22744</t>
  </si>
  <si>
    <t>Stuart Irby-Palmyra PA</t>
  </si>
  <si>
    <t>21-23050</t>
  </si>
  <si>
    <t>2 stop drop with 21-23274</t>
  </si>
  <si>
    <t>21-23274</t>
  </si>
  <si>
    <t>2 stop drop with 21-23050</t>
  </si>
  <si>
    <t>21-23137</t>
  </si>
  <si>
    <t>21-23089-1</t>
  </si>
  <si>
    <t>21-23173</t>
  </si>
  <si>
    <t>21-23089-2</t>
  </si>
  <si>
    <t>21-23072</t>
  </si>
  <si>
    <t>21-23269</t>
  </si>
  <si>
    <t>21-23270</t>
  </si>
  <si>
    <t>21-23268/21-23269/21-23270</t>
  </si>
  <si>
    <t>21-23389/21-23378</t>
  </si>
  <si>
    <t>21-23271</t>
  </si>
  <si>
    <t>21-23271/21-23177</t>
  </si>
  <si>
    <t>21-23338</t>
  </si>
  <si>
    <t>21-23102</t>
  </si>
  <si>
    <t>21-23296</t>
  </si>
  <si>
    <t>Wesco-Winchester KY</t>
  </si>
  <si>
    <t>21-23324</t>
  </si>
  <si>
    <t>21-23224</t>
  </si>
  <si>
    <t>21-23374/21-23347</t>
  </si>
  <si>
    <t>21-22758</t>
  </si>
  <si>
    <t>Umatilla Elec-Hermiston OR</t>
  </si>
  <si>
    <t>21-23297-2</t>
  </si>
  <si>
    <t>21-23297-1</t>
  </si>
  <si>
    <t>21-23336/21-22983</t>
  </si>
  <si>
    <t>21-23265</t>
  </si>
  <si>
    <t>21-23369</t>
  </si>
  <si>
    <t>21-23214</t>
  </si>
  <si>
    <t>AVG-Augusta ME</t>
  </si>
  <si>
    <t>21-23263</t>
  </si>
  <si>
    <t xml:space="preserve">Alabama Power-Calera AL </t>
  </si>
  <si>
    <t>21-23152</t>
  </si>
  <si>
    <t>21-23373-1/21-23373-2</t>
  </si>
  <si>
    <t>21-23300</t>
  </si>
  <si>
    <t>Hitachi Energy-Sturtevant WI</t>
  </si>
  <si>
    <t>21-23144</t>
  </si>
  <si>
    <t>21-23354</t>
  </si>
  <si>
    <t>21-23348</t>
  </si>
  <si>
    <t>21-23206</t>
  </si>
  <si>
    <t>21-23298</t>
  </si>
  <si>
    <t>21-23061</t>
  </si>
  <si>
    <t>21-23188-2</t>
  </si>
  <si>
    <t>Anixter-Milford MA</t>
  </si>
  <si>
    <t>21-23273</t>
  </si>
  <si>
    <t>21-23159</t>
  </si>
  <si>
    <t>2 stop drop with 21-23288</t>
  </si>
  <si>
    <t>2 stop drop with 21-23159</t>
  </si>
  <si>
    <t>21-23288</t>
  </si>
  <si>
    <t>FPL-Loxahatchee FL</t>
  </si>
  <si>
    <t>21-23380</t>
  </si>
  <si>
    <t>Address change - orginally to West Palm Beach changed by Carlos</t>
  </si>
  <si>
    <t xml:space="preserve">21-23086 </t>
  </si>
  <si>
    <t>21-23370/21-23287</t>
  </si>
  <si>
    <t>21-23188-1</t>
  </si>
  <si>
    <t xml:space="preserve">COMED-Pana IL </t>
  </si>
  <si>
    <t>21-22976</t>
  </si>
  <si>
    <t>Address change - orginally to Peotone changed by Conor</t>
  </si>
  <si>
    <t>21-23262-1</t>
  </si>
  <si>
    <t>21-23262-2</t>
  </si>
  <si>
    <t>21-23121</t>
  </si>
  <si>
    <t>KBS-Snyder-TX</t>
  </si>
  <si>
    <t>21-23379</t>
  </si>
  <si>
    <t>21-22534</t>
  </si>
  <si>
    <t>21-23299-1</t>
  </si>
  <si>
    <t>21-23072-2</t>
  </si>
  <si>
    <t>21-23072-1</t>
  </si>
  <si>
    <t>21-23423</t>
  </si>
  <si>
    <t>21-23283/21-23068</t>
  </si>
  <si>
    <t>21-23299-2</t>
  </si>
  <si>
    <t>KBS-Carlsbad NM</t>
  </si>
  <si>
    <t>21-23403</t>
  </si>
  <si>
    <t>21-23398</t>
  </si>
  <si>
    <t>21-23342</t>
  </si>
  <si>
    <t>21-23067/21-23272</t>
  </si>
  <si>
    <t>21-23232</t>
  </si>
  <si>
    <t>21-23277</t>
  </si>
  <si>
    <t>ETS Conf-Irving TX</t>
  </si>
  <si>
    <t>Conference 2025</t>
  </si>
  <si>
    <t xml:space="preserve">Exhibit material for ETS Conference </t>
  </si>
  <si>
    <t>21-23289</t>
  </si>
  <si>
    <t>21-23211</t>
  </si>
  <si>
    <t>Stuart Irby-Elverta CA</t>
  </si>
  <si>
    <t>21-23413</t>
  </si>
  <si>
    <t>21-23386-2</t>
  </si>
  <si>
    <t>21-23321</t>
  </si>
  <si>
    <t>21-23033</t>
  </si>
  <si>
    <t>21-23128/21-23330</t>
  </si>
  <si>
    <t>Stuart Irby-Gail TX</t>
  </si>
  <si>
    <t>21-23439</t>
  </si>
  <si>
    <t>21-23386-1</t>
  </si>
  <si>
    <t>First Energy-Forked River NJ</t>
  </si>
  <si>
    <t>21-23460</t>
  </si>
  <si>
    <t>21-23450</t>
  </si>
  <si>
    <t>21-23292/21-23421/21-23334</t>
  </si>
  <si>
    <t>21-23077</t>
  </si>
  <si>
    <t>21-23385</t>
  </si>
  <si>
    <t>21-23266</t>
  </si>
  <si>
    <t>21-22663-2</t>
  </si>
  <si>
    <t>21-23327</t>
  </si>
  <si>
    <t>21-23347</t>
  </si>
  <si>
    <t>21-23343</t>
  </si>
  <si>
    <t>21-22663-1</t>
  </si>
  <si>
    <t>Border States-Sauk Centre MN</t>
  </si>
  <si>
    <t>21-22420/21-22421</t>
  </si>
  <si>
    <t>21-23369/21-23472</t>
  </si>
  <si>
    <t>21-23067</t>
  </si>
  <si>
    <t>21-23407</t>
  </si>
  <si>
    <t xml:space="preserve">Border States-West Point MS </t>
  </si>
  <si>
    <t>21-23353</t>
  </si>
  <si>
    <t>Choctaw Kaul-Pana Il</t>
  </si>
  <si>
    <t>21-23286</t>
  </si>
  <si>
    <t>21-22977-2</t>
  </si>
  <si>
    <t>21-22977-1</t>
  </si>
  <si>
    <t>21-23154</t>
  </si>
  <si>
    <t>21-23135</t>
  </si>
  <si>
    <t>21-23472</t>
  </si>
  <si>
    <t>21-23566</t>
  </si>
  <si>
    <t>21-23231</t>
  </si>
  <si>
    <t>21-23235</t>
  </si>
  <si>
    <t>21-23237</t>
  </si>
  <si>
    <t>21-23355</t>
  </si>
  <si>
    <t>21-23240</t>
  </si>
  <si>
    <t>21-23404</t>
  </si>
  <si>
    <t>21-23495</t>
  </si>
  <si>
    <t>21-23402</t>
  </si>
  <si>
    <t>Trade Show-Benton AR</t>
  </si>
  <si>
    <t>Van</t>
  </si>
  <si>
    <t>Miyah trade show</t>
  </si>
  <si>
    <t>21-23419</t>
  </si>
  <si>
    <t>21-23503</t>
  </si>
  <si>
    <t>21-23462</t>
  </si>
  <si>
    <t>Choctaw Kaul-Joilet IL</t>
  </si>
  <si>
    <t>21-23167</t>
  </si>
  <si>
    <t>21-23504</t>
  </si>
  <si>
    <t>Changed street address from 610 Toddville RD to 4300 Northlake CT</t>
  </si>
  <si>
    <t>21-23328</t>
  </si>
  <si>
    <t>Border States-Phoenix AZ</t>
  </si>
  <si>
    <t>21-23227</t>
  </si>
  <si>
    <t>21-23335</t>
  </si>
  <si>
    <t>21-22977</t>
  </si>
  <si>
    <t>21-23435</t>
  </si>
  <si>
    <t>21-23475</t>
  </si>
  <si>
    <t>Stuart Irby-Memphis TN</t>
  </si>
  <si>
    <t>21-23433</t>
  </si>
  <si>
    <t>21-23234</t>
  </si>
  <si>
    <t>21-23491</t>
  </si>
  <si>
    <t>21-23529</t>
  </si>
  <si>
    <t>TarHeel Elec-Roxboro NC</t>
  </si>
  <si>
    <t>21-23150</t>
  </si>
  <si>
    <t>Wesco-Springfiled NE</t>
  </si>
  <si>
    <t>21-22958</t>
  </si>
  <si>
    <t>TechLine-Austin TX</t>
  </si>
  <si>
    <t>TVA-Spring City TN</t>
  </si>
  <si>
    <t>21-23243-1</t>
  </si>
  <si>
    <t>21-23243-2</t>
  </si>
  <si>
    <t>GEMC-Trenton TN</t>
  </si>
  <si>
    <t>21-23364</t>
  </si>
  <si>
    <t>Resco-Moorhead  MN</t>
  </si>
  <si>
    <t>21-23376</t>
  </si>
  <si>
    <t>TVA-Macon MS</t>
  </si>
  <si>
    <t>21-23282-1</t>
  </si>
  <si>
    <t>21-23282-2</t>
  </si>
  <si>
    <t>21-22813-1</t>
  </si>
  <si>
    <t>21-23436</t>
  </si>
  <si>
    <t>21-22813-2/21-23301/21-23275/21-23151</t>
  </si>
  <si>
    <t>21-23377</t>
  </si>
  <si>
    <t>21-23388</t>
  </si>
  <si>
    <t>21-23266/21-23458/21-23337</t>
  </si>
  <si>
    <t>21--22977-1</t>
  </si>
  <si>
    <t>21-23171-2</t>
  </si>
  <si>
    <t>21-23346-1</t>
  </si>
  <si>
    <t>21-23417</t>
  </si>
  <si>
    <t>21-23544</t>
  </si>
  <si>
    <t>Wesco-Greensboro NC</t>
  </si>
  <si>
    <t>21-23532</t>
  </si>
  <si>
    <t>21-23346-2</t>
  </si>
  <si>
    <t>21-23215</t>
  </si>
  <si>
    <t>21-23350-3</t>
  </si>
  <si>
    <t>21-23350-1</t>
  </si>
  <si>
    <t>21-23171-3</t>
  </si>
  <si>
    <t>21-23350-2</t>
  </si>
  <si>
    <t>21-23171-1</t>
  </si>
  <si>
    <t>Techline-Kenedy TX</t>
  </si>
  <si>
    <t>21-23360</t>
  </si>
  <si>
    <t>Changed address to Floresville TX</t>
  </si>
  <si>
    <t>21-23497-1</t>
  </si>
  <si>
    <t>21-23497-2/21-23335</t>
  </si>
  <si>
    <t>Georgia Transmission-Eatonton GA</t>
  </si>
  <si>
    <t>21-23233-1</t>
  </si>
  <si>
    <t>21-23233-2</t>
  </si>
  <si>
    <t>21-23233-3</t>
  </si>
  <si>
    <t>Choctaw Kaul-Pana IL</t>
  </si>
  <si>
    <t>21-23447-2</t>
  </si>
  <si>
    <t>21-23431</t>
  </si>
  <si>
    <t>21-23420</t>
  </si>
  <si>
    <t>Entergy-St Francisville LA</t>
  </si>
  <si>
    <t>21-23596</t>
  </si>
  <si>
    <t>21-23381</t>
  </si>
  <si>
    <t>21-23447-1</t>
  </si>
  <si>
    <t>21-23444</t>
  </si>
  <si>
    <t>21-23352</t>
  </si>
  <si>
    <t>21-23575</t>
  </si>
  <si>
    <t>21-23430</t>
  </si>
  <si>
    <t>21-23513-1</t>
  </si>
  <si>
    <t>21-23513-2</t>
  </si>
  <si>
    <t>21-23349</t>
  </si>
  <si>
    <t>21-23501</t>
  </si>
  <si>
    <t>21-23481-2</t>
  </si>
  <si>
    <t>Fletcher-Columbia MO</t>
  </si>
  <si>
    <t>21-23520</t>
  </si>
  <si>
    <t>Border States-St Cloud MN</t>
  </si>
  <si>
    <t>21-22420-1</t>
  </si>
  <si>
    <t>21-23399-1</t>
  </si>
  <si>
    <t>21-23602</t>
  </si>
  <si>
    <t>21-23371/21-23459</t>
  </si>
  <si>
    <t>21-23528</t>
  </si>
  <si>
    <t>21-23372</t>
  </si>
  <si>
    <t>21-23399-3</t>
  </si>
  <si>
    <t>21-23527/21-23498</t>
  </si>
  <si>
    <t>21-23233-4</t>
  </si>
  <si>
    <t>21-23447-3</t>
  </si>
  <si>
    <t>21-23481-1</t>
  </si>
  <si>
    <t>21-22420-2</t>
  </si>
  <si>
    <t>21-23127</t>
  </si>
  <si>
    <t>21-23442</t>
  </si>
  <si>
    <t>21-22420-3</t>
  </si>
  <si>
    <t>21-23399-2</t>
  </si>
  <si>
    <t>21-23445</t>
  </si>
  <si>
    <t>21-23362-3</t>
  </si>
  <si>
    <t>21-22336</t>
  </si>
  <si>
    <t>21-23346-3</t>
  </si>
  <si>
    <t>21-23346-4/21-23553</t>
  </si>
  <si>
    <t>21-22182</t>
  </si>
  <si>
    <t>21-23362-4</t>
  </si>
  <si>
    <t>21-23362-5</t>
  </si>
  <si>
    <t>21-23578</t>
  </si>
  <si>
    <t>21-23399-4</t>
  </si>
  <si>
    <t>21-23167-2</t>
  </si>
  <si>
    <t>21-23341</t>
  </si>
  <si>
    <t>21-23256</t>
  </si>
  <si>
    <t>Was a direct shipment but CHR refused to load on flatbeds - cost $2300 to bring to WM</t>
  </si>
  <si>
    <t>21-23167-1</t>
  </si>
  <si>
    <t xml:space="preserve">Stuart Irby-Waterville ME </t>
  </si>
  <si>
    <t>21-23499</t>
  </si>
  <si>
    <t>Central Power-Jefferson MO</t>
  </si>
  <si>
    <t>21-23508</t>
  </si>
  <si>
    <t>21-23569</t>
  </si>
  <si>
    <t>National Grid-Tewksbury MA</t>
  </si>
  <si>
    <t>21-23251-2</t>
  </si>
  <si>
    <t>Partial Flatbed</t>
  </si>
  <si>
    <t>21-23562-1</t>
  </si>
  <si>
    <t>21-22986</t>
  </si>
  <si>
    <t>21-23366/21-23493</t>
  </si>
  <si>
    <t>21-23490</t>
  </si>
  <si>
    <t>21-23251-1</t>
  </si>
  <si>
    <t>21-23595/21-23235</t>
  </si>
  <si>
    <t>21-23640</t>
  </si>
  <si>
    <t>21-23496-2</t>
  </si>
  <si>
    <t>21-23540</t>
  </si>
  <si>
    <t>21-23568</t>
  </si>
  <si>
    <t>21-23365-1</t>
  </si>
  <si>
    <t>21-23562/21-23586</t>
  </si>
  <si>
    <t>21-23365-4</t>
  </si>
  <si>
    <t>21-23650-1</t>
  </si>
  <si>
    <t>21-23167-3</t>
  </si>
  <si>
    <t>21-23362-2</t>
  </si>
  <si>
    <t>21-23171/21-23600</t>
  </si>
  <si>
    <t>21-23447</t>
  </si>
  <si>
    <t>21-23362-1</t>
  </si>
  <si>
    <t>21-23062</t>
  </si>
  <si>
    <t>21-23365-2</t>
  </si>
  <si>
    <t>21-23365-3</t>
  </si>
  <si>
    <t>21-23496-1</t>
  </si>
  <si>
    <t>21-23515</t>
  </si>
  <si>
    <t>21-23641-2</t>
  </si>
  <si>
    <t>21-23643-2</t>
  </si>
  <si>
    <t>21-23650-2</t>
  </si>
  <si>
    <t>21-23574/21-23630</t>
  </si>
  <si>
    <t>21-23646-1</t>
  </si>
  <si>
    <t>21-23554</t>
  </si>
  <si>
    <t xml:space="preserve">Changed address to 81J Caldwell </t>
  </si>
  <si>
    <t>21-23469</t>
  </si>
  <si>
    <t>21-23204-2</t>
  </si>
  <si>
    <t>21-23629</t>
  </si>
  <si>
    <t>21-23642</t>
  </si>
  <si>
    <t>21-23551</t>
  </si>
  <si>
    <t>Atlantic City Elec-Glassboro NJ</t>
  </si>
  <si>
    <t>21-23641-1</t>
  </si>
  <si>
    <t>21-23449</t>
  </si>
  <si>
    <t>21-23484</t>
  </si>
  <si>
    <t>Midwest Energy-Bazine KS</t>
  </si>
  <si>
    <t>21-23646-2</t>
  </si>
  <si>
    <t>21-23204-1</t>
  </si>
  <si>
    <t>Public Utility Dist-Wenatchee WA</t>
  </si>
  <si>
    <t>21-23552</t>
  </si>
  <si>
    <t>Anixter-Anchorage AK</t>
  </si>
  <si>
    <t>21-23615</t>
  </si>
  <si>
    <t>21-23285-2</t>
  </si>
  <si>
    <t>21-23643-1</t>
  </si>
  <si>
    <t>21-23285-4</t>
  </si>
  <si>
    <t>21-22420-2/21-22421</t>
  </si>
  <si>
    <t>Wesco-Omaha NE</t>
  </si>
  <si>
    <t>FPL-Riviera Beach FL</t>
  </si>
  <si>
    <t>21-23461</t>
  </si>
  <si>
    <t>Consignment #5</t>
  </si>
  <si>
    <t>21-23285-1</t>
  </si>
  <si>
    <t>21-23285-3</t>
  </si>
  <si>
    <t>21-23513</t>
  </si>
  <si>
    <t>21-23252-1</t>
  </si>
  <si>
    <t>21-23514/21-23229/21-23553</t>
  </si>
  <si>
    <t>21-22336-9</t>
  </si>
  <si>
    <t>21-22336-7</t>
  </si>
  <si>
    <t xml:space="preserve">One Source-Antioch </t>
  </si>
  <si>
    <t>Consignment #1</t>
  </si>
  <si>
    <t>21-22336-6</t>
  </si>
  <si>
    <t>21-22336-4</t>
  </si>
  <si>
    <t>KAMO Elec-Vinita OK</t>
  </si>
  <si>
    <t>21-23576</t>
  </si>
  <si>
    <t>21-22336-8</t>
  </si>
  <si>
    <t>21-22336-5</t>
  </si>
  <si>
    <t>21-23361</t>
  </si>
  <si>
    <t>21-23543</t>
  </si>
  <si>
    <t>21-22124</t>
  </si>
  <si>
    <t>21-23252-3</t>
  </si>
  <si>
    <t>21-22336-3</t>
  </si>
  <si>
    <t>OPPD Laydown-Springfield NE</t>
  </si>
  <si>
    <t>21-22958-1</t>
  </si>
  <si>
    <t>21-22336-1</t>
  </si>
  <si>
    <t>21-22958-2</t>
  </si>
  <si>
    <t>Consignment #2</t>
  </si>
  <si>
    <t>Comsignment #3</t>
  </si>
  <si>
    <t>21-22336-2/21-23703</t>
  </si>
  <si>
    <t>21-21-23485</t>
  </si>
  <si>
    <t>21-23653</t>
  </si>
  <si>
    <t>21-23526</t>
  </si>
  <si>
    <t>Border States-Big Springs TX</t>
  </si>
  <si>
    <t>21-23523</t>
  </si>
  <si>
    <t xml:space="preserve">Partial Flatbed </t>
  </si>
  <si>
    <t>21-23366</t>
  </si>
  <si>
    <t>21-22965/21-22421/21-22420</t>
  </si>
  <si>
    <t>Consignment #4</t>
  </si>
  <si>
    <t>21-23640-1</t>
  </si>
  <si>
    <t>21-23640-2</t>
  </si>
  <si>
    <t>Malheur Yard-Vale OR</t>
  </si>
  <si>
    <t>21-23655</t>
  </si>
  <si>
    <t>21-23351-1</t>
  </si>
  <si>
    <t>21-23558</t>
  </si>
  <si>
    <t>21-22959</t>
  </si>
  <si>
    <t>21-23397</t>
  </si>
  <si>
    <t>Anixter-Coolidge AZ</t>
  </si>
  <si>
    <t>21-22936-1</t>
  </si>
  <si>
    <t>21-23410/21-23351-2</t>
  </si>
  <si>
    <t>21-23616</t>
  </si>
  <si>
    <t>BPA-Boardman OR</t>
  </si>
  <si>
    <t>21-23161</t>
  </si>
  <si>
    <t>21-22936-3</t>
  </si>
  <si>
    <t>21-23409/21-23477</t>
  </si>
  <si>
    <t>AEP-Corpus Christi TX</t>
  </si>
  <si>
    <t>21-23624</t>
  </si>
  <si>
    <t>21-22936-2</t>
  </si>
  <si>
    <t>Power Line-Monon IN</t>
  </si>
  <si>
    <t>21-23394-2</t>
  </si>
  <si>
    <t>21-22936-4</t>
  </si>
  <si>
    <t>21-23570</t>
  </si>
  <si>
    <t>21-23511</t>
  </si>
  <si>
    <t>21-23408</t>
  </si>
  <si>
    <t>21-23394-1</t>
  </si>
  <si>
    <t>21-23406</t>
  </si>
  <si>
    <t>21-23284-1</t>
  </si>
  <si>
    <t>21-23284-3</t>
  </si>
  <si>
    <t>21-23394-3</t>
  </si>
  <si>
    <t>21-23394-5/21-23394-4</t>
  </si>
  <si>
    <t>21-23621</t>
  </si>
  <si>
    <t>21-23614</t>
  </si>
  <si>
    <t>21-23437</t>
  </si>
  <si>
    <t xml:space="preserve">Stuart Irby-Elba NY </t>
  </si>
  <si>
    <t>21-23479</t>
  </si>
  <si>
    <t>21-23712</t>
  </si>
  <si>
    <t>21-23631</t>
  </si>
  <si>
    <t>21-23556</t>
  </si>
  <si>
    <t>21-22650-2/21-23362-3</t>
  </si>
  <si>
    <t>21-23600-3</t>
  </si>
  <si>
    <t>21-23284-2</t>
  </si>
  <si>
    <t>21-23727</t>
  </si>
  <si>
    <t>21-23600-2</t>
  </si>
  <si>
    <t>Tarheel Elect-Burgaw NC</t>
  </si>
  <si>
    <t>21-23304</t>
  </si>
  <si>
    <t>21-23728</t>
  </si>
  <si>
    <t>Kamo Elec-El Dorado Springs MO</t>
  </si>
  <si>
    <t>21-23446/21-23625</t>
  </si>
  <si>
    <t>21-23610-4</t>
  </si>
  <si>
    <t>Kamo Elec-Cleveland OK</t>
  </si>
  <si>
    <t>21-23676</t>
  </si>
  <si>
    <t>21-23634</t>
  </si>
  <si>
    <t>21-23519</t>
  </si>
  <si>
    <t>Arkansas Elec-Cameron MO</t>
  </si>
  <si>
    <t>21-23468</t>
  </si>
  <si>
    <t>21-23610-1</t>
  </si>
  <si>
    <t>21-23610-2</t>
  </si>
  <si>
    <t>21-23610-3</t>
  </si>
  <si>
    <t>21-23468-2</t>
  </si>
  <si>
    <t>21-23229</t>
  </si>
  <si>
    <t>Latrobe PA</t>
  </si>
  <si>
    <t>21-23669</t>
  </si>
  <si>
    <t>21-22424</t>
  </si>
  <si>
    <t>Landry</t>
  </si>
  <si>
    <t>Charlotte NC</t>
  </si>
  <si>
    <t>Greenfield IN</t>
  </si>
  <si>
    <t>21-23599</t>
  </si>
  <si>
    <t>CLosed</t>
  </si>
  <si>
    <t>21-23765</t>
  </si>
  <si>
    <t>Fulton NY</t>
  </si>
  <si>
    <t>21-23713/21-23749</t>
  </si>
  <si>
    <t>Mentor OH</t>
  </si>
  <si>
    <t>21-23701</t>
  </si>
  <si>
    <t>Cameron MO</t>
  </si>
  <si>
    <t>Knichel</t>
  </si>
  <si>
    <t>21-23600</t>
  </si>
  <si>
    <t>Hinsdale NH</t>
  </si>
  <si>
    <t>21-23400</t>
  </si>
  <si>
    <t>Albertivlle MN</t>
  </si>
  <si>
    <t>21-23680/21-23228/21-23661</t>
  </si>
  <si>
    <t>Little Rock AR</t>
  </si>
  <si>
    <t>21-23774/21-23776/21-23773</t>
  </si>
  <si>
    <t>Chicago IL</t>
  </si>
  <si>
    <t>21-23592/21-23519</t>
  </si>
  <si>
    <t>Waterville ME</t>
  </si>
  <si>
    <t>21-23690/21-23767</t>
  </si>
  <si>
    <t>Hobbs NM</t>
  </si>
  <si>
    <t>21-23638</t>
  </si>
  <si>
    <t>21-22423</t>
  </si>
  <si>
    <t>Roxboro NC</t>
  </si>
  <si>
    <t>21-23651</t>
  </si>
  <si>
    <t>St Cloud MN</t>
  </si>
  <si>
    <t>Williston ND</t>
  </si>
  <si>
    <t>21-23549</t>
  </si>
  <si>
    <t>Customer Setup</t>
  </si>
  <si>
    <t>Dayton NJ</t>
  </si>
  <si>
    <t>21-23581</t>
  </si>
  <si>
    <t>York NE</t>
  </si>
  <si>
    <t>21-23333</t>
  </si>
  <si>
    <t>Venus TX</t>
  </si>
  <si>
    <t>21-23559</t>
  </si>
  <si>
    <t>Spokane Valley WA</t>
  </si>
  <si>
    <t>21-23741</t>
  </si>
  <si>
    <t>Delta UT</t>
  </si>
  <si>
    <t>21-23678</t>
  </si>
  <si>
    <t>Adelanto CA</t>
  </si>
  <si>
    <t>21-23644</t>
  </si>
  <si>
    <t>New Castle DE</t>
  </si>
  <si>
    <t>21-23628</t>
  </si>
  <si>
    <t>Hasle Township PA</t>
  </si>
  <si>
    <t>21-23601</t>
  </si>
  <si>
    <t>Clayton NC</t>
  </si>
  <si>
    <t>21-23488</t>
  </si>
  <si>
    <t>Olathe KS</t>
  </si>
  <si>
    <t xml:space="preserve">21-23474 </t>
  </si>
  <si>
    <t>Boise ID</t>
  </si>
  <si>
    <t>21-23747</t>
  </si>
  <si>
    <t>21-23617</t>
  </si>
  <si>
    <t>Vernal UT</t>
  </si>
  <si>
    <t>Brighton CO</t>
  </si>
  <si>
    <t>21-23541</t>
  </si>
  <si>
    <t>Sidney NE</t>
  </si>
  <si>
    <t>21-23550</t>
  </si>
  <si>
    <t>21-23512</t>
  </si>
  <si>
    <t>Monon IN</t>
  </si>
  <si>
    <t>21-23394</t>
  </si>
  <si>
    <t>Forth Worth TX</t>
  </si>
  <si>
    <t>21-23704</t>
  </si>
  <si>
    <t>21-23752</t>
  </si>
  <si>
    <t>Coolidge AZ</t>
  </si>
  <si>
    <t>21-23733</t>
  </si>
  <si>
    <t>Duluth MN</t>
  </si>
  <si>
    <t>21-23604</t>
  </si>
  <si>
    <t>21-23604/21-23723</t>
  </si>
  <si>
    <t>21-23606</t>
  </si>
  <si>
    <t>Macon GA</t>
  </si>
  <si>
    <t>21-23362</t>
  </si>
  <si>
    <t>21-23668</t>
  </si>
  <si>
    <t>21-22650</t>
  </si>
  <si>
    <t>West Columbia SC</t>
  </si>
  <si>
    <t>21-23593</t>
  </si>
  <si>
    <t>Mchenry IL</t>
  </si>
  <si>
    <t>21-23652</t>
  </si>
  <si>
    <t>21-23690</t>
  </si>
  <si>
    <t>21-23729</t>
  </si>
  <si>
    <t>Austin TX</t>
  </si>
  <si>
    <t>21-23732</t>
  </si>
  <si>
    <t>Whitinsville MA</t>
  </si>
  <si>
    <t>21-23684</t>
  </si>
  <si>
    <t>21-23416/21-23573/21-23656/21-23547</t>
  </si>
  <si>
    <t>Reed City MI</t>
  </si>
  <si>
    <t>21-23617/21-23606</t>
  </si>
  <si>
    <t>Baldwinville MA</t>
  </si>
  <si>
    <t>21-23401</t>
  </si>
  <si>
    <t>21-23659</t>
  </si>
  <si>
    <t>Des Moines IA</t>
  </si>
  <si>
    <t>21-23751</t>
  </si>
  <si>
    <t>Papillion NE</t>
  </si>
  <si>
    <t>21-23649</t>
  </si>
  <si>
    <t>Jackson MS</t>
  </si>
  <si>
    <t>21-23487</t>
  </si>
  <si>
    <t>Pensacola FL</t>
  </si>
  <si>
    <t>21-23414</t>
  </si>
  <si>
    <t>Forest Park GA</t>
  </si>
  <si>
    <t>21-23663</t>
  </si>
  <si>
    <t>21-23709</t>
  </si>
  <si>
    <t>21-23498</t>
  </si>
  <si>
    <t>Liverpool NY</t>
  </si>
  <si>
    <t>21-22564/21-23506</t>
  </si>
  <si>
    <t>21-23746/21-23667</t>
  </si>
  <si>
    <t>Milford MA</t>
  </si>
  <si>
    <t>21-23585</t>
  </si>
  <si>
    <t>21-23681</t>
  </si>
  <si>
    <t>Big Spring TX</t>
  </si>
  <si>
    <t>21-23740</t>
  </si>
  <si>
    <t>Rutland VT</t>
  </si>
  <si>
    <t>21-23594</t>
  </si>
  <si>
    <t xml:space="preserve">Winter Garden FL </t>
  </si>
  <si>
    <t>21-23637</t>
  </si>
  <si>
    <t>21-23710</t>
  </si>
  <si>
    <t>Vinita OK</t>
  </si>
  <si>
    <t>Irving TX</t>
  </si>
  <si>
    <t>21-23744</t>
  </si>
  <si>
    <t xml:space="preserve">LTL </t>
  </si>
  <si>
    <t>Odessa TX</t>
  </si>
  <si>
    <t>21-23762</t>
  </si>
  <si>
    <t>Greensboro NC</t>
  </si>
  <si>
    <t>21-23859</t>
  </si>
  <si>
    <t>21-23719</t>
  </si>
  <si>
    <t>21-23736</t>
  </si>
  <si>
    <t>21-23546/21-23517</t>
  </si>
  <si>
    <t>Buffalo NY</t>
  </si>
  <si>
    <t>21-23711/21-23715</t>
  </si>
  <si>
    <t>Clifton Park NY</t>
  </si>
  <si>
    <t>21-23467/21-23510</t>
  </si>
  <si>
    <t>21-23493</t>
  </si>
  <si>
    <t>21-23848</t>
  </si>
  <si>
    <t>Portland OR</t>
  </si>
  <si>
    <t>21-23619</t>
  </si>
  <si>
    <t>Muscle Shoals AL</t>
  </si>
  <si>
    <t>21-23440</t>
  </si>
  <si>
    <t>Frederick CO</t>
  </si>
  <si>
    <t>21-23887</t>
  </si>
  <si>
    <t>21-23871/21-23716</t>
  </si>
  <si>
    <t>21-23780</t>
  </si>
  <si>
    <t>21-23820</t>
  </si>
  <si>
    <t>21-23184</t>
  </si>
  <si>
    <t>21-23670</t>
  </si>
  <si>
    <t>Clifton NJ</t>
  </si>
  <si>
    <t>21-23610</t>
  </si>
  <si>
    <t>21-23622</t>
  </si>
  <si>
    <t>21-23622/21-236682</t>
  </si>
  <si>
    <t>21-23799</t>
  </si>
  <si>
    <t>21-23835</t>
  </si>
  <si>
    <t>21-23184-1</t>
  </si>
  <si>
    <t>21-23864</t>
  </si>
  <si>
    <t>21-23855</t>
  </si>
  <si>
    <t>21-23823</t>
  </si>
  <si>
    <t>Carrollton GA</t>
  </si>
  <si>
    <t>21-23831</t>
  </si>
  <si>
    <t>Amarillo TX</t>
  </si>
  <si>
    <t>21-23759</t>
  </si>
  <si>
    <t>21-23842</t>
  </si>
  <si>
    <t>Ashland VA</t>
  </si>
  <si>
    <t>21-23718/21-23685</t>
  </si>
  <si>
    <t>21-23845</t>
  </si>
  <si>
    <t>Calera AL</t>
  </si>
  <si>
    <t>21-23689/21-23664</t>
  </si>
  <si>
    <t>21-23775/21-23648/21-23805</t>
  </si>
  <si>
    <t>Clalera AL</t>
  </si>
  <si>
    <t>21-23689</t>
  </si>
  <si>
    <t>Pewaukee WI</t>
  </si>
  <si>
    <t>21-23811</t>
  </si>
  <si>
    <t>21-23851</t>
  </si>
  <si>
    <t>21-23705</t>
  </si>
  <si>
    <t>21-23888/21-23809</t>
  </si>
  <si>
    <t>21-23622-1</t>
  </si>
  <si>
    <t>21-23735</t>
  </si>
  <si>
    <t>21-23820-1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</si>
</sst>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 vertical="center"/>
    </xf>
    <xf numFmtId="6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[WM Freight 2025.xlsx]Sheet1!PivotTable2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Sheet1!$A$4:$A$11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Sheet1!$B$4:$B$11</c:f>
              <c:numCache>
                <c:formatCode>_(* #,##0_);_(* \(#,##0\);_(* "-"??_);_(@_)</c:formatCode>
                <c:ptCount val="7"/>
                <c:pt idx="0">
                  <c:v>1879334</c:v>
                </c:pt>
                <c:pt idx="1">
                  <c:v>2308585</c:v>
                </c:pt>
                <c:pt idx="2">
                  <c:v>2020164</c:v>
                </c:pt>
                <c:pt idx="3">
                  <c:v>2121430</c:v>
                </c:pt>
                <c:pt idx="4">
                  <c:v>2638917</c:v>
                </c:pt>
                <c:pt idx="5">
                  <c:v>2276439</c:v>
                </c:pt>
                <c:pt idx="6">
                  <c:v>1040093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BA-4A6D-B410-2E245648F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9216735"/>
        <c:axId val="982210399"/>
      </c:barChart>
      <c:catAx>
        <c:axId val="54921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210399"/>
        <c:crosses val="autoZero"/>
        <c:auto val="1"/>
        <c:lblAlgn val="ctr"/>
        <c:lblOffset val="100"/>
        <c:noMultiLvlLbl val="0"/>
      </c:catAx>
      <c:valAx>
        <c:axId val="98221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21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[WM Freight 2025.xlsx]Sheet2!PivotTable3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Sheet2!$A$4:$A$11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7"/>
                <c:pt idx="0">
                  <c:v>77</c:v>
                </c:pt>
                <c:pt idx="1">
                  <c:v>94</c:v>
                </c:pt>
                <c:pt idx="2">
                  <c:v>86</c:v>
                </c:pt>
                <c:pt idx="3">
                  <c:v>86</c:v>
                </c:pt>
                <c:pt idx="4">
                  <c:v>108</c:v>
                </c:pt>
                <c:pt idx="5">
                  <c:v>96</c:v>
                </c:pt>
                <c:pt idx="6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C4-4A4A-AFCB-A3FFC0E38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9033007"/>
        <c:axId val="639033839"/>
      </c:barChart>
      <c:catAx>
        <c:axId val="639033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033839"/>
        <c:crosses val="autoZero"/>
        <c:auto val="1"/>
        <c:lblAlgn val="ctr"/>
        <c:lblOffset val="100"/>
        <c:noMultiLvlLbl val="0"/>
      </c:catAx>
      <c:valAx>
        <c:axId val="63903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033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2</xdr:row>
      <xdr:rowOff>38100</xdr:rowOff>
    </xdr:from>
    <xdr:to>
      <xdr:col>16</xdr:col>
      <xdr:colOff>552450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D2FA28-61CE-E1A6-9FDA-1D771C40E7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180975</xdr:colOff>
      <xdr:row>11</xdr:row>
      <xdr:rowOff>152400</xdr:rowOff>
    </xdr:from>
    <xdr:to>
      <xdr:col>15</xdr:col>
      <xdr:colOff>485775</xdr:colOff>
      <xdr:row>26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01BFE6-D81A-7CE8-35EE-0540B7651F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ROE, Richard" refreshedDate="45125.434219444447" createdVersion="8" refreshedVersion="8" minRefreshableVersion="3" recordCount="593" xr:uid="{9D3C252E-E0E0-4FDF-91DA-DC12F1797A90}">
  <cacheSource type="worksheet">
    <worksheetSource ref="A1:M594" sheet="Full Year"/>
  </cacheSource>
  <cacheFields count="14">
    <cacheField name="Date Shipped" numFmtId="14">
      <sharedItems containsSemiMixedTypes="0" containsNonDate="0" containsDate="1" containsString="0" minDate="2023-01-03T00:00:00" maxDate="2023-07-18T00:00:00" count="118">
        <d v="2023-01-03T00:00:00"/>
        <d v="2023-01-04T00:00:00"/>
        <d v="2023-01-05T00:00:00"/>
        <d v="2023-01-06T00:00:00"/>
        <d v="2023-01-09T00:00:00"/>
        <d v="2023-01-10T00:00:00"/>
        <d v="2023-01-11T00:00:00"/>
        <d v="2023-01-12T00:00:00"/>
        <d v="2023-01-13T00:00:00"/>
        <d v="2023-01-17T00:00:00"/>
        <d v="2023-01-18T00:00:00"/>
        <d v="2023-01-19T00:00:00"/>
        <d v="2023-01-23T00:00:00"/>
        <d v="2023-01-24T00:00:00"/>
        <d v="2023-01-25T00:00:00"/>
        <d v="2023-01-26T00:00:00"/>
        <d v="2023-01-27T00:00:00"/>
        <d v="2023-01-30T00:00:00"/>
        <d v="2023-02-06T00:00:00"/>
        <d v="2023-02-07T00:00:00"/>
        <d v="2023-02-08T00:00:00"/>
        <d v="2023-02-09T00:00:00"/>
        <d v="2023-02-10T00:00:00"/>
        <d v="2023-02-13T00:00:00"/>
        <d v="2023-02-14T00:00:00"/>
        <d v="2023-02-15T00:00:00"/>
        <d v="2023-02-16T00:00:00"/>
        <d v="2023-02-17T00:00:00"/>
        <d v="2023-02-20T00:00:00"/>
        <d v="2023-02-21T00:00:00"/>
        <d v="2023-02-22T00:00:00"/>
        <d v="2023-02-23T00:00:00"/>
        <d v="2023-02-27T00:00:00"/>
        <d v="2023-02-28T00:00:00"/>
        <d v="2023-03-01T00:00:00"/>
        <d v="2023-03-02T00:00:00"/>
        <d v="2023-03-06T00:00:00"/>
        <d v="2023-03-07T00:00:00"/>
        <d v="2023-03-08T00:00:00"/>
        <d v="2023-03-09T00:00:00"/>
        <d v="2023-03-10T00:00:00"/>
        <d v="2023-03-13T00:00:00"/>
        <d v="2023-03-14T00:00:00"/>
        <d v="2023-03-15T00:00:00"/>
        <d v="2023-03-16T00:00:00"/>
        <d v="2023-03-20T00:00:00"/>
        <d v="2023-03-21T00:00:00"/>
        <d v="2023-03-23T00:00:00"/>
        <d v="2023-03-24T00:00:00"/>
        <d v="2023-03-27T00:00:00"/>
        <d v="2023-03-28T00:00:00"/>
        <d v="2023-03-29T00:00:00"/>
        <d v="2023-03-30T00:00:00"/>
        <d v="2023-04-03T00:00:00"/>
        <d v="2023-04-04T00:00:00"/>
        <d v="2023-04-05T00:00:00"/>
        <d v="2023-04-06T00:00:00"/>
        <d v="2023-04-10T00:00:00"/>
        <d v="2023-04-11T00:00:00"/>
        <d v="2023-04-12T00:00:00"/>
        <d v="2023-04-13T00:00:00"/>
        <d v="2023-04-14T00:00:00"/>
        <d v="2023-04-17T00:00:00"/>
        <d v="2023-04-18T00:00:00"/>
        <d v="2023-04-19T00:00:00"/>
        <d v="2023-04-20T00:00:00"/>
        <d v="2023-04-21T00:00:00"/>
        <d v="2023-04-24T00:00:00"/>
        <d v="2023-04-25T00:00:00"/>
        <d v="2023-04-26T00:00:00"/>
        <d v="2023-04-27T00:00:00"/>
        <d v="2023-04-28T00:00:00"/>
        <d v="2023-05-01T00:00:00"/>
        <d v="2023-05-02T00:00:00"/>
        <d v="2023-05-03T00:00:00"/>
        <d v="2023-05-04T00:00:00"/>
        <d v="2023-05-05T00:00:00"/>
        <d v="2023-05-08T00:00:00"/>
        <d v="2023-05-09T00:00:00"/>
        <d v="2023-05-10T00:00:00"/>
        <d v="2023-05-11T00:00:00"/>
        <d v="2023-05-15T00:00:00"/>
        <d v="2023-05-16T00:00:00"/>
        <d v="2023-05-17T00:00:00"/>
        <d v="2023-05-18T00:00:00"/>
        <d v="2023-05-19T00:00:00"/>
        <d v="2023-05-22T00:00:00"/>
        <d v="2023-05-23T00:00:00"/>
        <d v="2023-05-24T00:00:00"/>
        <d v="2023-05-25T00:00:00"/>
        <d v="2023-05-26T00:00:00"/>
        <d v="2023-05-30T00:00:00"/>
        <d v="2023-06-01T00:00:00"/>
        <d v="2023-06-06T00:00:00"/>
        <d v="2023-06-07T00:00:00"/>
        <d v="2023-06-12T00:00:00"/>
        <d v="2023-06-13T00:00:00"/>
        <d v="2023-06-14T00:00:00"/>
        <d v="2023-06-15T00:00:00"/>
        <d v="2023-06-16T00:00:00"/>
        <d v="2023-06-20T00:00:00"/>
        <d v="2023-06-21T00:00:00"/>
        <d v="2023-06-22T00:00:00"/>
        <d v="2023-06-23T00:00:00"/>
        <d v="2023-06-26T00:00:00"/>
        <d v="2023-06-27T00:00:00"/>
        <d v="2023-06-28T00:00:00"/>
        <d v="2023-06-29T00:00:00"/>
        <d v="2023-06-30T00:00:00"/>
        <d v="2023-07-05T00:00:00"/>
        <d v="2023-07-06T00:00:00"/>
        <d v="2023-07-07T00:00:00"/>
        <d v="2023-07-10T00:00:00"/>
        <d v="2023-07-11T00:00:00"/>
        <d v="2023-07-12T00:00:00"/>
        <d v="2023-07-13T00:00:00"/>
        <d v="2023-07-14T00:00:00"/>
        <d v="2023-07-17T00:00:00"/>
      </sharedItems>
      <fieldGroup par="13" base="0">
        <rangePr groupBy="days" startDate="2023-01-03T00:00:00" endDate="2023-07-18T00:00:00"/>
        <groupItems count="368">
          <s v="&lt;1/3/2023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7/18/2023"/>
        </groupItems>
      </fieldGroup>
    </cacheField>
    <cacheField name="Ship to on SO" numFmtId="0">
      <sharedItems/>
    </cacheField>
    <cacheField name="SO #" numFmtId="0">
      <sharedItems/>
    </cacheField>
    <cacheField name="Weight lbs." numFmtId="0">
      <sharedItems containsSemiMixedTypes="0" containsString="0" containsNumber="1" containsInteger="1" minValue="85" maxValue="240996"/>
    </cacheField>
    <cacheField name="Weight kg" numFmtId="1">
      <sharedItems containsSemiMixedTypes="0" containsString="0" containsNumber="1" minValue="38.555320000000002" maxValue="109313.857632"/>
    </cacheField>
    <cacheField name="Metric Tons" numFmtId="1">
      <sharedItems containsSemiMixedTypes="0" containsString="0" containsNumber="1" minValue="3.8555320000000004E-2" maxValue="109.31385763200001"/>
    </cacheField>
    <cacheField name="Pallet Count" numFmtId="0">
      <sharedItems containsSemiMixedTypes="0" containsString="0" containsNumber="1" containsInteger="1" minValue="1" maxValue="11940"/>
    </cacheField>
    <cacheField name="LTL/Closed/Flatbed" numFmtId="0">
      <sharedItems containsBlank="1"/>
    </cacheField>
    <cacheField name="Broker" numFmtId="0">
      <sharedItems/>
    </cacheField>
    <cacheField name="Cost" numFmtId="0">
      <sharedItems containsString="0" containsBlank="1" containsNumber="1" minValue="124.89" maxValue="7000"/>
    </cacheField>
    <cacheField name="Cost per kg" numFmtId="8">
      <sharedItems containsString="0" containsBlank="1" containsNumber="1" minValue="0" maxValue="4.1270569145840321"/>
    </cacheField>
    <cacheField name="cost per ton" numFmtId="8">
      <sharedItems containsString="0" containsBlank="1" containsNumber="1" minValue="0" maxValue="4127.0569145840318"/>
    </cacheField>
    <cacheField name="Comments" numFmtId="0">
      <sharedItems containsBlank="1"/>
    </cacheField>
    <cacheField name="Months" numFmtId="0" databaseField="0">
      <fieldGroup base="0">
        <rangePr groupBy="months" startDate="2023-01-03T00:00:00" endDate="2023-07-18T00:00:00"/>
        <groupItems count="14">
          <s v="&lt;1/3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8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3">
  <r>
    <x v="0"/>
    <s v="Wesco - Plainfield IN"/>
    <s v="21-19220-1"/>
    <n v="19140"/>
    <n v="8681.7508799999996"/>
    <n v="8.6817508799999992"/>
    <n v="22"/>
    <s v="Flatbed"/>
    <s v="Customer Set Up"/>
    <m/>
    <m/>
    <m/>
    <m/>
  </r>
  <r>
    <x v="1"/>
    <s v="Choctaw Kaul-Chicago IL"/>
    <s v="21-19472-1"/>
    <n v="9680"/>
    <n v="4390.7705599999999"/>
    <n v="4.39077056"/>
    <n v="9"/>
    <s v="Closed"/>
    <s v="Flock Freight"/>
    <n v="1043.25"/>
    <n v="0.23760066387982706"/>
    <n v="237.60066387982707"/>
    <m/>
  </r>
  <r>
    <x v="1"/>
    <s v="Wesco-Olathe KS"/>
    <s v="21-19249-2"/>
    <n v="20304"/>
    <n v="9209.7319680000001"/>
    <n v="9.2097319679999998"/>
    <n v="20"/>
    <s v="Closed"/>
    <s v="Landry Logistics"/>
    <n v="2000"/>
    <n v="0.21716158591250764"/>
    <n v="217.16158591250763"/>
    <m/>
  </r>
  <r>
    <x v="1"/>
    <s v="Border States-Amarillo TX"/>
    <s v="21-19320-1"/>
    <n v="10284"/>
    <n v="4664.7401280000004"/>
    <n v="4.664740128"/>
    <n v="10"/>
    <s v="Flatbed"/>
    <s v="Landry Logistics"/>
    <n v="2380"/>
    <n v="0.5102106301086532"/>
    <n v="510.21063010865328"/>
    <m/>
  </r>
  <r>
    <x v="1"/>
    <s v="LCRA-Boerne TX"/>
    <s v="21-19333-1"/>
    <n v="40480"/>
    <n v="18361.404159999998"/>
    <n v="18.361404159999999"/>
    <n v="44"/>
    <s v="Flatbed"/>
    <s v="Landry Logistics"/>
    <n v="3300"/>
    <n v="0.17972481686280797"/>
    <n v="179.72481686280796"/>
    <m/>
  </r>
  <r>
    <x v="2"/>
    <s v="Choctaw Kaul-Chicago IL"/>
    <s v="21-19489-1"/>
    <n v="25802"/>
    <n v="11703.580784"/>
    <n v="11.703580784"/>
    <n v="23"/>
    <s v="Closed"/>
    <s v="Traffic Tech"/>
    <n v="2000"/>
    <n v="0.17088787072194228"/>
    <n v="170.88787072194231"/>
    <m/>
  </r>
  <r>
    <x v="3"/>
    <s v="LCRA-Boerne TX"/>
    <s v="21-19333-2"/>
    <n v="38430"/>
    <n v="17431.540560000001"/>
    <n v="17.431540560000002"/>
    <n v="44"/>
    <s v="Flatbed"/>
    <s v="Landry Logistics"/>
    <n v="3300"/>
    <n v="0.18931201110087081"/>
    <n v="189.31201110087079"/>
    <m/>
  </r>
  <r>
    <x v="3"/>
    <s v="LCRA-Boerne TX"/>
    <s v="21-19333-4"/>
    <n v="37840"/>
    <n v="17163.921279999999"/>
    <n v="17.16392128"/>
    <n v="44"/>
    <s v="Flatbed"/>
    <s v="Landry Logistics"/>
    <n v="3300"/>
    <n v="0.19226375757416667"/>
    <n v="192.26375757416665"/>
    <m/>
  </r>
  <r>
    <x v="3"/>
    <s v="LCRA-Boerne TX"/>
    <s v="21-19333-3"/>
    <n v="37840"/>
    <n v="17163.921279999999"/>
    <n v="17.16392128"/>
    <n v="44"/>
    <s v="Flatbed"/>
    <s v="Landry Logistics"/>
    <n v="3300"/>
    <n v="0.19226375757416667"/>
    <n v="192.26375757416665"/>
    <m/>
  </r>
  <r>
    <x v="4"/>
    <s v="LCRA-Boerne TX"/>
    <s v="21-19333-5"/>
    <n v="40480"/>
    <n v="18361.404159999998"/>
    <n v="18.361404159999999"/>
    <n v="44"/>
    <s v="Flatbed"/>
    <s v="Landry Logistics"/>
    <n v="3300"/>
    <n v="0.17972481686280797"/>
    <n v="179.72481686280796"/>
    <m/>
  </r>
  <r>
    <x v="4"/>
    <s v="LCRA-Boerne TX"/>
    <s v="21-19333-8"/>
    <n v="41800"/>
    <n v="18960.1456"/>
    <n v="18.960145600000001"/>
    <n v="44"/>
    <s v="Flatbed"/>
    <s v="Landry Logistics"/>
    <n v="3300"/>
    <n v="0.17404929633029823"/>
    <n v="174.0492963302982"/>
    <m/>
  </r>
  <r>
    <x v="4"/>
    <s v="NYPA-Massena NY"/>
    <s v="21-18542-14"/>
    <n v="38556"/>
    <n v="17488.693152"/>
    <n v="17.488693152"/>
    <n v="42"/>
    <s v="Flatbed"/>
    <s v="Traffic Tech"/>
    <n v="6007.39"/>
    <n v="0.34350136672807924"/>
    <n v="343.50136672807923"/>
    <m/>
  </r>
  <r>
    <x v="4"/>
    <s v="Wesco-Des Moines IA"/>
    <s v="21-19469-1"/>
    <n v="1056"/>
    <n v="478.99315200000001"/>
    <n v="0.47899315200000003"/>
    <n v="13"/>
    <s v="LTL"/>
    <s v="Flock Freight"/>
    <n v="1277.4100000000001"/>
    <n v="2.6668648490406812"/>
    <n v="2666.8648490406808"/>
    <m/>
  </r>
  <r>
    <x v="4"/>
    <s v="LCRA-Boerne TX"/>
    <s v="21-19333-7"/>
    <n v="41800"/>
    <n v="18960.1456"/>
    <n v="18.960145600000001"/>
    <n v="44"/>
    <s v="Flatbed"/>
    <s v="Landry Logistics"/>
    <n v="3300"/>
    <n v="0.17404929633029823"/>
    <n v="174.0492963302982"/>
    <m/>
  </r>
  <r>
    <x v="4"/>
    <s v="LCRA-Boerne TX"/>
    <s v="21-19333-6/21-19333-9"/>
    <n v="18640"/>
    <n v="8454.9548799999993"/>
    <n v="8.454954879999999"/>
    <n v="20"/>
    <s v="Flatbed"/>
    <s v="Landry Logistics"/>
    <n v="3300"/>
    <n v="0.39030367953897349"/>
    <n v="390.30367953897354"/>
    <m/>
  </r>
  <r>
    <x v="4"/>
    <s v="Border States-Brighton CO"/>
    <s v="21-19490-1"/>
    <n v="19940"/>
    <n v="9044.6244800000004"/>
    <n v="9.0446244800000013"/>
    <n v="20"/>
    <s v="Closed"/>
    <s v="Flock Freight"/>
    <n v="2722.89"/>
    <n v="0.30105064129760306"/>
    <n v="301.05064129760302"/>
    <m/>
  </r>
  <r>
    <x v="4"/>
    <s v="Gateway South"/>
    <s v="21-19130-1/21-19120-1/21-1-121-1/19118-1/21-19117-1/21-18973-1/21-18969-4/21-18952-3"/>
    <n v="16366"/>
    <n v="7423.486672"/>
    <n v="7.4234866720000001"/>
    <n v="20"/>
    <s v="Flatbed"/>
    <s v="Landry Logistics"/>
    <n v="6100"/>
    <n v="0.82171629983630956"/>
    <n v="821.71629983630953"/>
    <s v="6 stop drop"/>
  </r>
  <r>
    <x v="5"/>
    <s v="Power Line-Cleveland OH"/>
    <s v="21-19497-1"/>
    <n v="35910"/>
    <n v="16288.488719999999"/>
    <n v="16.28848872"/>
    <n v="36"/>
    <s v="Closed"/>
    <s v="Loth Logistics"/>
    <n v="2600"/>
    <n v="0.15962192961508834"/>
    <n v="159.62192961508831"/>
    <m/>
  </r>
  <r>
    <x v="5"/>
    <s v="Dominion-Eastover SC"/>
    <s v="21-17673-1"/>
    <n v="20520"/>
    <n v="9307.7078399999991"/>
    <n v="9.3077078399999991"/>
    <n v="21"/>
    <s v="Flatbed"/>
    <s v="Traffic Tech"/>
    <n v="2800"/>
    <n v="0.30082594427458953"/>
    <n v="300.82594427458957"/>
    <m/>
  </r>
  <r>
    <x v="5"/>
    <s v="NYPA-Massena NY"/>
    <s v="21-18542-15"/>
    <n v="40392"/>
    <n v="18321.488064000001"/>
    <n v="18.321488064"/>
    <n v="44"/>
    <s v="Flatbed"/>
    <s v="Traffic Tech"/>
    <n v="6007.39"/>
    <n v="0.32788766824043925"/>
    <n v="327.88766824043927"/>
    <m/>
  </r>
  <r>
    <x v="5"/>
    <s v="PPL-HazleTownship PA"/>
    <s v="21-18695-1"/>
    <n v="1704"/>
    <n v="772.92076799999995"/>
    <n v="0.77292076799999998"/>
    <n v="2"/>
    <s v="LTL"/>
    <s v="Knichel Logitics"/>
    <n v="464.65"/>
    <n v="0.60116123053896253"/>
    <n v="601.16123053896251"/>
    <m/>
  </r>
  <r>
    <x v="5"/>
    <s v="Anixter-Ashland VA"/>
    <s v="21-19416-1/21-18708-1/21-18528-1/21-19049-1"/>
    <n v="6033"/>
    <n v="2736.520536"/>
    <n v="2.736520536"/>
    <n v="6"/>
    <s v="LTL"/>
    <s v="Trinity Logistics"/>
    <n v="1177"/>
    <n v="0.43010822850261993"/>
    <n v="430.10822850261997"/>
    <m/>
  </r>
  <r>
    <x v="6"/>
    <s v="NYPA-Massena NY"/>
    <s v="21-18542-16"/>
    <n v="40352"/>
    <n v="18303.344384"/>
    <n v="18.303344383999999"/>
    <n v="44"/>
    <s v="Flatbed"/>
    <s v="Traffic Tech"/>
    <n v="6007.39"/>
    <n v="0.32821269566732314"/>
    <n v="328.21269566732315"/>
    <m/>
  </r>
  <r>
    <x v="6"/>
    <s v="Georgia Power-McDonough GA"/>
    <s v="21-19457-1"/>
    <n v="33052"/>
    <n v="14992.122783999999"/>
    <n v="14.992122783999999"/>
    <n v="33"/>
    <s v="Closed"/>
    <s v="Loth Logistics"/>
    <n v="1900"/>
    <n v="0.12673322033006104"/>
    <n v="126.73322033006104"/>
    <m/>
  </r>
  <r>
    <x v="6"/>
    <s v="Dis-Tran-Alexandria LA"/>
    <s v="21-19463-1"/>
    <n v="5956"/>
    <n v="2701.5939520000002"/>
    <n v="2.7015939520000001"/>
    <n v="8"/>
    <s v="LTL"/>
    <s v="Flock Freight"/>
    <n v="991.7"/>
    <n v="0.36707958990870587"/>
    <n v="367.07958990870588"/>
    <m/>
  </r>
  <r>
    <x v="6"/>
    <s v="Techline-San Antonio TX"/>
    <s v="21-19351-1"/>
    <n v="1656"/>
    <n v="751.14835200000005"/>
    <n v="0.75114835200000007"/>
    <n v="2"/>
    <s v="LTL"/>
    <s v="Knichel Logitics"/>
    <n v="326.07"/>
    <n v="0.43409534099596875"/>
    <n v="434.09534099596874"/>
    <m/>
  </r>
  <r>
    <x v="6"/>
    <s v="Border States-Spokane WA"/>
    <s v="21-19498-1"/>
    <n v="643"/>
    <n v="291.65965599999998"/>
    <n v="0.29165965599999999"/>
    <n v="1"/>
    <s v="LTL"/>
    <s v="Knichel Logitics"/>
    <n v="470.7"/>
    <n v="1.6138673632667249"/>
    <n v="1613.8673632667249"/>
    <m/>
  </r>
  <r>
    <x v="6"/>
    <s v="Border States-Rapid City SD"/>
    <s v="21-19487-1"/>
    <n v="19557"/>
    <n v="8870.8987440000001"/>
    <n v="8.8708987439999998"/>
    <n v="21"/>
    <s v="Closed"/>
    <s v="Flock Freight"/>
    <n v="3963.92"/>
    <n v="0.44684536644960265"/>
    <n v="446.84536644960269"/>
    <m/>
  </r>
  <r>
    <x v="6"/>
    <s v="Choctaw Kaul-New Castle DE"/>
    <s v="21-19503-1"/>
    <n v="31461"/>
    <n v="14270.457912"/>
    <n v="14.270457911999999"/>
    <n v="33"/>
    <s v="Closed"/>
    <s v="Traffic Tech"/>
    <n v="4594.74"/>
    <n v="0.32197565266187372"/>
    <n v="321.97565266187377"/>
    <m/>
  </r>
  <r>
    <x v="6"/>
    <s v="Choctaw Kaul-Dundalk MD"/>
    <s v="21-19491-1"/>
    <n v="42548"/>
    <n v="19299.432416"/>
    <n v="19.299432415999998"/>
    <n v="44"/>
    <s v="Flatbed"/>
    <s v="Landry Logistics"/>
    <n v="4080"/>
    <n v="0.21140518083928297"/>
    <n v="211.40518083928299"/>
    <m/>
  </r>
  <r>
    <x v="6"/>
    <s v="Choctaw Kaul-Dundalk MD"/>
    <s v="21-19491-2"/>
    <n v="8210"/>
    <n v="3723.9903199999999"/>
    <n v="3.72399032"/>
    <n v="8"/>
    <s v="Flatbed"/>
    <s v="Landry Logistics"/>
    <n v="1900"/>
    <n v="0.51020540783790225"/>
    <n v="510.20540783790221"/>
    <m/>
  </r>
  <r>
    <x v="6"/>
    <s v="APS-Phoenix AZ"/>
    <s v="21-19453-1/21-19387-1"/>
    <n v="21168"/>
    <n v="9601.635456"/>
    <n v="9.6016354560000003"/>
    <n v="23"/>
    <s v="Closed"/>
    <s v="Flock Freight"/>
    <n v="2988.04"/>
    <n v="0.31120115043867791"/>
    <n v="311.20115043867793"/>
    <m/>
  </r>
  <r>
    <x v="6"/>
    <s v="Anixter Power-Orlando FL"/>
    <s v="21-19337-1"/>
    <n v="2925"/>
    <n v="1326.7565999999999"/>
    <n v="1.3267566"/>
    <n v="4"/>
    <s v="LTL"/>
    <s v="Customer Set Up"/>
    <m/>
    <m/>
    <m/>
    <m/>
  </r>
  <r>
    <x v="6"/>
    <s v="Oncor-Irving TX"/>
    <s v="21-19349-1"/>
    <n v="1440"/>
    <n v="653.17247999999995"/>
    <n v="0.65317247999999994"/>
    <n v="1"/>
    <s v="LTL"/>
    <s v="Customer Set Up"/>
    <m/>
    <m/>
    <m/>
    <m/>
  </r>
  <r>
    <x v="7"/>
    <s v="Anixter-Spokane Valley WA"/>
    <s v="21-18806-1"/>
    <n v="7600"/>
    <n v="3447.2991999999999"/>
    <n v="3.4472991999999998"/>
    <n v="8"/>
    <s v="LTL"/>
    <s v="Trinity Logistics"/>
    <n v="2385.5"/>
    <n v="0.69199099399321073"/>
    <n v="691.99099399321074"/>
    <m/>
  </r>
  <r>
    <x v="7"/>
    <s v="Stuart Irby-Neosho MO"/>
    <s v="21-19507-1"/>
    <n v="10300"/>
    <n v="4671.9975999999997"/>
    <n v="4.6719976000000001"/>
    <n v="11"/>
    <s v="Flatbed"/>
    <s v="Landry Logistics"/>
    <n v="1100"/>
    <n v="0.23544532642739374"/>
    <n v="235.4453264273937"/>
    <m/>
  </r>
  <r>
    <x v="7"/>
    <s v="Stuart Irby-Des Moines IA"/>
    <s v="21-19508-1"/>
    <n v="9906"/>
    <n v="4493.2823520000002"/>
    <n v="4.4932823520000005"/>
    <n v="12"/>
    <s v="Closed"/>
    <s v="Flock Freight"/>
    <n v="1288.79"/>
    <n v="0.2868259546223148"/>
    <n v="286.82595462231478"/>
    <m/>
  </r>
  <r>
    <x v="7"/>
    <s v="Stuart Irby-Delta UT"/>
    <s v="21-19494-2"/>
    <n v="39151"/>
    <n v="17758.580392"/>
    <n v="17.758580391999999"/>
    <n v="41"/>
    <s v="Flatbed"/>
    <s v="Landry Logistics"/>
    <n v="6500"/>
    <n v="0.3660202480446107"/>
    <n v="366.02024804461075"/>
    <m/>
  </r>
  <r>
    <x v="7"/>
    <s v="Stuart Irby-Delta UT"/>
    <s v="21-19494-1"/>
    <n v="42812"/>
    <n v="19419.180703999999"/>
    <n v="19.419180703999999"/>
    <n v="44"/>
    <s v="Flatbed"/>
    <s v="Landry Logistics"/>
    <n v="6500"/>
    <n v="0.33472060943647935"/>
    <n v="334.72060943647938"/>
    <m/>
  </r>
  <r>
    <x v="7"/>
    <s v="Anixter-Ashland VA"/>
    <s v="21-18850-1/21-18611-1"/>
    <n v="37082"/>
    <n v="16820.098544"/>
    <n v="16.820098544"/>
    <n v="37"/>
    <s v="Closed"/>
    <s v="Traffic Tech"/>
    <n v="3050.4"/>
    <n v="0.18135446662339127"/>
    <n v="181.35446662339126"/>
    <m/>
  </r>
  <r>
    <x v="7"/>
    <s v="NYPA-Massena NY"/>
    <s v="21-18542-17"/>
    <n v="40392"/>
    <n v="18321.488064000001"/>
    <n v="18.321488064"/>
    <n v="44"/>
    <s v="Flatbed"/>
    <s v="Traffic Tech"/>
    <n v="6007.39"/>
    <n v="0.32788766824043925"/>
    <n v="327.88766824043927"/>
    <m/>
  </r>
  <r>
    <x v="8"/>
    <s v="Fletcher-Granite City IL"/>
    <s v="21-18809-13"/>
    <n v="39644"/>
    <n v="17982.201248000001"/>
    <n v="17.982201248000003"/>
    <n v="44"/>
    <s v="Flatbed"/>
    <s v="Customer Set Up"/>
    <m/>
    <m/>
    <m/>
    <s v="PGI completed in Dec"/>
  </r>
  <r>
    <x v="8"/>
    <s v="Fletcher-Granite City IL"/>
    <s v="21-18809-14"/>
    <n v="39644"/>
    <n v="17982.201248000001"/>
    <n v="17.982201248000003"/>
    <n v="44"/>
    <s v="Flatbed"/>
    <s v="Customer Set Up"/>
    <m/>
    <m/>
    <m/>
    <s v="PGI completed in Dec"/>
  </r>
  <r>
    <x v="9"/>
    <s v="TVA-Hanceville AL"/>
    <s v="21-18176-1"/>
    <n v="31611"/>
    <n v="14338.496712"/>
    <n v="14.338496712"/>
    <n v="41"/>
    <s v="Flatbed"/>
    <s v="Landry Logistics"/>
    <n v="1400"/>
    <n v="9.7639245460671556E-2"/>
    <n v="97.63924546067156"/>
    <m/>
  </r>
  <r>
    <x v="9"/>
    <s v="Anixter-Orlando FL"/>
    <s v="21-19427-1"/>
    <n v="4085"/>
    <n v="1852.9233199999999"/>
    <n v="1.8529233199999999"/>
    <n v="5"/>
    <s v="LTL"/>
    <s v="Customer Set Up"/>
    <m/>
    <m/>
    <m/>
    <m/>
  </r>
  <r>
    <x v="9"/>
    <s v="Wesco-Dayton NJ"/>
    <s v="21-19426-2"/>
    <n v="1000"/>
    <n v="453.59199999999998"/>
    <n v="0.453592"/>
    <n v="1"/>
    <s v="LTL"/>
    <s v="Customer Set Up"/>
    <m/>
    <m/>
    <m/>
    <m/>
  </r>
  <r>
    <x v="9"/>
    <s v="Dis-Tran-Alexandria LA"/>
    <s v="21-19411-1"/>
    <n v="30040"/>
    <n v="13625.903679999999"/>
    <n v="13.62590368"/>
    <n v="33"/>
    <s v="Closed"/>
    <s v="Traffic Tech"/>
    <n v="1600"/>
    <n v="0.11742340453708536"/>
    <n v="117.42340453708535"/>
    <m/>
  </r>
  <r>
    <x v="10"/>
    <s v="Wesco-Cincinnati OH"/>
    <s v="21-19270-1"/>
    <n v="16340"/>
    <n v="7411.6932799999995"/>
    <n v="7.4116932799999997"/>
    <n v="20"/>
    <s v="Closed"/>
    <s v="Customer Set Up"/>
    <m/>
    <m/>
    <m/>
    <m/>
  </r>
  <r>
    <x v="10"/>
    <s v="Anixter-Oklahoma City OK"/>
    <s v="21-19242-3"/>
    <n v="3900"/>
    <n v="1769.0088000000001"/>
    <n v="1.7690088000000002"/>
    <n v="6"/>
    <s v="LTL"/>
    <s v="Trinity Logistics"/>
    <n v="587.02"/>
    <n v="0.33183554541955923"/>
    <n v="331.8355454195592"/>
    <m/>
  </r>
  <r>
    <x v="10"/>
    <s v="Choctaw Kaul-Upper Marlboro MD"/>
    <s v="21-19322-1"/>
    <n v="31246"/>
    <n v="14172.935632000001"/>
    <n v="14.172935632000002"/>
    <n v="34"/>
    <s v="Flatbed"/>
    <s v="Landry Logistics"/>
    <n v="4080"/>
    <n v="0.28787261199352915"/>
    <n v="287.87261199352912"/>
    <m/>
  </r>
  <r>
    <x v="10"/>
    <s v="MD Henry-Pelham AL"/>
    <s v="21-19496-1"/>
    <n v="1578"/>
    <n v="715.76817600000004"/>
    <n v="0.71576817600000009"/>
    <n v="2"/>
    <s v="LTL"/>
    <s v="Knichel Logitics"/>
    <n v="269.74"/>
    <n v="0.3768538600129101"/>
    <n v="376.85386001291005"/>
    <m/>
  </r>
  <r>
    <x v="10"/>
    <s v="Stuart Irby-Liverpool NY"/>
    <s v="21-19475-1"/>
    <n v="20218"/>
    <n v="9170.7230560000007"/>
    <n v="9.1707230560000017"/>
    <n v="22"/>
    <s v="Closed"/>
    <s v="Traffic Tech"/>
    <n v="3800"/>
    <n v="0.41436209302098892"/>
    <n v="414.36209302098888"/>
    <m/>
  </r>
  <r>
    <x v="11"/>
    <s v="Border States-Brighton CO"/>
    <s v="21-19543-1"/>
    <n v="12421"/>
    <n v="5634.0662320000001"/>
    <n v="5.6340662320000003"/>
    <n v="13"/>
    <s v="Closed"/>
    <s v="Flock Freight"/>
    <n v="3114"/>
    <n v="0.55270915743114746"/>
    <n v="552.70915743114745"/>
    <m/>
  </r>
  <r>
    <x v="12"/>
    <s v="Wesco-Olathe KS"/>
    <s v="21-19249-3"/>
    <n v="44088"/>
    <n v="19997.964096"/>
    <n v="19.997964096"/>
    <n v="44"/>
    <s v="Closed"/>
    <s v="Landry Logistics"/>
    <n v="1675"/>
    <n v="8.3758526215927859E-2"/>
    <n v="83.758526215927859"/>
    <m/>
  </r>
  <r>
    <x v="12"/>
    <s v="Wesco-Olathe KS"/>
    <s v="21-19249-4"/>
    <n v="20304"/>
    <n v="9209.7319680000001"/>
    <n v="9.2097319679999998"/>
    <n v="20"/>
    <s v="Closed"/>
    <s v="Landry Logistics"/>
    <n v="1675"/>
    <n v="0.18187282820172515"/>
    <n v="181.87282820172516"/>
    <m/>
  </r>
  <r>
    <x v="12"/>
    <s v="Anixter-Ashland VA"/>
    <s v="21-19113-1"/>
    <n v="33060"/>
    <n v="14995.75152"/>
    <n v="14.995751520000001"/>
    <n v="38"/>
    <s v="Closed"/>
    <s v="Traffic Tech"/>
    <n v="3050.4"/>
    <n v="0.20341761437775546"/>
    <n v="203.41761437775543"/>
    <m/>
  </r>
  <r>
    <x v="13"/>
    <s v="Stuart Irby-Fort Worth TX"/>
    <s v="21-19514-1"/>
    <n v="10131"/>
    <n v="4595.3405519999997"/>
    <n v="4.5953405519999997"/>
    <n v="10"/>
    <s v="LTL"/>
    <s v="Flock Freight"/>
    <n v="981"/>
    <n v="0.2134771055374875"/>
    <n v="213.47710553748749"/>
    <m/>
  </r>
  <r>
    <x v="14"/>
    <s v="Entergy-Beaumont TX"/>
    <s v="21-19301-1"/>
    <n v="870"/>
    <n v="394.62504000000001"/>
    <n v="0.39462504000000004"/>
    <n v="1"/>
    <s v="LTL"/>
    <s v="Knichel Logitics"/>
    <n v="251.56"/>
    <n v="0.63746588407061044"/>
    <n v="637.4658840706104"/>
    <m/>
  </r>
  <r>
    <x v="14"/>
    <s v="BGE-Baltimore MD"/>
    <s v="21-19479-1"/>
    <n v="14700"/>
    <n v="6667.8023999999996"/>
    <n v="6.6678023999999994"/>
    <n v="18"/>
    <s v="Closed"/>
    <s v="Loth Logistics"/>
    <n v="3200"/>
    <n v="0.47991824112844139"/>
    <n v="479.91824112844142"/>
    <m/>
  </r>
  <r>
    <x v="14"/>
    <s v="Anixter-Ashland VA"/>
    <s v="21-19104-2"/>
    <n v="27840"/>
    <n v="12628.00128"/>
    <n v="12.628001280000001"/>
    <n v="32"/>
    <s v="Closed"/>
    <s v="Traffic Tech"/>
    <n v="3050.4"/>
    <n v="0.24155841707358458"/>
    <n v="241.55841707358456"/>
    <m/>
  </r>
  <r>
    <x v="14"/>
    <s v="Border States-Eau Claire WI"/>
    <s v="21-19534-1"/>
    <n v="10904"/>
    <n v="4945.9671680000001"/>
    <n v="4.9459671680000001"/>
    <n v="11"/>
    <s v="LTL"/>
    <s v="Flock Freight"/>
    <n v="1320"/>
    <n v="0.26688410075592317"/>
    <n v="266.88410075592316"/>
    <m/>
  </r>
  <r>
    <x v="15"/>
    <s v="Anixter-Ashland VA"/>
    <s v="21-19104-1"/>
    <n v="38280"/>
    <n v="17363.501759999999"/>
    <n v="17.363501759999998"/>
    <n v="44"/>
    <s v="Closed"/>
    <s v="Traffic Tech"/>
    <n v="3050.4"/>
    <n v="0.17567884878078879"/>
    <n v="175.6788487807888"/>
    <m/>
  </r>
  <r>
    <x v="15"/>
    <s v="Border States-Brighton CO"/>
    <s v="21-19517-1"/>
    <n v="11154"/>
    <n v="5059.3651680000003"/>
    <n v="5.0593651680000002"/>
    <n v="11"/>
    <s v="LTL"/>
    <s v="Trinity Logistics"/>
    <n v="2222.66"/>
    <n v="0.43931598653090143"/>
    <n v="439.3159865309014"/>
    <m/>
  </r>
  <r>
    <x v="15"/>
    <s v="Stuart Irby-Des Moines IA"/>
    <s v="21-19536-1"/>
    <n v="2493"/>
    <n v="1130.804856"/>
    <n v="1.1308048559999999"/>
    <n v="3"/>
    <s v="LTL"/>
    <s v="Knichel Logitics"/>
    <n v="425.72"/>
    <n v="0.37647521386307176"/>
    <n v="376.47521386307176"/>
    <m/>
  </r>
  <r>
    <x v="15"/>
    <s v="Choctaw Kaul-Dundalk MD"/>
    <s v="21-19435-4"/>
    <n v="40480"/>
    <n v="18361.404159999998"/>
    <n v="18.361404159999999"/>
    <n v="44"/>
    <s v="Flatbed"/>
    <s v="Landry Logistics"/>
    <n v="4080"/>
    <n v="0.22220522812128984"/>
    <n v="222.20522812128982"/>
    <m/>
  </r>
  <r>
    <x v="15"/>
    <s v="Border States-Eau Claire WI"/>
    <s v="21-19515-1"/>
    <n v="13450"/>
    <n v="6100.8123999999998"/>
    <n v="6.1008123999999997"/>
    <n v="15"/>
    <s v="LTL"/>
    <s v="Flock Freight"/>
    <n v="1475"/>
    <n v="0.24177107953688268"/>
    <n v="241.77107953688267"/>
    <m/>
  </r>
  <r>
    <x v="16"/>
    <s v="Stuart Irby-Liverpool NY"/>
    <s v="21-18270-11"/>
    <n v="39644"/>
    <n v="17982.201248000001"/>
    <n v="17.982201248000003"/>
    <n v="44"/>
    <s v="Flatbed"/>
    <s v="Landry Logistics"/>
    <n v="4900"/>
    <n v="0.27249166731158586"/>
    <n v="272.49166731158584"/>
    <m/>
  </r>
  <r>
    <x v="17"/>
    <s v="Stuart Irby-Liverpool NY"/>
    <s v="21-18270-12"/>
    <n v="39644"/>
    <n v="17982.201248000001"/>
    <n v="17.982201248000003"/>
    <n v="44"/>
    <s v="Flatbed"/>
    <s v="Landry Logistics"/>
    <n v="4900"/>
    <n v="0.27249166731158586"/>
    <n v="272.49166731158584"/>
    <m/>
  </r>
  <r>
    <x v="17"/>
    <s v="Border States-Albertville MN"/>
    <s v="21-19516-1/21-19535-1"/>
    <n v="34070"/>
    <n v="15453.879440000001"/>
    <n v="15.453879440000001"/>
    <n v="39"/>
    <s v="Closed"/>
    <s v="Traffic Tech"/>
    <n v="3500"/>
    <n v="0.22648034841923162"/>
    <n v="226.4803484192316"/>
    <m/>
  </r>
  <r>
    <x v="17"/>
    <s v="PG&amp;E-Lodi CA"/>
    <s v="21-19084-1"/>
    <n v="924"/>
    <n v="419.11900800000001"/>
    <n v="0.41911900800000002"/>
    <n v="1"/>
    <s v="LTL"/>
    <s v="Customer Set Up"/>
    <m/>
    <m/>
    <m/>
    <m/>
  </r>
  <r>
    <x v="17"/>
    <s v="Dominion Energy-West Columbia SC"/>
    <s v="21-19481-1"/>
    <n v="6090"/>
    <n v="2762.3752799999997"/>
    <n v="2.7623752799999997"/>
    <n v="7"/>
    <s v="LTL"/>
    <s v="Trinity Logistics"/>
    <n v="793"/>
    <n v="0.28707178410603212"/>
    <n v="287.07178410603217"/>
    <m/>
  </r>
  <r>
    <x v="17"/>
    <s v="Choctaw Kaul-Dundalk MD"/>
    <s v="21-19435-5"/>
    <n v="19320"/>
    <n v="8763.3974400000006"/>
    <n v="8.7633974400000003"/>
    <n v="21"/>
    <s v="Flatbed"/>
    <s v="Landry Logistics"/>
    <n v="3380"/>
    <n v="0.3856951625373275"/>
    <n v="385.69516253732752"/>
    <m/>
  </r>
  <r>
    <x v="17"/>
    <s v="Wesco-Santa Fe CA"/>
    <s v="21-19559-1"/>
    <n v="1045"/>
    <n v="474.00364000000002"/>
    <n v="0.47400364"/>
    <n v="2"/>
    <s v="LTL"/>
    <s v="Knichel Logitics"/>
    <n v="422.22"/>
    <n v="0.89075265329186082"/>
    <n v="890.75265329186084"/>
    <m/>
  </r>
  <r>
    <x v="17"/>
    <s v="PG&amp;E-Lodi CA"/>
    <s v="21-19111-1"/>
    <n v="940"/>
    <n v="426.37648000000002"/>
    <n v="0.42637648"/>
    <n v="1"/>
    <s v="LTL"/>
    <s v="Customer Set Up"/>
    <m/>
    <m/>
    <m/>
    <m/>
  </r>
  <r>
    <x v="17"/>
    <s v="Power Line-Youngwood PA"/>
    <s v="21-19501-1"/>
    <n v="1900"/>
    <n v="861.82479999999998"/>
    <n v="0.86182479999999995"/>
    <n v="2"/>
    <s v="LTL"/>
    <s v="Knichel Logitics"/>
    <n v="427.04"/>
    <n v="0.49550674336593703"/>
    <n v="495.5067433659371"/>
    <m/>
  </r>
  <r>
    <x v="17"/>
    <s v="GTC-Forsyth GA"/>
    <s v="21-19158-1"/>
    <n v="36072"/>
    <n v="16361.970624"/>
    <n v="16.361970624000001"/>
    <n v="36"/>
    <s v="Closed"/>
    <s v="Loth Logistics"/>
    <n v="1900"/>
    <n v="0.11612293186818522"/>
    <n v="116.1229318681852"/>
    <m/>
  </r>
  <r>
    <x v="17"/>
    <s v="Power Line-Sidney OH"/>
    <s v="21-19493-1"/>
    <n v="240996"/>
    <n v="109313.857632"/>
    <n v="109.31385763200001"/>
    <n v="26"/>
    <s v="Closed"/>
    <s v="Loth Logistics"/>
    <n v="2000"/>
    <n v="1.8295942008861373E-2"/>
    <n v="18.29594200886137"/>
    <m/>
  </r>
  <r>
    <x v="18"/>
    <s v="Stuart Irby-Liverpool NY"/>
    <s v="21-18270-13"/>
    <n v="39644"/>
    <n v="17982.201248000001"/>
    <n v="17.982201248000003"/>
    <n v="44"/>
    <s v="Flatbed"/>
    <s v="Landry Logistics"/>
    <n v="4900"/>
    <n v="0.27249166731158586"/>
    <n v="272.49166731158584"/>
    <m/>
  </r>
  <r>
    <x v="18"/>
    <s v="Graybar-Manchester NH"/>
    <s v="21-19495-1"/>
    <n v="42460"/>
    <n v="19259.516319999999"/>
    <n v="19.259516319999999"/>
    <n v="44"/>
    <s v="Closed"/>
    <s v="Traffic Tech"/>
    <n v="4650"/>
    <n v="0.24143908511197754"/>
    <n v="241.43908511197753"/>
    <m/>
  </r>
  <r>
    <x v="18"/>
    <s v="Graybar-Manchester NH"/>
    <s v="21-19495-2"/>
    <n v="39151"/>
    <n v="17758.580392"/>
    <n v="17.758580391999999"/>
    <n v="41"/>
    <s v="Closed"/>
    <s v="Traffic Tech"/>
    <n v="4650"/>
    <n v="0.26184525437037537"/>
    <n v="261.84525437037536"/>
    <m/>
  </r>
  <r>
    <x v="19"/>
    <s v="Stuart Irby-Liverpool NY"/>
    <s v="21-18270-14/21-18270-17"/>
    <n v="41484"/>
    <n v="18816.810527999998"/>
    <n v="18.816810527999998"/>
    <n v="46"/>
    <s v="Flatbed"/>
    <s v="Traffic Tech"/>
    <n v="4900"/>
    <n v="0.26040544930335818"/>
    <n v="260.40544930335818"/>
    <m/>
  </r>
  <r>
    <x v="19"/>
    <s v="PPL-Hazleton PA"/>
    <s v="21-19587-2"/>
    <n v="40480"/>
    <n v="18361.404159999998"/>
    <n v="18.361404159999999"/>
    <n v="44"/>
    <s v="Closed"/>
    <s v="Traffic Tech"/>
    <n v="3200"/>
    <n v="0.17427861029120773"/>
    <n v="174.27861029120771"/>
    <m/>
  </r>
  <r>
    <x v="19"/>
    <s v="Wesco-Cincinnati OH"/>
    <s v="21-19419-1"/>
    <n v="20010"/>
    <n v="9076.3759200000004"/>
    <n v="9.0763759200000003"/>
    <n v="23"/>
    <s v="Closed"/>
    <s v="Customer Set Up"/>
    <m/>
    <m/>
    <m/>
    <m/>
  </r>
  <r>
    <x v="19"/>
    <s v="Alabama Power-Calera AL"/>
    <s v="21-19604-4"/>
    <n v="39842"/>
    <n v="18072.012463999999"/>
    <n v="18.072012464"/>
    <n v="44"/>
    <s v="Closed"/>
    <s v="Customer Set Up"/>
    <m/>
    <m/>
    <m/>
    <m/>
  </r>
  <r>
    <x v="19"/>
    <s v="Alabama Power-Calera AL"/>
    <s v="21-19604-3"/>
    <n v="39842"/>
    <n v="18072.012463999999"/>
    <n v="18.072012464"/>
    <n v="44"/>
    <s v="Closed"/>
    <s v="Customer Set Up"/>
    <m/>
    <m/>
    <m/>
    <m/>
  </r>
  <r>
    <x v="19"/>
    <s v="Alabama Power-Calera AL"/>
    <s v="21-19604-1"/>
    <n v="40480"/>
    <n v="18361.404159999998"/>
    <n v="18.361404159999999"/>
    <n v="44"/>
    <s v="Closed"/>
    <s v="Customer Set Up"/>
    <m/>
    <m/>
    <m/>
    <m/>
  </r>
  <r>
    <x v="19"/>
    <s v="Entergy-Little Rock AR"/>
    <s v="21-19593-1"/>
    <n v="1140"/>
    <n v="517.09487999999999"/>
    <n v="0.51709488000000003"/>
    <n v="1"/>
    <s v="LTL"/>
    <s v="Knichel Logistics"/>
    <n v="183.83"/>
    <n v="0.35550535715998582"/>
    <n v="355.50535715998581"/>
    <m/>
  </r>
  <r>
    <x v="19"/>
    <s v="PPL-Hazleton PA"/>
    <s v="21-19587-1"/>
    <n v="40480"/>
    <n v="18361.404159999998"/>
    <n v="18.361404159999999"/>
    <n v="44"/>
    <s v="Closed"/>
    <s v="Traffic Tech"/>
    <n v="3200"/>
    <n v="0.17427861029120773"/>
    <n v="174.27861029120771"/>
    <m/>
  </r>
  <r>
    <x v="19"/>
    <s v="Brownstown Elec-Lawrenceburg KY"/>
    <s v="21-19428-1"/>
    <n v="650"/>
    <n v="294.83479999999997"/>
    <n v="0.29483479999999995"/>
    <n v="1"/>
    <s v="LTL"/>
    <s v="Knichel Logistics"/>
    <n v="209.99"/>
    <n v="0.71222935691444844"/>
    <n v="712.22935691444854"/>
    <m/>
  </r>
  <r>
    <x v="19"/>
    <s v="Anixter-Linden IN"/>
    <s v="21-19499-1"/>
    <n v="6700"/>
    <n v="3039.0664000000002"/>
    <n v="3.0390664000000003"/>
    <n v="7"/>
    <s v="LTL"/>
    <s v="Trinity Logistics"/>
    <n v="605.74"/>
    <n v="0.19931779048986886"/>
    <n v="199.31779048986886"/>
    <m/>
  </r>
  <r>
    <x v="19"/>
    <s v="Anixter-Ashland VA"/>
    <s v="21-19486-1"/>
    <n v="940"/>
    <n v="426.37648000000002"/>
    <n v="0.42637648"/>
    <n v="1"/>
    <s v="LTL"/>
    <s v="Knichel Logistics"/>
    <n v="307.58999999999997"/>
    <n v="0.72140470787694477"/>
    <n v="721.40470787694471"/>
    <m/>
  </r>
  <r>
    <x v="19"/>
    <s v="Wesco-Clayton NC"/>
    <s v="21-19482-1"/>
    <n v="30360"/>
    <n v="13771.05312"/>
    <n v="13.771053120000001"/>
    <n v="33"/>
    <s v="Closed"/>
    <s v="Loth Logistics"/>
    <n v="2500"/>
    <n v="0.18154021905334136"/>
    <n v="181.54021905334133"/>
    <m/>
  </r>
  <r>
    <x v="19"/>
    <s v="Alabama Power-Calera AL"/>
    <s v="21-19604-5"/>
    <n v="32769"/>
    <n v="14863.756248"/>
    <n v="14.863756248"/>
    <n v="37"/>
    <s v="Closed"/>
    <s v="Customer Set Up"/>
    <m/>
    <m/>
    <m/>
    <m/>
  </r>
  <r>
    <x v="20"/>
    <s v="Ameren-Maryland Heights MO"/>
    <s v="21-19407-1"/>
    <n v="17370"/>
    <n v="7878.8930399999999"/>
    <n v="7.8788930400000003"/>
    <n v="18"/>
    <s v="Closed"/>
    <s v="Customer Set Up"/>
    <m/>
    <m/>
    <m/>
    <m/>
  </r>
  <r>
    <x v="20"/>
    <s v="Ameren-Park Hills MO"/>
    <s v="21-18841-1"/>
    <n v="6020"/>
    <n v="2730.6238399999997"/>
    <n v="2.7306238399999998"/>
    <n v="7"/>
    <s v="LTL"/>
    <s v="Customer Set Up"/>
    <m/>
    <m/>
    <m/>
    <m/>
  </r>
  <r>
    <x v="20"/>
    <s v="Stuart Irby-Liverpool NY"/>
    <s v="21-18271-9"/>
    <n v="43450"/>
    <n v="19708.572400000001"/>
    <n v="19.708572400000001"/>
    <n v="44"/>
    <s v="Flatbed"/>
    <s v="Landry Logistics"/>
    <n v="4900"/>
    <n v="0.24862277695973553"/>
    <n v="248.62277695973555"/>
    <m/>
  </r>
  <r>
    <x v="20"/>
    <s v="PPL-Hazleton PA"/>
    <s v="21-19587-3"/>
    <n v="11040"/>
    <n v="5007.6556799999998"/>
    <n v="5.0076556800000001"/>
    <n v="12"/>
    <s v="LTL"/>
    <s v="Flock Freight"/>
    <n v="1643"/>
    <n v="0.32809763789510388"/>
    <n v="328.09763789510384"/>
    <m/>
  </r>
  <r>
    <x v="20"/>
    <s v="Alpha Power-Woods Cross UT"/>
    <s v="21-19552-1"/>
    <n v="1720"/>
    <n v="780.17823999999996"/>
    <n v="0.78017824000000002"/>
    <n v="2"/>
    <s v="LTL"/>
    <s v="Knichel Logistics"/>
    <n v="545.04"/>
    <n v="0.69860958952149188"/>
    <n v="698.6095895214919"/>
    <m/>
  </r>
  <r>
    <x v="20"/>
    <s v="Choctaw Kaul-Chicago IL"/>
    <s v="21-19584-1/21-19549-1"/>
    <n v="13564"/>
    <n v="6152.5218880000002"/>
    <n v="6.1525218880000008"/>
    <n v="14"/>
    <s v="LTL"/>
    <s v="Flock Freight"/>
    <n v="1004"/>
    <n v="0.16318511632737484"/>
    <n v="163.18511632737483"/>
    <m/>
  </r>
  <r>
    <x v="21"/>
    <s v="TVA-Brownsville TN"/>
    <s v="21-19327-2"/>
    <n v="6020"/>
    <n v="2730.6238399999997"/>
    <n v="2.7306238399999998"/>
    <n v="7"/>
    <s v="Flatbed"/>
    <s v="Customer Set Up"/>
    <m/>
    <m/>
    <m/>
    <m/>
  </r>
  <r>
    <x v="21"/>
    <s v="Power Line-Sidney OH"/>
    <s v="21-19421-9"/>
    <n v="20961"/>
    <n v="9507.7419119999995"/>
    <n v="9.5077419120000002"/>
    <n v="23"/>
    <s v="Closed"/>
    <s v="Flock Freight"/>
    <n v="1306"/>
    <n v="0.13736174289203823"/>
    <n v="137.36174289203822"/>
    <m/>
  </r>
  <r>
    <x v="21"/>
    <s v="Graybar-Manchester NH"/>
    <s v="21-19606-2"/>
    <n v="28020"/>
    <n v="12709.64784"/>
    <n v="12.709647840000001"/>
    <n v="29"/>
    <s v="Closed"/>
    <s v="Traffic Tech"/>
    <n v="4650"/>
    <n v="0.36586379564077681"/>
    <n v="365.86379564077674"/>
    <m/>
  </r>
  <r>
    <x v="21"/>
    <s v="Border States-Amarillo TX"/>
    <s v="21-19625-1/21-19562-1"/>
    <n v="22380"/>
    <n v="10151.38896"/>
    <n v="10.15138896"/>
    <n v="22"/>
    <s v="Flatbed"/>
    <s v="Landry Logistics"/>
    <n v="3010"/>
    <n v="0.29651114855912286"/>
    <n v="296.51114855912289"/>
    <m/>
  </r>
  <r>
    <x v="21"/>
    <s v="Entergy-Hammond LA"/>
    <s v="21-19592-1/21-19539-1/21-19477-1/21-19561-1"/>
    <n v="39730"/>
    <n v="18021.210159999999"/>
    <n v="18.021210159999999"/>
    <n v="42"/>
    <s v="Closed"/>
    <s v="Traffic Tech"/>
    <n v="1500"/>
    <n v="8.3235253719498276E-2"/>
    <n v="83.235253719498274"/>
    <m/>
  </r>
  <r>
    <x v="21"/>
    <s v="Wesco-Olathe KS"/>
    <s v="21-19623-3"/>
    <n v="35948"/>
    <n v="16305.725216000001"/>
    <n v="16.305725216000003"/>
    <n v="44"/>
    <s v="Closed"/>
    <s v="Traffic Tech"/>
    <n v="1722.22"/>
    <n v="0.10562057051654905"/>
    <n v="105.62057051654904"/>
    <m/>
  </r>
  <r>
    <x v="22"/>
    <s v="Wesco-Olathe KS"/>
    <s v="21-19623-2"/>
    <n v="35948"/>
    <n v="16305.725216000001"/>
    <n v="16.305725216000003"/>
    <n v="44"/>
    <s v="Closed"/>
    <s v="Traffic Tech"/>
    <n v="1722.22"/>
    <n v="0.10562057051654905"/>
    <n v="105.62057051654904"/>
    <m/>
  </r>
  <r>
    <x v="23"/>
    <s v="PG&amp;E-Lodi CA"/>
    <s v="21-19476-1"/>
    <n v="930"/>
    <n v="421.84055999999998"/>
    <n v="0.42184055999999998"/>
    <n v="1"/>
    <s v="LTL"/>
    <s v="Customer Set Up"/>
    <m/>
    <m/>
    <m/>
    <m/>
  </r>
  <r>
    <x v="23"/>
    <s v="Wesco-Olathe KS"/>
    <s v="21-19623-1"/>
    <n v="35948"/>
    <n v="16305.725216000001"/>
    <n v="16.305725216000003"/>
    <n v="44"/>
    <s v="Closed"/>
    <s v="Traffic Tech"/>
    <n v="1722.22"/>
    <n v="0.10562057051654905"/>
    <n v="105.62057051654904"/>
    <m/>
  </r>
  <r>
    <x v="23"/>
    <s v="PSE&amp;G-Elmer NJ"/>
    <s v="21-19128-5"/>
    <n v="22258"/>
    <n v="10096.050735999999"/>
    <n v="10.096050735999999"/>
    <n v="20"/>
    <s v="Flatbed"/>
    <s v="Landry Logistics"/>
    <n v="3640"/>
    <n v="0.36053701543125843"/>
    <n v="360.53701543125845"/>
    <m/>
  </r>
  <r>
    <x v="23"/>
    <s v="Border States-Pewaukee WI"/>
    <s v="21-18923-3/21-19619-1"/>
    <n v="24768"/>
    <n v="11234.566655999999"/>
    <n v="11.234566656"/>
    <n v="29"/>
    <s v="Closed"/>
    <s v="Traffic Tech"/>
    <n v="2200"/>
    <n v="0.19582419752924382"/>
    <n v="195.8241975292438"/>
    <m/>
  </r>
  <r>
    <x v="24"/>
    <s v="Wesco-Garner NC"/>
    <s v="21-19621-1"/>
    <n v="17892"/>
    <n v="8115.6680639999995"/>
    <n v="8.1156680639999994"/>
    <n v="18"/>
    <s v="Closed"/>
    <s v="Customer Set Up"/>
    <m/>
    <m/>
    <m/>
    <m/>
  </r>
  <r>
    <x v="24"/>
    <s v="National Grid-North Attleboro MA"/>
    <s v="21-19599-3"/>
    <n v="36835"/>
    <n v="16708.061320000001"/>
    <n v="16.708061320000002"/>
    <n v="39"/>
    <s v="Flatbed"/>
    <s v="Landry Logistics"/>
    <n v="5480"/>
    <n v="0.3279853895101697"/>
    <n v="327.98538951016963"/>
    <m/>
  </r>
  <r>
    <x v="24"/>
    <s v="National Grid-North Attleboro MA"/>
    <s v="21-19599-2"/>
    <n v="42460"/>
    <n v="19259.516319999999"/>
    <n v="19.259516319999999"/>
    <n v="44"/>
    <s v="Flatbed"/>
    <s v="Landry Logistics"/>
    <n v="5480"/>
    <n v="0.28453466374486813"/>
    <n v="284.53466374486811"/>
    <m/>
  </r>
  <r>
    <x v="24"/>
    <s v="Stuart Irby-Liverpool NY"/>
    <s v="21-18270-15"/>
    <n v="37180"/>
    <n v="16864.55056"/>
    <n v="16.864550560000001"/>
    <n v="44"/>
    <s v="Flatbed"/>
    <s v="Landry Logistics"/>
    <n v="4900"/>
    <n v="0.29055028668371463"/>
    <n v="290.5502866837146"/>
    <m/>
  </r>
  <r>
    <x v="24"/>
    <s v="GTC-Forsyth GA"/>
    <s v="21-19352-1"/>
    <n v="30210"/>
    <n v="13703.01432"/>
    <n v="13.703014320000001"/>
    <n v="31"/>
    <s v="Closed"/>
    <s v="Loth Logistics"/>
    <n v="1900"/>
    <n v="0.13865562391092939"/>
    <n v="138.65562391092939"/>
    <m/>
  </r>
  <r>
    <x v="25"/>
    <s v="Stuart Irby-Liverpool NY"/>
    <s v="21-18270-16"/>
    <n v="40480"/>
    <n v="18361.404159999998"/>
    <n v="18.361404159999999"/>
    <n v="44"/>
    <s v="Flatbed"/>
    <s v="Landry Logistics"/>
    <n v="4900"/>
    <n v="0.26686412200841181"/>
    <n v="266.86412200841181"/>
    <m/>
  </r>
  <r>
    <x v="25"/>
    <s v="National Grid-North Attleboro MA"/>
    <s v="21-19599-1"/>
    <n v="36120"/>
    <n v="16383.743039999999"/>
    <n v="16.383743039999999"/>
    <n v="42"/>
    <s v="Flatbed"/>
    <s v="Landry Logistics"/>
    <n v="5480"/>
    <n v="0.33447790206553435"/>
    <n v="334.47790206553435"/>
    <m/>
  </r>
  <r>
    <x v="25"/>
    <s v="CEEUS-West Columbia SC"/>
    <s v="21-19609-1"/>
    <n v="20860"/>
    <n v="9461.9291200000007"/>
    <n v="9.4619291200000006"/>
    <n v="23"/>
    <s v="Closed"/>
    <s v="Flock Freight"/>
    <n v="1247"/>
    <n v="0.13179130642229964"/>
    <n v="131.79130642229964"/>
    <m/>
  </r>
  <r>
    <x v="25"/>
    <s v="Graybar-Bridgeport CT"/>
    <s v="21-19223-1"/>
    <n v="6440"/>
    <n v="2921.1324799999998"/>
    <n v="2.9211324799999998"/>
    <n v="7"/>
    <s v="LTL"/>
    <s v="Customer Set Up"/>
    <m/>
    <m/>
    <m/>
    <m/>
  </r>
  <r>
    <x v="25"/>
    <s v="Oncor-Irving TX"/>
    <s v="21-19442-1"/>
    <n v="880"/>
    <n v="399.16095999999999"/>
    <n v="0.39916096000000001"/>
    <n v="1"/>
    <s v="LTL"/>
    <s v="Customer Set Up"/>
    <m/>
    <m/>
    <m/>
    <m/>
  </r>
  <r>
    <x v="25"/>
    <s v="TVA-Muscle Shoals AL"/>
    <s v="21-19610-1"/>
    <n v="41280"/>
    <n v="18724.277760000001"/>
    <n v="18.72427776"/>
    <n v="48"/>
    <s v="Flatbed"/>
    <s v="Customer Set Up"/>
    <m/>
    <m/>
    <m/>
    <m/>
  </r>
  <r>
    <x v="26"/>
    <s v="Stuart Irby-Liverpool NY"/>
    <s v="21-18271-1"/>
    <n v="42812"/>
    <n v="19419.180703999999"/>
    <n v="19.419180703999999"/>
    <n v="44"/>
    <s v="Flatbed"/>
    <s v="Landry Logistics"/>
    <n v="4900"/>
    <n v="0.25232784403673059"/>
    <n v="252.3278440367306"/>
    <m/>
  </r>
  <r>
    <x v="26"/>
    <s v="Stuart Irby-Fort Worth TX"/>
    <s v="21-19514-3"/>
    <n v="39270"/>
    <n v="17812.557840000001"/>
    <n v="17.81255784"/>
    <n v="34"/>
    <s v="Closed"/>
    <s v="Landry Logistics"/>
    <n v="1587"/>
    <n v="8.9094447538366553E-2"/>
    <n v="89.094447538366566"/>
    <m/>
  </r>
  <r>
    <x v="27"/>
    <s v="Choctaw Kaul-Chicago IL"/>
    <s v="21-19584-2"/>
    <n v="1840"/>
    <n v="834.60928000000001"/>
    <n v="0.83460928000000001"/>
    <n v="2"/>
    <s v="LTL"/>
    <s v="Knichel Logistics"/>
    <n v="391.33"/>
    <n v="0.46887808388615088"/>
    <n v="468.87808388615088"/>
    <m/>
  </r>
  <r>
    <x v="27"/>
    <s v="Stuart Irby-Cumberland RI"/>
    <s v="21-19598-1"/>
    <n v="255"/>
    <n v="115.66596"/>
    <n v="0.11566596"/>
    <n v="1"/>
    <s v="LTL"/>
    <s v="Knichel Logistics"/>
    <n v="273.47000000000003"/>
    <n v="2.3643083928927755"/>
    <n v="2364.3083928927754"/>
    <m/>
  </r>
  <r>
    <x v="27"/>
    <s v="Border States-Jackson MO"/>
    <s v="21-19624-1"/>
    <n v="1740"/>
    <n v="789.25008000000003"/>
    <n v="0.78925008000000008"/>
    <n v="2"/>
    <s v="LTL"/>
    <s v="Knichel Logistics"/>
    <n v="282.52999999999997"/>
    <n v="0.35797272266351871"/>
    <n v="357.97272266351871"/>
    <m/>
  </r>
  <r>
    <x v="27"/>
    <s v="Wesco-Olathe KS"/>
    <s v="21-19637-1"/>
    <n v="36564"/>
    <n v="16585.137888000001"/>
    <n v="16.585137888000002"/>
    <n v="44"/>
    <s v="Closed"/>
    <s v="Traffic Tech"/>
    <n v="1722.22"/>
    <n v="0.10384116258967578"/>
    <n v="103.84116258967578"/>
    <m/>
  </r>
  <r>
    <x v="27"/>
    <s v="Wesco-Olathe KS"/>
    <s v="21-19637-2"/>
    <n v="25761"/>
    <n v="11684.983512000001"/>
    <n v="11.684983512000001"/>
    <n v="31"/>
    <s v="Closed"/>
    <s v="Traffic Tech"/>
    <n v="1722.22"/>
    <n v="0.14738745657889465"/>
    <n v="147.38745657889464"/>
    <m/>
  </r>
  <r>
    <x v="28"/>
    <s v="Wesco-Olathe KS"/>
    <s v="21-19623-5"/>
    <n v="35948"/>
    <n v="16305.725216000001"/>
    <n v="16.305725216000003"/>
    <n v="44"/>
    <s v="Closed"/>
    <s v="Traffic Tech"/>
    <n v="1722.22"/>
    <n v="0.10562057051654905"/>
    <n v="105.62057051654904"/>
    <m/>
  </r>
  <r>
    <x v="28"/>
    <s v="Stuart Irby-Fort Worth TX"/>
    <s v="21-19514-4"/>
    <n v="17595"/>
    <n v="7980.9512400000003"/>
    <n v="7.9809512400000004"/>
    <n v="15"/>
    <s v="Closed"/>
    <s v="Landry Logistics"/>
    <n v="1587"/>
    <n v="0.19884847711461523"/>
    <n v="198.84847711461521"/>
    <m/>
  </r>
  <r>
    <x v="28"/>
    <s v="Stuart Irby-Fort Worth TX"/>
    <s v="21-19514-2"/>
    <n v="39270"/>
    <n v="17812.557840000001"/>
    <n v="17.81255784"/>
    <n v="34"/>
    <s v="Closed"/>
    <s v="Landry Logistics"/>
    <n v="1587"/>
    <n v="8.9094447538366553E-2"/>
    <n v="89.094447538366566"/>
    <m/>
  </r>
  <r>
    <x v="28"/>
    <s v="Stuart Irby-Des Moines IA"/>
    <s v="21-19659-1"/>
    <n v="1140"/>
    <n v="517.09487999999999"/>
    <n v="0.51709488000000003"/>
    <n v="1"/>
    <s v="LTL"/>
    <s v="Knichel Logistics"/>
    <n v="283.08999999999997"/>
    <n v="0.54746239220160131"/>
    <n v="547.46239220160135"/>
    <m/>
  </r>
  <r>
    <x v="28"/>
    <s v="Ameren-Maryland Heights MO"/>
    <s v="21-19640-1/21-19446-1/21-19643-1"/>
    <n v="8511"/>
    <n v="3860.5215119999998"/>
    <n v="3.860521512"/>
    <n v="10"/>
    <s v="Closed"/>
    <s v="Customer Set Up"/>
    <m/>
    <m/>
    <m/>
    <m/>
  </r>
  <r>
    <x v="28"/>
    <s v="Wesco-Rochester MN"/>
    <s v="21-19636-1"/>
    <n v="2230"/>
    <n v="1011.51016"/>
    <n v="1.01151016"/>
    <n v="2"/>
    <s v="LTL"/>
    <s v="Knichel Logistics"/>
    <n v="479.61"/>
    <n v="0.47415242967010829"/>
    <n v="474.15242967010829"/>
    <m/>
  </r>
  <r>
    <x v="29"/>
    <s v="WUE-Sidney NE"/>
    <s v="21-19546-1"/>
    <n v="11340"/>
    <n v="5143.7332800000004"/>
    <n v="5.1437332800000002"/>
    <n v="10"/>
    <s v="LTL"/>
    <s v="Flock Freight"/>
    <n v="2195"/>
    <n v="0.42673285734597804"/>
    <n v="426.73285734597806"/>
    <m/>
  </r>
  <r>
    <x v="29"/>
    <s v="Stuart Irby-Liverpool NY"/>
    <s v="21-18271-10"/>
    <n v="43940"/>
    <n v="19930.832480000001"/>
    <n v="19.930832480000003"/>
    <n v="44"/>
    <s v="Flatbed"/>
    <s v="Landry Logistics"/>
    <n v="4900"/>
    <n v="0.24585024257852775"/>
    <n v="245.85024257852771"/>
    <m/>
  </r>
  <r>
    <x v="29"/>
    <s v="Wesco-Olathe KS"/>
    <s v="21-19623-4"/>
    <n v="36520"/>
    <n v="16565.179840000001"/>
    <n v="16.565179840000003"/>
    <n v="44"/>
    <s v="Closed"/>
    <s v="Traffic Tech"/>
    <n v="1722.22"/>
    <n v="0.10396627242412117"/>
    <n v="103.96627242412116"/>
    <m/>
  </r>
  <r>
    <x v="29"/>
    <s v="Wesco-Plainfield IN"/>
    <s v="21-19388-1"/>
    <n v="20880"/>
    <n v="9471.0009599999994"/>
    <n v="9.4710009599999996"/>
    <n v="24"/>
    <s v="Closed"/>
    <s v="Customer Set Up"/>
    <m/>
    <m/>
    <m/>
    <m/>
  </r>
  <r>
    <x v="29"/>
    <s v="Anixter-Spokane Valley WA"/>
    <s v="21-19294-1"/>
    <n v="1980"/>
    <n v="898.11216000000002"/>
    <n v="0.89811216000000005"/>
    <n v="3"/>
    <s v="LTL"/>
    <s v="Customer Set Up"/>
    <m/>
    <m/>
    <m/>
    <m/>
  </r>
  <r>
    <x v="29"/>
    <s v="Wesco-Olathe KS"/>
    <s v="21-19623-7"/>
    <n v="29916"/>
    <n v="13569.658272000001"/>
    <n v="13.569658272000002"/>
    <n v="36"/>
    <s v="Closed"/>
    <s v="Traffic Tech"/>
    <n v="1722.22"/>
    <n v="0.12691697649849262"/>
    <n v="126.9169764984926"/>
    <m/>
  </r>
  <r>
    <x v="29"/>
    <s v="Border States-Albertville MN"/>
    <s v="21-19568-1"/>
    <n v="10686"/>
    <n v="4847.0841119999995"/>
    <n v="4.8470841119999992"/>
    <n v="13"/>
    <s v="LTL"/>
    <s v="Flock Freight"/>
    <n v="1677"/>
    <n v="0.34598120462738119"/>
    <n v="345.9812046273812"/>
    <m/>
  </r>
  <r>
    <x v="30"/>
    <s v="Entergy-Little Rock AR"/>
    <s v="21-19651-1"/>
    <n v="41040"/>
    <n v="18615.415679999998"/>
    <n v="18.615415679999998"/>
    <n v="42"/>
    <s v="Closed"/>
    <s v="Landry Logistics"/>
    <n v="1000"/>
    <n v="5.3718918620462422E-2"/>
    <n v="53.718918620462418"/>
    <m/>
  </r>
  <r>
    <x v="30"/>
    <s v="TVA-Brownsville TN"/>
    <s v="21-19327-1"/>
    <n v="35971"/>
    <n v="16316.157831999999"/>
    <n v="16.316157831999998"/>
    <n v="44"/>
    <s v="Flatbed"/>
    <s v="Customer Set Up"/>
    <m/>
    <m/>
    <m/>
    <m/>
  </r>
  <r>
    <x v="30"/>
    <s v="Stuart Irby-Liverpool NY"/>
    <s v="21-18271-11"/>
    <n v="42350"/>
    <n v="19209.621200000001"/>
    <n v="19.209621200000001"/>
    <n v="44"/>
    <s v="Flatbed"/>
    <s v="Landry Logistics"/>
    <n v="4900"/>
    <n v="0.25508051142622218"/>
    <n v="255.08051142622219"/>
    <m/>
  </r>
  <r>
    <x v="30"/>
    <s v="Wesco-Olathe KS"/>
    <s v="21-19623-6"/>
    <n v="38280"/>
    <n v="17363.501759999999"/>
    <n v="17.363501759999998"/>
    <n v="44"/>
    <s v="Closed"/>
    <s v="Traffic Tech"/>
    <n v="1722.22"/>
    <n v="9.9186213921862734E-2"/>
    <n v="99.186213921862745"/>
    <m/>
  </r>
  <r>
    <x v="30"/>
    <s v="Sediver-Canada"/>
    <s v="21-19590-1"/>
    <n v="1940"/>
    <n v="879.96848"/>
    <n v="0.87996848000000005"/>
    <n v="2"/>
    <s v="LTL"/>
    <s v="Customer Set Up"/>
    <m/>
    <m/>
    <m/>
    <m/>
  </r>
  <r>
    <x v="31"/>
    <s v="TVA-Muscle Shoals AL"/>
    <s v="21-19554-1"/>
    <n v="36144"/>
    <n v="16394.629248000001"/>
    <n v="16.394629248000001"/>
    <n v="48"/>
    <s v="Flatbed"/>
    <s v="Customer Set Up"/>
    <m/>
    <m/>
    <m/>
    <m/>
  </r>
  <r>
    <x v="31"/>
    <s v="Stuart Irby-Liverpool NY"/>
    <s v="21-18271-12"/>
    <n v="9490"/>
    <n v="4304.5880799999995"/>
    <n v="4.3045880799999994"/>
    <n v="10"/>
    <s v="Flatbed"/>
    <s v="Landry Logistics"/>
    <n v="2000"/>
    <n v="0.4646205311240838"/>
    <n v="464.62053112408381"/>
    <m/>
  </r>
  <r>
    <x v="31"/>
    <s v="TVA-Muscle Shoals AL"/>
    <s v="21-19595-1"/>
    <n v="36144"/>
    <n v="16394.629248000001"/>
    <n v="16.394629248000001"/>
    <n v="48"/>
    <s v="Flatbed"/>
    <s v="Customer Set Up"/>
    <m/>
    <m/>
    <m/>
    <m/>
  </r>
  <r>
    <x v="31"/>
    <s v="Border States-Dundee MS"/>
    <s v="21-19585-1"/>
    <n v="1740"/>
    <n v="789.25008000000003"/>
    <n v="0.78925008000000008"/>
    <n v="2"/>
    <s v="Flatbed"/>
    <s v="Landry Logistics"/>
    <n v="350"/>
    <n v="0.44345893509443801"/>
    <n v="443.45893509443795"/>
    <m/>
  </r>
  <r>
    <x v="31"/>
    <s v="Wesco-Clayton NC"/>
    <s v="21-19588-1"/>
    <n v="40480"/>
    <n v="18361.404159999998"/>
    <n v="18.361404159999999"/>
    <n v="44"/>
    <s v="Closed"/>
    <s v="Traffic Tech"/>
    <n v="2564.1"/>
    <n v="0.13964618270240178"/>
    <n v="139.64618270240177"/>
    <m/>
  </r>
  <r>
    <x v="31"/>
    <s v="Alabama Power-Calera AL"/>
    <s v="21-19604-2"/>
    <n v="36168"/>
    <n v="16405.515456000001"/>
    <n v="16.405515456"/>
    <n v="44"/>
    <s v="Closed"/>
    <s v="Customer Set Up"/>
    <m/>
    <m/>
    <m/>
    <m/>
  </r>
  <r>
    <x v="31"/>
    <s v="Wesco-Santa Fe SPR CA"/>
    <s v="21-19660-1"/>
    <n v="1660"/>
    <n v="752.96271999999999"/>
    <n v="0.75296271999999997"/>
    <n v="2"/>
    <s v="LTL"/>
    <s v="Customer Set Up"/>
    <m/>
    <m/>
    <m/>
    <m/>
  </r>
  <r>
    <x v="31"/>
    <s v="TVA-Muscle Shoals AL"/>
    <s v="21-19639-1"/>
    <n v="36144"/>
    <n v="16394.629248000001"/>
    <n v="16.394629248000001"/>
    <n v="48"/>
    <s v="Flatbed"/>
    <s v="Customer Set Up"/>
    <m/>
    <m/>
    <m/>
    <m/>
  </r>
  <r>
    <x v="31"/>
    <s v="TVA-Gallatin TN"/>
    <s v="21-19141-1"/>
    <n v="34200"/>
    <n v="15512.8464"/>
    <n v="15.512846400000001"/>
    <n v="45"/>
    <s v="Flatbed"/>
    <s v="Customer Set Up"/>
    <m/>
    <m/>
    <m/>
    <m/>
  </r>
  <r>
    <x v="31"/>
    <s v="CEEUS-West Columbia SC"/>
    <s v="21-19617-1"/>
    <n v="23720"/>
    <n v="10759.202240000001"/>
    <n v="10.75920224"/>
    <n v="24"/>
    <s v="Closed"/>
    <s v="Flock Freight"/>
    <n v="1313"/>
    <n v="0.1220350701391779"/>
    <n v="122.0350701391779"/>
    <m/>
  </r>
  <r>
    <x v="32"/>
    <s v="Wesco-Clayton NC"/>
    <s v="21-19588-3"/>
    <n v="22080"/>
    <n v="10015.31136"/>
    <n v="10.01531136"/>
    <n v="24"/>
    <s v="Closed"/>
    <s v="Traffic Tech"/>
    <n v="2564.1"/>
    <n v="0.25601800162106991"/>
    <n v="256.01800162106991"/>
    <m/>
  </r>
  <r>
    <x v="32"/>
    <s v="Wesco-Clayton NC"/>
    <s v="21-19588-2"/>
    <n v="40436"/>
    <n v="18341.446112000001"/>
    <n v="18.341446112000003"/>
    <n v="44"/>
    <s v="Closed"/>
    <s v="Traffic Tech"/>
    <n v="2564.1"/>
    <n v="0.13979813719935757"/>
    <n v="139.79813719935757"/>
    <m/>
  </r>
  <r>
    <x v="32"/>
    <s v="Techline-Austin TX"/>
    <s v="21-19671-2"/>
    <n v="29450"/>
    <n v="13358.2844"/>
    <n v="13.358284400000001"/>
    <n v="31"/>
    <s v="Closed"/>
    <s v="Landry Logistics"/>
    <n v="2200"/>
    <n v="0.16469180728028218"/>
    <n v="164.69180728028218"/>
    <m/>
  </r>
  <r>
    <x v="32"/>
    <s v="Techline-Austin TX"/>
    <s v="21-19671-1"/>
    <n v="41800"/>
    <n v="18960.1456"/>
    <n v="18.960145600000001"/>
    <n v="44"/>
    <s v="Closed"/>
    <s v="Landry Logistics"/>
    <n v="2200"/>
    <n v="0.11603286422019882"/>
    <n v="116.03286422019882"/>
    <m/>
  </r>
  <r>
    <x v="32"/>
    <s v="Choctaw Kaul-Chicago IL"/>
    <s v="21-19663-1"/>
    <n v="26964"/>
    <n v="12230.654688000001"/>
    <n v="12.230654688000001"/>
    <n v="28"/>
    <s v="Closed"/>
    <s v="Traffic Tech"/>
    <n v="2000"/>
    <n v="0.16352354399820335"/>
    <n v="163.52354399820334"/>
    <m/>
  </r>
  <r>
    <x v="32"/>
    <s v="Anixter-Ashland VA"/>
    <s v="21-19560-1"/>
    <n v="550"/>
    <n v="249.47559999999999"/>
    <n v="0.24947559999999999"/>
    <n v="1"/>
    <s v="LTL"/>
    <s v="Knichel Logistics"/>
    <n v="230.02"/>
    <n v="0.92201401660122284"/>
    <n v="922.01401660122281"/>
    <m/>
  </r>
  <r>
    <x v="32"/>
    <s v="TVA-Gallatin TN"/>
    <s v="21-19141-2"/>
    <n v="9864"/>
    <n v="4474.2314880000004"/>
    <n v="4.474231488"/>
    <n v="12"/>
    <s v="Flatbed"/>
    <s v="Customer Set Up"/>
    <m/>
    <m/>
    <m/>
    <m/>
  </r>
  <r>
    <x v="32"/>
    <s v="Oncor-Irving TX"/>
    <s v="21-19696-1"/>
    <n v="11310"/>
    <n v="5130.1255199999996"/>
    <n v="5.13012552"/>
    <n v="13"/>
    <s v="Flatbed"/>
    <s v="Customer Set Up"/>
    <m/>
    <m/>
    <m/>
    <m/>
  </r>
  <r>
    <x v="33"/>
    <s v="Choctaw Kaul-New Castle DE"/>
    <s v="21-19664-1"/>
    <n v="20640"/>
    <n v="9362.1388800000004"/>
    <n v="9.3621388799999998"/>
    <n v="22"/>
    <s v="Closed"/>
    <s v="Traffic Tech"/>
    <n v="3800"/>
    <n v="0.40589015487879621"/>
    <n v="405.89015487879624"/>
    <m/>
  </r>
  <r>
    <x v="33"/>
    <s v="Stuart Irby-Liverpool NY"/>
    <s v="21-19668-1"/>
    <n v="560"/>
    <n v="254.01151999999999"/>
    <n v="0.25401151999999999"/>
    <n v="1"/>
    <s v="LTL"/>
    <s v="Knichel Logistics"/>
    <n v="246.71"/>
    <n v="0.9712551619706068"/>
    <n v="971.25516197060676"/>
    <m/>
  </r>
  <r>
    <x v="33"/>
    <s v="Border States-Eau Claire WI"/>
    <s v="21-19591-1"/>
    <n v="11322"/>
    <n v="5135.5686239999995"/>
    <n v="5.1355686239999994"/>
    <n v="14"/>
    <s v="Closed"/>
    <s v="Flock Freight"/>
    <n v="2396"/>
    <n v="0.46655008927400915"/>
    <n v="466.55008927400917"/>
    <m/>
  </r>
  <r>
    <x v="33"/>
    <s v="First Energy-Connellsville PA"/>
    <s v="21-19607-1"/>
    <n v="21285"/>
    <n v="9654.7057199999999"/>
    <n v="9.6547057200000008"/>
    <n v="22"/>
    <s v="Closed"/>
    <s v="Customer Set Up"/>
    <m/>
    <m/>
    <m/>
    <m/>
  </r>
  <r>
    <x v="33"/>
    <s v="Wesco-Olathe KS"/>
    <s v="21-19249-6"/>
    <n v="43780"/>
    <n v="19858.25776"/>
    <n v="19.858257760000001"/>
    <n v="44"/>
    <s v="Closed"/>
    <s v="Traffic Tech"/>
    <n v="1722.22"/>
    <n v="8.6725634283437769E-2"/>
    <n v="86.725634283437756"/>
    <m/>
  </r>
  <r>
    <x v="33"/>
    <s v="Wesco-Charlotte NC"/>
    <s v="21-19620-1"/>
    <n v="35280"/>
    <n v="16002.725759999999"/>
    <n v="16.002725760000001"/>
    <n v="48"/>
    <s v="Closed"/>
    <s v="Landry Logistics"/>
    <n v="1800"/>
    <n v="0.11248083776447845"/>
    <n v="112.48083776447844"/>
    <m/>
  </r>
  <r>
    <x v="33"/>
    <s v="Stuart Irby-Ft Worth TX"/>
    <s v="21-19238-1"/>
    <n v="36451"/>
    <n v="16533.881991999999"/>
    <n v="16.533881991999998"/>
    <n v="38"/>
    <s v="Closed"/>
    <s v="Landry Logistics"/>
    <n v="1600"/>
    <n v="9.6770982203342681E-2"/>
    <n v="96.770982203342697"/>
    <m/>
  </r>
  <r>
    <x v="34"/>
    <s v="Wesco-Olathe KS"/>
    <s v="21-19249-5"/>
    <n v="19953"/>
    <n v="9050.5211760000002"/>
    <n v="9.0505211760000002"/>
    <n v="20"/>
    <s v="Closed"/>
    <s v="Traffic Tech"/>
    <n v="1722.22"/>
    <n v="0.19028959399232723"/>
    <n v="190.28959399232724"/>
    <m/>
  </r>
  <r>
    <x v="34"/>
    <s v="Duke-Charlotte NC"/>
    <s v="21-19260-2"/>
    <n v="3084"/>
    <n v="1398.8777279999999"/>
    <n v="1.398877728"/>
    <n v="4"/>
    <s v="LTL"/>
    <s v="Knichel Logistics"/>
    <n v="443.02"/>
    <n v="0.31669672847918845"/>
    <n v="316.69672847918844"/>
    <m/>
  </r>
  <r>
    <x v="34"/>
    <s v="Wesco-Dayton NJ"/>
    <s v="21-19650-1"/>
    <n v="29220"/>
    <n v="13253.95824"/>
    <n v="13.253958239999999"/>
    <n v="30"/>
    <s v="Closed"/>
    <s v="Traffic Tech"/>
    <n v="3875"/>
    <n v="0.29236549035633602"/>
    <n v="292.36549035633601"/>
    <m/>
  </r>
  <r>
    <x v="35"/>
    <s v="Wesco-Orlando FL"/>
    <s v="21-19681-1"/>
    <n v="35346"/>
    <n v="16032.662832"/>
    <n v="16.032662832"/>
    <n v="43"/>
    <s v="Closed"/>
    <s v="Landry Logistics"/>
    <n v="2800"/>
    <n v="0.17464347808845632"/>
    <n v="174.64347808845631"/>
    <m/>
  </r>
  <r>
    <x v="35"/>
    <s v="Wesco-San Antonio TX"/>
    <s v="21-19510-1"/>
    <n v="4950"/>
    <n v="2245.2804000000001"/>
    <n v="2.2452804"/>
    <n v="5"/>
    <s v="LTL"/>
    <s v="Trinity Logistics"/>
    <n v="877.5"/>
    <n v="0.39081978357803326"/>
    <n v="390.81978357803331"/>
    <m/>
  </r>
  <r>
    <x v="36"/>
    <s v="Anixter-Spokane Valley WA"/>
    <s v="21-19485-1/21-19605-1"/>
    <n v="3725"/>
    <n v="1689.6302000000001"/>
    <n v="1.6896302000000001"/>
    <n v="5"/>
    <s v="LTL"/>
    <s v="Customer Set Up"/>
    <m/>
    <m/>
    <m/>
    <m/>
  </r>
  <r>
    <x v="37"/>
    <s v="Border States-Sidney NE"/>
    <s v="21-19652-1"/>
    <n v="11030"/>
    <n v="5003.1197599999996"/>
    <n v="5.0031197599999997"/>
    <n v="10"/>
    <s v="LTL"/>
    <s v="Flock Freight"/>
    <n v="1988"/>
    <n v="0.39735207138035811"/>
    <n v="397.3520713803581"/>
    <m/>
  </r>
  <r>
    <x v="37"/>
    <s v="Entergy-Little Rock AR"/>
    <s v="21-19653-1/21-19608-1/21-19651-2"/>
    <n v="10104"/>
    <n v="4583.0935680000002"/>
    <n v="4.5830935680000007"/>
    <n v="10"/>
    <s v="LTL"/>
    <s v="Flock Freight"/>
    <n v="609"/>
    <n v="0.13287967853245453"/>
    <n v="132.87967853245451"/>
    <m/>
  </r>
  <r>
    <x v="37"/>
    <s v="Fletcher-Granite City IL"/>
    <s v="21-19721-1"/>
    <n v="37840"/>
    <n v="17163.921279999999"/>
    <n v="17.16392128"/>
    <n v="44"/>
    <s v="Flatbed"/>
    <s v="Customer Set Up"/>
    <m/>
    <m/>
    <m/>
    <m/>
  </r>
  <r>
    <x v="37"/>
    <s v="Power Line-Youngwood PA"/>
    <s v="21-19694-1"/>
    <n v="7600"/>
    <n v="3447.2991999999999"/>
    <n v="3.4472991999999998"/>
    <n v="8"/>
    <s v="LTL"/>
    <s v="Flock Freight"/>
    <n v="1375"/>
    <n v="0.39886297075693344"/>
    <n v="398.86297075693346"/>
    <m/>
  </r>
  <r>
    <x v="37"/>
    <s v="Power Line-Whitehall PA"/>
    <s v="21-19695-1"/>
    <n v="758"/>
    <n v="343.82273600000002"/>
    <n v="0.34382273600000002"/>
    <n v="1"/>
    <s v="LTL"/>
    <s v="Flock Freight"/>
    <n v="1270"/>
    <n v="3.6937638702287563"/>
    <n v="3693.7638702287563"/>
    <m/>
  </r>
  <r>
    <x v="37"/>
    <s v="BSE-Rio Rancho NM"/>
    <s v="21-19692-1"/>
    <n v="11200"/>
    <n v="5080.2304000000004"/>
    <n v="5.0802304000000005"/>
    <n v="10"/>
    <s v="LTL"/>
    <s v="Trinity Logistics"/>
    <n v="1916.1"/>
    <n v="0.37716793317090497"/>
    <n v="377.16793317090497"/>
    <m/>
  </r>
  <r>
    <x v="37"/>
    <s v="WUE-Montrose CO"/>
    <s v="21-19708-1"/>
    <n v="11030"/>
    <n v="5003.1197599999996"/>
    <n v="5.0031197599999997"/>
    <n v="10"/>
    <s v="LTL"/>
    <s v="Trinity Logistics"/>
    <n v="2610.63"/>
    <n v="0.52180042158335227"/>
    <n v="521.80042158335232"/>
    <m/>
  </r>
  <r>
    <x v="37"/>
    <s v="Power Line-Sidney OH"/>
    <s v="21-19684-1"/>
    <n v="12158"/>
    <n v="5514.7715360000002"/>
    <n v="5.5147715360000005"/>
    <n v="15"/>
    <s v="LTL"/>
    <s v="Flock Freight"/>
    <n v="1275"/>
    <n v="0.23119724755176149"/>
    <n v="231.19724755176148"/>
    <m/>
  </r>
  <r>
    <x v="38"/>
    <s v="MD Henry Co-Pelham AL"/>
    <s v="21-19202-1"/>
    <n v="4950"/>
    <n v="2245.2804000000001"/>
    <n v="2.2452804"/>
    <n v="5"/>
    <s v="LTL"/>
    <s v="Knichel Logistics"/>
    <n v="405"/>
    <n v="0.18037836165139998"/>
    <n v="180.37836165139998"/>
    <m/>
  </r>
  <r>
    <x v="38"/>
    <s v="Anixter-Ashland VA"/>
    <s v="21-19616-1/21-19644-1"/>
    <n v="4000"/>
    <n v="1814.3679999999999"/>
    <n v="1.814368"/>
    <n v="4"/>
    <s v="LTL"/>
    <s v="Knichel Logistics"/>
    <n v="908.57"/>
    <n v="0.50076390236159374"/>
    <n v="500.76390236159369"/>
    <m/>
  </r>
  <r>
    <x v="38"/>
    <s v="First Energy-Bethel PA"/>
    <s v="21-19737-1/21-19736-1"/>
    <n v="11042"/>
    <n v="5008.5628639999995"/>
    <n v="5.0085628639999999"/>
    <n v="12"/>
    <s v="LTL"/>
    <s v="Customer Set Up"/>
    <m/>
    <m/>
    <m/>
    <m/>
  </r>
  <r>
    <x v="39"/>
    <s v="Naional Grid-Whitinsville MA"/>
    <s v="21-19709-1"/>
    <n v="30687"/>
    <n v="13919.377704"/>
    <n v="13.919377704"/>
    <n v="33"/>
    <s v="Flatbed"/>
    <s v="Landry Logistics"/>
    <n v="4780"/>
    <n v="0.3434061566291412"/>
    <n v="343.40615662914121"/>
    <m/>
  </r>
  <r>
    <x v="39"/>
    <s v="TVA-Muscle Shoals AL"/>
    <s v="21-19304-3"/>
    <n v="16962"/>
    <n v="7693.8275039999999"/>
    <n v="7.6938275039999997"/>
    <n v="22"/>
    <s v="Flatbed"/>
    <s v="Customer Set Up"/>
    <m/>
    <m/>
    <m/>
    <m/>
  </r>
  <r>
    <x v="39"/>
    <s v="TVA-Muscle Shoals AL"/>
    <s v="21-19304-1"/>
    <n v="37008"/>
    <n v="16786.532736000001"/>
    <n v="16.786532736000002"/>
    <n v="48"/>
    <s v="Flatbed"/>
    <s v="Customer Set Up"/>
    <m/>
    <m/>
    <m/>
    <m/>
  </r>
  <r>
    <x v="39"/>
    <s v="Anixter-Ashland VA"/>
    <s v="21-19672-1/21-19722-1"/>
    <n v="3245"/>
    <n v="1471.9060400000001"/>
    <n v="1.4719060400000001"/>
    <n v="3"/>
    <s v="LTL"/>
    <s v="Knichel Logistics"/>
    <n v="693.05"/>
    <n v="0.47085206607345664"/>
    <n v="470.85206607345663"/>
    <m/>
  </r>
  <r>
    <x v="39"/>
    <s v="Border States-Amarillo TX"/>
    <s v="21-19733-1"/>
    <n v="10787"/>
    <n v="4892.8969040000002"/>
    <n v="4.8928969040000005"/>
    <n v="11"/>
    <s v="Flatbed"/>
    <s v="Landry Logistics"/>
    <n v="1850"/>
    <n v="0.37809911720960304"/>
    <n v="378.09911720960304"/>
    <m/>
  </r>
  <r>
    <x v="40"/>
    <s v="BSE-Rio Rancho NM"/>
    <s v="21-19558-1"/>
    <n v="8770"/>
    <n v="3978.0018399999999"/>
    <n v="3.9780018400000001"/>
    <n v="11"/>
    <s v="LTL"/>
    <s v="Flock Freight"/>
    <n v="1698.25"/>
    <n v="0.42691031032806159"/>
    <n v="426.9103103280616"/>
    <m/>
  </r>
  <r>
    <x v="40"/>
    <s v="Border States-Sidney NE"/>
    <s v="21-19742-1"/>
    <n v="11400"/>
    <n v="5170.9488000000001"/>
    <n v="5.1709488000000006"/>
    <n v="10"/>
    <s v="LTL"/>
    <s v="Flock Freight"/>
    <n v="2850.5"/>
    <n v="0.55125279909946123"/>
    <n v="551.25279909946119"/>
    <m/>
  </r>
  <r>
    <x v="41"/>
    <s v="PPL-Hazle Township PA"/>
    <s v="21-19504-1"/>
    <n v="41800"/>
    <n v="18960.1456"/>
    <n v="18.960145600000001"/>
    <n v="44"/>
    <s v="Closed"/>
    <s v="Traffic Tech"/>
    <n v="3200"/>
    <n v="0.16877507522938009"/>
    <n v="168.77507522938009"/>
    <m/>
  </r>
  <r>
    <x v="41"/>
    <s v="PPL-Hazle Township PA"/>
    <s v="21-19504-2"/>
    <n v="19950"/>
    <n v="9049.1604000000007"/>
    <n v="9.0491604000000017"/>
    <n v="21"/>
    <s v="Closed"/>
    <s v="Traffic Tech"/>
    <n v="3200"/>
    <n v="0.35362396714727257"/>
    <n v="353.62396714727254"/>
    <m/>
  </r>
  <r>
    <x v="41"/>
    <s v="Georgia Transmission-Forsyth GA"/>
    <s v="21-19711-1"/>
    <n v="28035"/>
    <n v="12716.451719999999"/>
    <n v="12.71645172"/>
    <n v="30"/>
    <s v="Closed"/>
    <s v="Jax Transport"/>
    <n v="1800"/>
    <n v="0.1415489194339504"/>
    <n v="141.5489194339504"/>
    <m/>
  </r>
  <r>
    <x v="42"/>
    <s v="Power Line-Mooresville IN"/>
    <s v="21-19578-1"/>
    <n v="42548"/>
    <n v="19299.432416"/>
    <n v="19.299432415999998"/>
    <n v="44"/>
    <s v="Closed"/>
    <s v="Jax Transport"/>
    <n v="1800"/>
    <n v="9.3266991546742492E-2"/>
    <n v="93.266991546742503"/>
    <m/>
  </r>
  <r>
    <x v="42"/>
    <s v="Wesco-Orlando FL"/>
    <s v="21-19700-1"/>
    <n v="39517"/>
    <n v="17924.595064000001"/>
    <n v="17.924595064000002"/>
    <n v="43"/>
    <s v="Closed"/>
    <s v="Landry Logistics"/>
    <n v="2800"/>
    <n v="0.15620994449261272"/>
    <n v="156.20994449261272"/>
    <m/>
  </r>
  <r>
    <x v="42"/>
    <s v="Power Line-Mooresville IN"/>
    <s v="21-19578-2"/>
    <n v="13838"/>
    <n v="6276.8060960000003"/>
    <n v="6.2768060960000005"/>
    <n v="14"/>
    <s v="LTL"/>
    <s v="Flock Freight"/>
    <n v="892"/>
    <n v="0.14211049160311673"/>
    <n v="142.11049160311674"/>
    <m/>
  </r>
  <r>
    <x v="42"/>
    <s v="Border States-Albertville MN"/>
    <s v="21-19725-1"/>
    <n v="10753"/>
    <n v="4877.474776"/>
    <n v="4.8774747759999997"/>
    <n v="11"/>
    <s v="LTL"/>
    <s v="Flock Freight"/>
    <n v="1528.5"/>
    <n v="0.31337937563944052"/>
    <n v="313.37937563944052"/>
    <m/>
  </r>
  <r>
    <x v="42"/>
    <s v="Border States-Pewaukee WI"/>
    <s v="21-19727-1"/>
    <n v="10753"/>
    <n v="4877.474776"/>
    <n v="4.8774747759999997"/>
    <n v="11"/>
    <s v="LTL"/>
    <s v="Flock Freight"/>
    <n v="877.45"/>
    <n v="0.17989841881244822"/>
    <n v="179.89841881244823"/>
    <m/>
  </r>
  <r>
    <x v="42"/>
    <s v="PG&amp;E-Lodi CA"/>
    <s v="21-19455-2"/>
    <n v="1000"/>
    <n v="453.59199999999998"/>
    <n v="0.453592"/>
    <n v="2"/>
    <s v="LTL"/>
    <s v="Knichel Logistics"/>
    <n v="433.09"/>
    <n v="0.95480079013739216"/>
    <n v="954.80079013739214"/>
    <m/>
  </r>
  <r>
    <x v="42"/>
    <s v="Ameren-Decatur IL"/>
    <s v="21-19335-1/21-19750-1"/>
    <n v="9702"/>
    <n v="4400.7495840000001"/>
    <n v="4.4007495840000006"/>
    <n v="10"/>
    <s v="LTL"/>
    <s v="Customer Set Up"/>
    <m/>
    <m/>
    <m/>
    <m/>
  </r>
  <r>
    <x v="43"/>
    <s v="Stuart Irby-New Haven CT"/>
    <s v="21-19751-1"/>
    <n v="27680"/>
    <n v="12555.42656"/>
    <n v="12.555426560000001"/>
    <n v="29"/>
    <s v="Closed"/>
    <s v="Landry Logistics"/>
    <n v="3480"/>
    <n v="0.27717098924275818"/>
    <n v="277.17098924275814"/>
    <m/>
  </r>
  <r>
    <x v="43"/>
    <s v="ComEd-Libertyville IL"/>
    <s v="21-19767-1"/>
    <n v="26640"/>
    <n v="12083.69088"/>
    <n v="12.083690880000001"/>
    <n v="27"/>
    <s v="Flatbed"/>
    <s v="Landry Logistics"/>
    <n v="2276"/>
    <n v="0.18835304730999541"/>
    <n v="188.35304730999539"/>
    <m/>
  </r>
  <r>
    <x v="43"/>
    <s v="Wesco-Olathe KS"/>
    <s v="21-19779-2"/>
    <n v="25327"/>
    <n v="11488.124583999999"/>
    <n v="11.488124583999999"/>
    <n v="31"/>
    <s v="Closed"/>
    <s v="Traffic Tech"/>
    <n v="1722.22"/>
    <n v="0.1499130678299406"/>
    <n v="149.91306782994059"/>
    <m/>
  </r>
  <r>
    <x v="43"/>
    <s v="Wesco-Olathe KS"/>
    <s v="21-19779-1"/>
    <n v="35948"/>
    <n v="16305.725216000001"/>
    <n v="16.305725216000003"/>
    <n v="44"/>
    <s v="Closed"/>
    <s v="Traffic Tech"/>
    <n v="1722.22"/>
    <n v="0.10562057051654905"/>
    <n v="105.62057051654904"/>
    <m/>
  </r>
  <r>
    <x v="43"/>
    <s v="Graybar-Manchester NH"/>
    <s v="21-19723-3"/>
    <n v="14337"/>
    <n v="6503.1485039999998"/>
    <n v="6.5031485040000003"/>
    <n v="15"/>
    <s v="LTL"/>
    <s v="Flock Freight"/>
    <n v="2438.6799999999998"/>
    <n v="0.37499989405131995"/>
    <n v="374.99989405131993"/>
    <m/>
  </r>
  <r>
    <x v="43"/>
    <s v="Graybar-Manchester NH"/>
    <s v="21-19723-1"/>
    <n v="42461"/>
    <n v="19259.969912"/>
    <n v="19.259969912000003"/>
    <n v="43"/>
    <s v="Closed"/>
    <s v="Traffic Tech"/>
    <n v="4650"/>
    <n v="0.24143339897446045"/>
    <n v="241.43339897446043"/>
    <m/>
  </r>
  <r>
    <x v="44"/>
    <s v="Graybar-Manchester NH"/>
    <s v="21-19723-2"/>
    <n v="42461"/>
    <n v="19259.969912"/>
    <n v="19.259969912000003"/>
    <n v="43"/>
    <s v="Closed"/>
    <s v="Traffic Tech"/>
    <n v="4650"/>
    <n v="0.24143339897446045"/>
    <n v="241.43339897446043"/>
    <m/>
  </r>
  <r>
    <x v="44"/>
    <s v="Gresco-Nashville TN"/>
    <s v="21-19728-1"/>
    <n v="2313"/>
    <n v="1049.1582960000001"/>
    <n v="1.0491582960000001"/>
    <n v="3"/>
    <s v="LTL"/>
    <s v="Knichel Logistics"/>
    <n v="246.89"/>
    <n v="0.23532197280552217"/>
    <n v="235.32197280552217"/>
    <m/>
  </r>
  <r>
    <x v="45"/>
    <s v="TVA-Muscle Shoals AL"/>
    <s v="21-19304-2"/>
    <n v="34656"/>
    <n v="15719.684352"/>
    <n v="15.719684352"/>
    <n v="48"/>
    <s v="Flatbed"/>
    <s v="Customer Set Up"/>
    <m/>
    <m/>
    <m/>
    <m/>
  </r>
  <r>
    <x v="45"/>
    <s v="Power Line-Sidney OH"/>
    <s v="21-19603-2"/>
    <n v="42856"/>
    <n v="19439.138751999999"/>
    <n v="19.439138751999998"/>
    <n v="44"/>
    <s v="Closed"/>
    <s v="Landry Logistics"/>
    <n v="1776"/>
    <n v="9.1362072294343594E-2"/>
    <n v="91.362072294343591"/>
    <m/>
  </r>
  <r>
    <x v="45"/>
    <s v="Power Line-Sidney OH"/>
    <s v="21-19603-3"/>
    <n v="31840"/>
    <n v="14442.369279999999"/>
    <n v="14.442369279999999"/>
    <n v="32"/>
    <s v="Closed"/>
    <s v="Landry Logistics"/>
    <n v="1776"/>
    <n v="0.12297151288462277"/>
    <n v="122.97151288462277"/>
    <m/>
  </r>
  <r>
    <x v="45"/>
    <s v="Power Line-Sidney OH"/>
    <s v="21-19603-1"/>
    <n v="42856"/>
    <n v="19439.138751999999"/>
    <n v="19.439138751999998"/>
    <n v="44"/>
    <s v="Closed"/>
    <s v="Landry Logistics"/>
    <n v="1766"/>
    <n v="9.0847646211605168E-2"/>
    <n v="90.847646211605181"/>
    <m/>
  </r>
  <r>
    <x v="45"/>
    <s v="Entergy-Little Rock AR"/>
    <s v="21-19651-3"/>
    <n v="1980"/>
    <n v="898.11216000000002"/>
    <n v="0.89811216000000005"/>
    <n v="3"/>
    <s v="LTL"/>
    <s v="Knichel Logistics"/>
    <n v="230.71"/>
    <n v="0.25688328281848449"/>
    <n v="256.88328281848447"/>
    <m/>
  </r>
  <r>
    <x v="45"/>
    <s v="PPL-Hazle Township PA"/>
    <s v="21-19710-1"/>
    <n v="41800"/>
    <n v="18960.1456"/>
    <n v="18.960145600000001"/>
    <n v="44"/>
    <s v="Closed"/>
    <s v="Traffic Tech"/>
    <n v="3200"/>
    <n v="0.16877507522938009"/>
    <n v="168.77507522938009"/>
    <m/>
  </r>
  <r>
    <x v="45"/>
    <s v="TVA-Muscle Shoals AL"/>
    <s v="21-19690-4/21-19690-7"/>
    <n v="158686"/>
    <n v="71978.700112000006"/>
    <n v="71.978700112000013"/>
    <n v="20"/>
    <s v="Flatbed"/>
    <s v="Customer Set Up"/>
    <m/>
    <m/>
    <m/>
    <m/>
  </r>
  <r>
    <x v="46"/>
    <s v="Oncor-Irving TX"/>
    <s v="21-19795-1"/>
    <n v="13608"/>
    <n v="6172.4799359999997"/>
    <n v="6.1724799360000002"/>
    <n v="12"/>
    <s v="Flatbed"/>
    <s v="Customer Set Up"/>
    <m/>
    <m/>
    <m/>
    <m/>
  </r>
  <r>
    <x v="46"/>
    <s v="PPL-Hazle Township PA"/>
    <s v="21-19710-4"/>
    <n v="26600"/>
    <n v="12065.547199999999"/>
    <n v="12.065547199999999"/>
    <n v="28"/>
    <s v="Closed"/>
    <s v="Traffic Tech"/>
    <n v="3200"/>
    <n v="0.26521797536045444"/>
    <n v="265.21797536045443"/>
    <m/>
  </r>
  <r>
    <x v="46"/>
    <s v="PPL-Hazle Township PA"/>
    <s v="21-19710-2"/>
    <n v="41800"/>
    <n v="18960.1456"/>
    <n v="18.960145600000001"/>
    <n v="44"/>
    <s v="Closed"/>
    <s v="Traffic Tech"/>
    <n v="3200"/>
    <n v="0.16877507522938009"/>
    <n v="168.77507522938009"/>
    <m/>
  </r>
  <r>
    <x v="46"/>
    <s v="PPL-Hazle Township PA"/>
    <s v="21-19710-3"/>
    <n v="41800"/>
    <n v="18960.1456"/>
    <n v="18.960145600000001"/>
    <n v="44"/>
    <s v="Closed"/>
    <s v="Traffic Tech"/>
    <n v="3200"/>
    <n v="0.16877507522938009"/>
    <n v="168.77507522938009"/>
    <m/>
  </r>
  <r>
    <x v="46"/>
    <s v="Anixter-Ashland VA"/>
    <s v="21-18044-11"/>
    <n v="12870"/>
    <n v="5837.7290400000002"/>
    <n v="5.8377290400000001"/>
    <n v="13"/>
    <s v="Closed"/>
    <s v="Flock Freight"/>
    <n v="1617.32"/>
    <n v="0.27704608914154055"/>
    <n v="277.04608914154056"/>
    <m/>
  </r>
  <r>
    <x v="46"/>
    <s v="TVA-Muscle Shoals AL"/>
    <s v="21-19690-2"/>
    <n v="33924"/>
    <n v="15387.655008"/>
    <n v="15.387655007999999"/>
    <n v="44"/>
    <s v="Flatbed"/>
    <s v="Customer Set Up"/>
    <m/>
    <m/>
    <m/>
    <m/>
  </r>
  <r>
    <x v="46"/>
    <s v="TVA-Muscle Shoals AL"/>
    <s v="21-19690-3"/>
    <n v="31768"/>
    <n v="14409.710655999999"/>
    <n v="14.409710656"/>
    <n v="44"/>
    <s v="Flatbed"/>
    <s v="Customer Set Up"/>
    <m/>
    <m/>
    <m/>
    <m/>
  </r>
  <r>
    <x v="46"/>
    <s v="TVA-Muscle Shoals AL"/>
    <s v="21-19690-1"/>
    <n v="33924"/>
    <n v="15387.655008"/>
    <n v="15.387655007999999"/>
    <n v="44"/>
    <s v="Flatbed"/>
    <s v="Customer Set Up"/>
    <m/>
    <m/>
    <m/>
    <m/>
  </r>
  <r>
    <x v="46"/>
    <s v="WUE-Sidney NE"/>
    <s v="21-19747-1"/>
    <n v="11030"/>
    <n v="5003.1197599999996"/>
    <n v="5.0031197599999997"/>
    <n v="10"/>
    <s v="Closed"/>
    <s v="Flock Freight"/>
    <n v="2539.21"/>
    <n v="0.5075253285561967"/>
    <n v="507.52532855619677"/>
    <m/>
  </r>
  <r>
    <x v="47"/>
    <s v="Wesco-Dayton NJ"/>
    <s v="21-19786-1"/>
    <n v="43700"/>
    <n v="19821.970399999998"/>
    <n v="19.821970399999998"/>
    <n v="46"/>
    <s v="Closed"/>
    <s v="Traffic Tech"/>
    <n v="3500"/>
    <n v="0.17657174990030255"/>
    <n v="176.57174990030256"/>
    <m/>
  </r>
  <r>
    <x v="47"/>
    <s v="Wesco-Greenfield IN"/>
    <s v="21-19792-1"/>
    <n v="33240"/>
    <n v="15077.398079999999"/>
    <n v="15.07739808"/>
    <n v="40"/>
    <s v="Closed"/>
    <s v="Traffic Tech"/>
    <n v="1555.56"/>
    <n v="0.10317164750484588"/>
    <n v="103.17164750484588"/>
    <m/>
  </r>
  <r>
    <x v="47"/>
    <s v="CEEUS-West Columbia SC"/>
    <s v="21-19784-1"/>
    <n v="21234"/>
    <n v="9631.5725280000006"/>
    <n v="9.6315725280000013"/>
    <n v="21"/>
    <s v="Closed"/>
    <s v="Jax Transport"/>
    <n v="2200"/>
    <n v="0.22841545278347511"/>
    <n v="228.41545278347508"/>
    <m/>
  </r>
  <r>
    <x v="47"/>
    <s v="Wesco-Walls MS"/>
    <s v="21-19553-1"/>
    <n v="10460"/>
    <n v="4744.5723200000002"/>
    <n v="4.7445723200000005"/>
    <n v="12"/>
    <s v="Closed"/>
    <s v="Flock Freight"/>
    <n v="297.31"/>
    <n v="6.2663182252852667E-2"/>
    <n v="62.663182252852657"/>
    <m/>
  </r>
  <r>
    <x v="47"/>
    <s v="Border States-Eau Claire WI"/>
    <s v="21-19788-1"/>
    <n v="12338"/>
    <n v="5596.4180960000003"/>
    <n v="5.5964180960000007"/>
    <n v="14"/>
    <s v="Closed"/>
    <s v="Flock Freight"/>
    <n v="1506.14"/>
    <n v="0.26912571115380085"/>
    <n v="269.12571115380081"/>
    <m/>
  </r>
  <r>
    <x v="47"/>
    <s v="Graybar-Rutland VT"/>
    <s v="21-19739-2"/>
    <n v="27300"/>
    <n v="12383.061599999999"/>
    <n v="12.3830616"/>
    <n v="28"/>
    <s v="Closed"/>
    <s v="Landry Logistics"/>
    <n v="4470.99"/>
    <n v="0.36105691342115265"/>
    <n v="361.05691342115267"/>
    <m/>
  </r>
  <r>
    <x v="47"/>
    <s v="Graybar-Rutland VT"/>
    <s v="21-19739-1"/>
    <n v="42900"/>
    <n v="19459.096799999999"/>
    <n v="19.459096800000001"/>
    <n v="44"/>
    <s v="Closed"/>
    <s v="Landry Logistics"/>
    <n v="4470.99"/>
    <n v="0.22976349035891533"/>
    <n v="229.76349035891531"/>
    <m/>
  </r>
  <r>
    <x v="48"/>
    <s v="Wesco-Reddick FL"/>
    <s v="21-19312-2"/>
    <n v="38280"/>
    <n v="17363.501759999999"/>
    <n v="17.363501759999998"/>
    <n v="44"/>
    <s v="Flatbed"/>
    <s v="Customer Set Up"/>
    <m/>
    <m/>
    <m/>
    <m/>
  </r>
  <r>
    <x v="48"/>
    <s v="Wesco-Reddick FL"/>
    <s v="21-19312-3"/>
    <n v="38280"/>
    <n v="17363.501759999999"/>
    <n v="17.363501759999998"/>
    <n v="44"/>
    <s v="Flatbed"/>
    <s v="Customer Set Up"/>
    <m/>
    <m/>
    <m/>
    <m/>
  </r>
  <r>
    <x v="48"/>
    <s v="Border States-Amarillo TX"/>
    <s v="21-19789-1"/>
    <n v="11940"/>
    <n v="5415.8884799999996"/>
    <n v="5.4158884799999996"/>
    <n v="12"/>
    <s v="Flatbed"/>
    <s v="Landry Logistics"/>
    <n v="1850"/>
    <n v="0.34158753579061879"/>
    <n v="341.5875357906188"/>
    <m/>
  </r>
  <r>
    <x v="49"/>
    <s v="TVA-Leoma TN"/>
    <s v="21-19447-1"/>
    <n v="34656"/>
    <n v="15719.684352"/>
    <n v="15.719684352"/>
    <n v="48"/>
    <s v="Flatbed"/>
    <s v="Customer Set Up"/>
    <m/>
    <m/>
    <m/>
    <m/>
  </r>
  <r>
    <x v="49"/>
    <s v="TVA-Leoma TN"/>
    <s v="21-19447-2"/>
    <n v="19494"/>
    <n v="8842.3224480000008"/>
    <n v="8.8423224480000009"/>
    <n v="27"/>
    <s v="Flatbed"/>
    <s v="Customer Set Up"/>
    <m/>
    <m/>
    <m/>
    <m/>
  </r>
  <r>
    <x v="49"/>
    <s v="NYPA-Marcy NY"/>
    <s v="21-19824-1"/>
    <n v="44176"/>
    <n v="20037.880192000001"/>
    <n v="20.037880191999999"/>
    <n v="44"/>
    <s v="Flatbed"/>
    <s v="Landry Logistics"/>
    <n v="4500"/>
    <n v="0.22457465345044816"/>
    <n v="224.57465345044818"/>
    <m/>
  </r>
  <r>
    <x v="49"/>
    <s v="Wesco-Dayton NJ"/>
    <s v="21-19786-2"/>
    <n v="4200"/>
    <n v="1905.0863999999999"/>
    <n v="1.9050863999999998"/>
    <n v="4"/>
    <s v="LTL"/>
    <s v="Knichel Logistics"/>
    <n v="866.88"/>
    <n v="0.45503448032593169"/>
    <n v="455.03448032593172"/>
    <m/>
  </r>
  <r>
    <x v="49"/>
    <s v="Stuart Irby-Fort Worth TX"/>
    <s v="21-19790-1"/>
    <n v="2760"/>
    <n v="1251.91392"/>
    <n v="1.25191392"/>
    <n v="3"/>
    <s v="LTL"/>
    <s v="Knichel Logistics"/>
    <n v="507.04"/>
    <n v="0.40501187174274733"/>
    <n v="405.0118717427473"/>
    <m/>
  </r>
  <r>
    <x v="50"/>
    <s v="Arkansas Elect-Mountain Home AR"/>
    <s v="21-19714-1"/>
    <n v="17200"/>
    <n v="7801.7824000000001"/>
    <n v="7.8017824000000005"/>
    <n v="20"/>
    <s v="Closed"/>
    <s v="Jax Transport"/>
    <n v="1050"/>
    <n v="0.13458463030191664"/>
    <n v="134.58463030191663"/>
    <m/>
  </r>
  <r>
    <x v="50"/>
    <s v="NYPA-Marcy NY"/>
    <s v="21-19824-2"/>
    <n v="27148"/>
    <n v="12314.115615999999"/>
    <n v="12.314115615999999"/>
    <n v="29"/>
    <s v="Flatbed"/>
    <s v="Landry Logistics"/>
    <n v="4500"/>
    <n v="0.36543428211385737"/>
    <n v="365.43428211385736"/>
    <m/>
  </r>
  <r>
    <x v="50"/>
    <s v="Duke-Reddick FL"/>
    <s v="21-19312-4"/>
    <n v="13920"/>
    <n v="6314.0006400000002"/>
    <n v="6.3140006400000006"/>
    <n v="16"/>
    <s v="Flatbed"/>
    <s v="Customer Set Up"/>
    <m/>
    <m/>
    <m/>
    <m/>
  </r>
  <r>
    <x v="50"/>
    <s v="Graybar-Manchester NH"/>
    <s v="21-19825-1"/>
    <n v="14338"/>
    <n v="6503.6020959999996"/>
    <n v="6.5036020959999998"/>
    <n v="14"/>
    <s v="LTL"/>
    <s v="Flock Freight"/>
    <n v="2507.3000000000002"/>
    <n v="0.38552481578510156"/>
    <n v="385.52481578510151"/>
    <m/>
  </r>
  <r>
    <x v="50"/>
    <s v="Georgia Power-Forest Park GA"/>
    <s v="21-19738-1"/>
    <n v="30960"/>
    <n v="14043.20832"/>
    <n v="14.04320832"/>
    <n v="30"/>
    <s v="Closed"/>
    <s v="Traffic Tech"/>
    <n v="1555.56"/>
    <n v="0.11076955953039654"/>
    <n v="110.76955953039653"/>
    <m/>
  </r>
  <r>
    <x v="50"/>
    <s v="First Energy-Bethel PA"/>
    <s v="21-19785-1/21-19793-1"/>
    <n v="6960"/>
    <n v="3157.0003200000001"/>
    <n v="3.1570003200000003"/>
    <n v="8"/>
    <s v="Closed"/>
    <s v="Customer Set Up"/>
    <m/>
    <m/>
    <m/>
    <m/>
  </r>
  <r>
    <x v="50"/>
    <s v="Wesco-Garner NC"/>
    <s v="21-19532-1"/>
    <n v="2610"/>
    <n v="1183.8751199999999"/>
    <n v="1.1838751199999999"/>
    <n v="3"/>
    <s v="LTL"/>
    <s v="Customer Set Up"/>
    <m/>
    <m/>
    <m/>
    <m/>
  </r>
  <r>
    <x v="51"/>
    <s v="Border States-Albertville MN"/>
    <s v="21-19766-1"/>
    <n v="41800"/>
    <n v="18960.1456"/>
    <n v="18.960145600000001"/>
    <n v="44"/>
    <s v="Closed"/>
    <s v="Landry Logistics"/>
    <n v="2200"/>
    <n v="0.11603286422019882"/>
    <n v="116.03286422019882"/>
    <m/>
  </r>
  <r>
    <x v="51"/>
    <s v="PPL-Hazle Township PA"/>
    <s v="21-19632-1"/>
    <n v="6440"/>
    <n v="2921.1324799999998"/>
    <n v="2.9211324799999998"/>
    <n v="7"/>
    <s v="LTL"/>
    <s v="Knichel Logistics"/>
    <n v="884.99"/>
    <n v="0.30296126795317413"/>
    <n v="302.96126795317412"/>
    <m/>
  </r>
  <r>
    <x v="51"/>
    <s v="Border States-Albertville MN"/>
    <s v="21-19766-2"/>
    <n v="15200"/>
    <n v="6894.5983999999999"/>
    <n v="6.8945983999999996"/>
    <n v="16"/>
    <s v="Closed"/>
    <s v="Landry Logistics"/>
    <n v="2200"/>
    <n v="0.31909037660554673"/>
    <n v="319.09037660554674"/>
    <m/>
  </r>
  <r>
    <x v="51"/>
    <s v="Umatilla Electric-Hermiston OR"/>
    <s v="21-19796-1"/>
    <n v="34500"/>
    <n v="15648.923999999999"/>
    <n v="15.648923999999999"/>
    <n v="35"/>
    <s v="Closed"/>
    <s v="Landry Logistics"/>
    <n v="6180"/>
    <n v="0.39491533091987668"/>
    <n v="394.91533091987668"/>
    <m/>
  </r>
  <r>
    <x v="51"/>
    <s v="Duke-Reddick FL"/>
    <s v="21-19312-1"/>
    <n v="38280"/>
    <n v="17363.501759999999"/>
    <n v="17.363501759999998"/>
    <n v="44"/>
    <s v="Flatbed"/>
    <s v="Customer Set Up"/>
    <m/>
    <m/>
    <m/>
    <m/>
  </r>
  <r>
    <x v="52"/>
    <s v="Power Line-Reed City MI"/>
    <s v="21-19423-1"/>
    <n v="11940"/>
    <n v="5415.8884799999996"/>
    <n v="5.4158884799999996"/>
    <n v="11940"/>
    <s v="LTL"/>
    <s v="Flock Freight"/>
    <n v="1378"/>
    <n v="0.25443655368620149"/>
    <n v="254.43655368620148"/>
    <m/>
  </r>
  <r>
    <x v="53"/>
    <s v="Wesco-Des Moines IA"/>
    <s v="21-19740-1"/>
    <n v="15772"/>
    <n v="7154.0530239999998"/>
    <n v="7.1540530239999995"/>
    <n v="16"/>
    <s v="Closed"/>
    <s v="Landry Logistics"/>
    <n v="1480"/>
    <n v="0.20687573813542928"/>
    <n v="206.87573813542929"/>
    <m/>
  </r>
  <r>
    <x v="53"/>
    <s v="Power Line-Mooresville IN"/>
    <s v="21-19741-1"/>
    <n v="43714"/>
    <n v="19828.320688"/>
    <n v="19.828320688000002"/>
    <n v="44"/>
    <s v="Closed"/>
    <s v="Traffic Tech"/>
    <n v="1555.56"/>
    <n v="7.8451424327699984E-2"/>
    <n v="78.451424327699968"/>
    <m/>
  </r>
  <r>
    <x v="54"/>
    <s v="Anixter-Crows Landing CA"/>
    <s v="21-19594-1"/>
    <n v="9440"/>
    <n v="4281.9084800000001"/>
    <n v="4.2819084800000002"/>
    <n v="8"/>
    <s v="LTL"/>
    <s v="Customer Set Up"/>
    <m/>
    <m/>
    <m/>
    <m/>
  </r>
  <r>
    <x v="54"/>
    <s v="Power Line-Whitehall PA"/>
    <s v="21-19787-1"/>
    <n v="1708"/>
    <n v="774.73513600000001"/>
    <n v="0.77473513599999999"/>
    <n v="2"/>
    <s v="LTL"/>
    <s v="Knichel Logistics"/>
    <n v="500.42"/>
    <n v="0.64592397678475755"/>
    <n v="645.92397678475766"/>
    <m/>
  </r>
  <r>
    <x v="54"/>
    <s v="Georgia Power-McDonough GA"/>
    <s v="21-19834-1"/>
    <n v="40212"/>
    <n v="18239.841504"/>
    <n v="18.239841504000001"/>
    <n v="36"/>
    <s v="Closed"/>
    <s v="Traffic Tech"/>
    <n v="1555.54"/>
    <n v="8.5282539305995053E-2"/>
    <n v="85.282539305995044"/>
    <m/>
  </r>
  <r>
    <x v="55"/>
    <s v="TVA-Muscle Shoals AL"/>
    <s v="21-19690-5"/>
    <n v="37840"/>
    <n v="17163.921279999999"/>
    <n v="17.16392128"/>
    <n v="44"/>
    <s v="Flatbed"/>
    <s v="Customer Set Up"/>
    <m/>
    <m/>
    <m/>
    <m/>
  </r>
  <r>
    <x v="55"/>
    <s v="Stuart Irby-New Haven CT"/>
    <s v="21-19819-5"/>
    <n v="6840"/>
    <n v="3102.5692800000002"/>
    <n v="3.1025692800000004"/>
    <n v="8"/>
    <s v="LTL"/>
    <s v="Trinity Logistics"/>
    <n v="1318.2"/>
    <n v="0.42487367115296132"/>
    <n v="424.87367115296126"/>
    <m/>
  </r>
  <r>
    <x v="55"/>
    <s v="Stuart Irby-New Haven CT"/>
    <s v="21-19819-1"/>
    <n v="40436"/>
    <n v="18341.446112000001"/>
    <n v="18.341446112000003"/>
    <n v="44"/>
    <s v="Closed"/>
    <s v="Traffic Tech"/>
    <n v="3800"/>
    <n v="0.20718104651049446"/>
    <n v="207.18104651049444"/>
    <m/>
  </r>
  <r>
    <x v="55"/>
    <s v="Stuart Irby-New Haven CT"/>
    <s v="21-19819-3"/>
    <n v="40436"/>
    <n v="18341.446112000001"/>
    <n v="18.341446112000003"/>
    <n v="44"/>
    <s v="Closed"/>
    <s v="Traffic Tech"/>
    <n v="3800"/>
    <n v="0.20718104651049446"/>
    <n v="207.18104651049444"/>
    <m/>
  </r>
  <r>
    <x v="55"/>
    <s v="National Grid-Lancaster NY"/>
    <s v="21-19600-1"/>
    <n v="41184"/>
    <n v="18680.732928000001"/>
    <n v="18.680732928000001"/>
    <n v="48"/>
    <s v="Flatbed"/>
    <s v="Landry Logistics"/>
    <n v="4250"/>
    <n v="0.2275071334931297"/>
    <n v="227.50713349312971"/>
    <s v="Address for Buffalo was incorrect "/>
  </r>
  <r>
    <x v="55"/>
    <s v="National Grid-Lancaster NY"/>
    <s v="21-19600-2"/>
    <n v="37356"/>
    <n v="16944.382752000001"/>
    <n v="16.944382752000003"/>
    <n v="48"/>
    <s v="Flatbed"/>
    <s v="Landry Logistics"/>
    <n v="4250"/>
    <n v="0.25082058533518187"/>
    <n v="250.82058533518185"/>
    <s v="Address for Buffalo was incorrect "/>
  </r>
  <r>
    <x v="55"/>
    <s v="Power Line-Mooresville IN"/>
    <s v="21-19741-2"/>
    <n v="3051"/>
    <n v="1383.9091920000001"/>
    <n v="1.3839091920000002"/>
    <n v="3"/>
    <s v="LTL"/>
    <s v="Knichel Logistics"/>
    <n v="473.42"/>
    <n v="0.34208891937181379"/>
    <n v="342.0889193718138"/>
    <m/>
  </r>
  <r>
    <x v="56"/>
    <s v="National Grid-Lancaster NY"/>
    <s v="21-19600-4"/>
    <n v="39708"/>
    <n v="18011.231135999999"/>
    <n v="18.011231135999999"/>
    <n v="36"/>
    <s v="Flatbed"/>
    <s v="Landry Logistics"/>
    <n v="4250"/>
    <n v="0.2359638809756486"/>
    <n v="235.96388097564861"/>
    <s v="Address for Cheektowaga was incorrect "/>
  </r>
  <r>
    <x v="56"/>
    <s v="National Grid-Lancaster NY"/>
    <s v="21-19600-3"/>
    <n v="32212"/>
    <n v="14611.105503999999"/>
    <n v="14.611105503999999"/>
    <n v="32"/>
    <s v="Flatbed"/>
    <s v="Landry Logistics"/>
    <n v="4250"/>
    <n v="0.29087463633990607"/>
    <n v="290.87463633990609"/>
    <s v="Address for Buffalo was incorrect "/>
  </r>
  <r>
    <x v="56"/>
    <s v="NYPA-Massena NY"/>
    <s v="21-18542-19"/>
    <n v="3990"/>
    <n v="1809.8320799999999"/>
    <n v="1.8098320799999998"/>
    <n v="4"/>
    <s v="Flatbed"/>
    <s v="Landry Logistics"/>
    <n v="350"/>
    <n v="0.19338810703366471"/>
    <n v="193.38810703366471"/>
    <s v="Replaced pallets missing from CHR direct shipment - added this to 21-19600-3 for a 2 stop drop"/>
  </r>
  <r>
    <x v="56"/>
    <s v="Stuart Irby-New Haven CT"/>
    <s v="21-19819-4"/>
    <n v="40480"/>
    <n v="18361.404159999998"/>
    <n v="18.361404159999999"/>
    <n v="44"/>
    <s v="Closed"/>
    <s v="Traffic Tech"/>
    <n v="3800"/>
    <n v="0.20695584972080916"/>
    <n v="206.95584972080917"/>
    <m/>
  </r>
  <r>
    <x v="56"/>
    <s v="Wesco-Clayton NC"/>
    <s v="21-19702-1"/>
    <n v="19558"/>
    <n v="8871.3523359999999"/>
    <n v="8.8713523359999993"/>
    <n v="23"/>
    <s v="Closed"/>
    <s v="Jax Transport"/>
    <n v="2400"/>
    <n v="0.2705337257613798"/>
    <n v="270.5337257613798"/>
    <m/>
  </r>
  <r>
    <x v="56"/>
    <s v="Anixter-Ashland VA"/>
    <s v="21-19199-1"/>
    <n v="44550"/>
    <n v="20207.5236"/>
    <n v="20.207523600000002"/>
    <n v="45"/>
    <s v="Closed"/>
    <s v="Jax Transport"/>
    <n v="2800"/>
    <n v="0.13856225312041698"/>
    <n v="138.56225312041698"/>
    <m/>
  </r>
  <r>
    <x v="57"/>
    <s v="Stuart Irby-New Haven CT"/>
    <s v="21-19819-2"/>
    <n v="40436"/>
    <n v="18341.446112000001"/>
    <n v="18.341446112000003"/>
    <n v="44"/>
    <s v="Closed"/>
    <s v="Traffic Tech"/>
    <n v="3800"/>
    <n v="0.20718104651049446"/>
    <n v="207.18104651049444"/>
    <m/>
  </r>
  <r>
    <x v="57"/>
    <s v="TVA-Gallatin TN"/>
    <s v="21-19141-3"/>
    <n v="14059"/>
    <n v="6377.0499280000004"/>
    <n v="6.3770499280000008"/>
    <n v="17"/>
    <s v="Flatbed"/>
    <s v="Customer Set Up"/>
    <m/>
    <m/>
    <m/>
    <m/>
  </r>
  <r>
    <x v="57"/>
    <s v="Ameren-Maryland Heights MO"/>
    <s v="21-19832-1/21-19701-1"/>
    <n v="3287"/>
    <n v="1490.9569039999999"/>
    <n v="1.4909569039999999"/>
    <n v="4"/>
    <s v="LTL"/>
    <s v="Customer Set Up"/>
    <m/>
    <m/>
    <m/>
    <m/>
  </r>
  <r>
    <x v="57"/>
    <s v="Anixter-Spokane Valley WA"/>
    <s v="21-19492-1"/>
    <n v="4588"/>
    <n v="2081.0800960000001"/>
    <n v="2.081080096"/>
    <n v="4"/>
    <s v="LTL"/>
    <s v="Customer Set Up"/>
    <m/>
    <m/>
    <m/>
    <m/>
  </r>
  <r>
    <x v="58"/>
    <s v="TVA-Muscle Shoals AL"/>
    <s v="21-19304-4"/>
    <n v="18194"/>
    <n v="8252.6528479999997"/>
    <n v="8.2526528480000003"/>
    <n v="22"/>
    <s v="Flatbed"/>
    <s v="Customer Set Up"/>
    <m/>
    <m/>
    <m/>
    <m/>
  </r>
  <r>
    <x v="58"/>
    <s v="Anixter-Ashland VA"/>
    <s v="21-19199-2"/>
    <n v="44550"/>
    <n v="20207.5236"/>
    <n v="20.207523600000002"/>
    <n v="45"/>
    <s v="Closed"/>
    <s v="Traffic Tech"/>
    <n v="3050.4"/>
    <n v="0.15095367747089999"/>
    <n v="150.95367747089998"/>
    <m/>
  </r>
  <r>
    <x v="59"/>
    <s v="Border States-Amarillo TX"/>
    <s v="21-19865-1"/>
    <n v="10621"/>
    <n v="4817.6006319999997"/>
    <n v="4.8176006319999995"/>
    <n v="13"/>
    <s v="Flatbed"/>
    <s v="Landry Logistics"/>
    <n v="1850"/>
    <n v="0.38400858462856496"/>
    <n v="384.00858462856496"/>
    <m/>
  </r>
  <r>
    <x v="59"/>
    <s v="Anixter-Ashland VA"/>
    <s v="21-19229-1"/>
    <n v="44650"/>
    <n v="20252.882799999999"/>
    <n v="20.252882799999998"/>
    <n v="47"/>
    <s v="Closed"/>
    <s v="Traffic Tech"/>
    <n v="3050.4"/>
    <n v="0.15061559532650828"/>
    <n v="150.6155953265083"/>
    <m/>
  </r>
  <r>
    <x v="59"/>
    <s v="Power Line-Mooresville IN"/>
    <s v="21-19655-2"/>
    <n v="15608"/>
    <n v="7079.6639359999999"/>
    <n v="7.0796639360000002"/>
    <n v="16"/>
    <s v="LTL"/>
    <s v="Flock Freight"/>
    <n v="895"/>
    <n v="0.1264184300400103"/>
    <n v="126.41843004001031"/>
    <m/>
  </r>
  <r>
    <x v="59"/>
    <s v="Choctaw Kaul-Dundalk MD"/>
    <s v="21-19854-1"/>
    <n v="26050"/>
    <n v="11816.071599999999"/>
    <n v="11.816071599999999"/>
    <n v="25"/>
    <s v="Flatbed"/>
    <s v="Landry Logistics"/>
    <n v="3380"/>
    <n v="0.28605107640004485"/>
    <n v="286.05107640004485"/>
    <m/>
  </r>
  <r>
    <x v="60"/>
    <s v="Oncor-Irving TX"/>
    <s v="21-19869-1"/>
    <n v="5502"/>
    <n v="2495.663184"/>
    <n v="2.4956631840000001"/>
    <n v="6"/>
    <s v="LTL"/>
    <s v="Customer Set Up"/>
    <m/>
    <m/>
    <m/>
    <m/>
  </r>
  <r>
    <x v="60"/>
    <s v="Anixter-Oklahoma City OK"/>
    <s v="21-19242-4"/>
    <n v="17594"/>
    <n v="7980.4976479999996"/>
    <n v="7.9804976480000001"/>
    <n v="17"/>
    <s v="Closed"/>
    <s v="Jax Transport"/>
    <n v="1500"/>
    <n v="0.18795820338045166"/>
    <n v="187.95820338045164"/>
    <m/>
  </r>
  <r>
    <x v="60"/>
    <s v="Stuart Irby-Delta UT"/>
    <s v="21-19342-2"/>
    <n v="37576"/>
    <n v="17044.172992"/>
    <n v="17.044172992"/>
    <n v="44"/>
    <s v="Flatbed"/>
    <s v="Landry Logistics"/>
    <n v="6550"/>
    <n v="0.38429555972439172"/>
    <n v="384.29555972439169"/>
    <m/>
  </r>
  <r>
    <x v="60"/>
    <s v="Stuart Irby-Delta UT"/>
    <s v="21-19342-1"/>
    <n v="37576"/>
    <n v="17044.172992"/>
    <n v="17.044172992"/>
    <n v="44"/>
    <s v="Flatbed"/>
    <s v="Landry Logistics"/>
    <n v="6550"/>
    <n v="0.38429555972439172"/>
    <n v="384.29555972439169"/>
    <m/>
  </r>
  <r>
    <x v="60"/>
    <s v="CEE-US-West Columbia SC"/>
    <s v="21-19843-1"/>
    <n v="4168"/>
    <n v="1890.5714559999999"/>
    <n v="1.890571456"/>
    <n v="4"/>
    <s v="LTL"/>
    <s v="Customer Set Up"/>
    <m/>
    <m/>
    <m/>
    <m/>
  </r>
  <r>
    <x v="60"/>
    <s v="Stuart Irby-Delta UT"/>
    <s v="21-19341-1/21-19342-3"/>
    <n v="41435"/>
    <n v="18794.58452"/>
    <n v="18.794584520000001"/>
    <n v="48"/>
    <s v="Flatbed"/>
    <s v="Landry Logistics"/>
    <n v="6550"/>
    <n v="0.34850464467729558"/>
    <n v="348.50464467729557"/>
    <m/>
  </r>
  <r>
    <x v="60"/>
    <s v="Border States-Pewaukee WI"/>
    <s v="21-19836-1"/>
    <n v="18684"/>
    <n v="8474.9129279999997"/>
    <n v="8.4749129280000002"/>
    <n v="19"/>
    <s v="Closed"/>
    <s v="Landry Logistics"/>
    <n v="1500"/>
    <n v="0.17699296886510738"/>
    <n v="176.99296886510737"/>
    <m/>
  </r>
  <r>
    <x v="61"/>
    <s v="Border States-Albertville MN"/>
    <s v="21-19837-1"/>
    <n v="11140"/>
    <n v="5053.0148799999997"/>
    <n v="5.0530148800000001"/>
    <n v="11"/>
    <s v="LTL"/>
    <s v="Flock Freight"/>
    <n v="1440.44"/>
    <n v="0.28506545779259612"/>
    <n v="285.06545779259608"/>
    <m/>
  </r>
  <r>
    <x v="62"/>
    <s v="TVA-Muscle Shoals AL"/>
    <s v="21-19885-1"/>
    <n v="36144"/>
    <n v="16394.629248000001"/>
    <n v="16.394629248000001"/>
    <n v="48"/>
    <s v="Flatbed"/>
    <s v="Customer Set Up"/>
    <m/>
    <m/>
    <m/>
    <m/>
  </r>
  <r>
    <x v="62"/>
    <s v="National Grid-Lancaster NY"/>
    <s v="21-19600-5"/>
    <n v="34193"/>
    <n v="15509.671256"/>
    <n v="15.509671256000001"/>
    <n v="31"/>
    <s v="Flatbed"/>
    <s v="Landry Logistics"/>
    <n v="4250"/>
    <n v="0.27402257145559195"/>
    <n v="274.0225714555919"/>
    <m/>
  </r>
  <r>
    <x v="63"/>
    <s v="Wesco-Greenfield IN"/>
    <s v="21-19838-1"/>
    <n v="23520"/>
    <n v="10668.483840000001"/>
    <n v="10.66848384"/>
    <n v="24"/>
    <s v="Closed"/>
    <s v="Jax Transport"/>
    <n v="1500"/>
    <n v="0.14060104720559805"/>
    <n v="140.60104720559804"/>
    <m/>
  </r>
  <r>
    <x v="64"/>
    <s v="First Energy-Connellsville PA"/>
    <s v="21-19841-1"/>
    <n v="10866"/>
    <n v="4928.7306719999997"/>
    <n v="4.9287306719999995"/>
    <n v="12"/>
    <s v="Closed"/>
    <s v="Customer Set Up"/>
    <m/>
    <m/>
    <m/>
    <m/>
  </r>
  <r>
    <x v="64"/>
    <s v="GTC-Forsyth GA"/>
    <s v="21-19880-1"/>
    <n v="35725"/>
    <n v="16204.574199999999"/>
    <n v="16.2045742"/>
    <n v="32"/>
    <s v="Closed"/>
    <s v="Jax Transport"/>
    <n v="1700"/>
    <n v="0.10490864980580607"/>
    <n v="104.90864980580606"/>
    <m/>
  </r>
  <r>
    <x v="64"/>
    <s v="Georgia Power-McDonough GA"/>
    <s v="21-19834-2"/>
    <n v="16755"/>
    <n v="7599.9339600000003"/>
    <n v="7.5999339600000004"/>
    <n v="15"/>
    <s v="Closed"/>
    <s v="Flock Freight"/>
    <n v="848.04"/>
    <n v="0.11158518014280218"/>
    <n v="111.58518014280217"/>
    <m/>
  </r>
  <r>
    <x v="64"/>
    <s v="Oncor-Sherman TX"/>
    <s v="21-19912-1"/>
    <n v="15876"/>
    <n v="7201.226592"/>
    <n v="7.2012265920000003"/>
    <n v="14"/>
    <s v="Flatbed"/>
    <s v="Customer Set Up"/>
    <m/>
    <m/>
    <m/>
    <m/>
  </r>
  <r>
    <x v="64"/>
    <s v="Border States-Amarillo TX"/>
    <s v="21-19897-1"/>
    <n v="11080"/>
    <n v="5025.79936"/>
    <n v="5.0257993599999997"/>
    <n v="10"/>
    <s v="Flatbed"/>
    <s v="Landry Logistics"/>
    <n v="1850"/>
    <n v="0.36810064777436718"/>
    <n v="368.10064777436719"/>
    <m/>
  </r>
  <r>
    <x v="64"/>
    <s v="Alpha Power-Wood Cross UT"/>
    <s v="21-19873"/>
    <n v="12200"/>
    <n v="5533.8224"/>
    <n v="5.5338224"/>
    <n v="13"/>
    <s v="LTL"/>
    <s v="Trinity Logistics"/>
    <n v="2189.1999999999998"/>
    <n v="0.39560358857920697"/>
    <n v="395.60358857920698"/>
    <m/>
  </r>
  <r>
    <x v="64"/>
    <s v="Wesco-Jackson MO"/>
    <s v="21-19450-1"/>
    <n v="15442"/>
    <n v="7004.3676640000003"/>
    <n v="7.0043676640000001"/>
    <n v="14"/>
    <s v="LTL"/>
    <s v="Flock Freight"/>
    <n v="936.79"/>
    <n v="0.13374369321227567"/>
    <n v="133.74369321227567"/>
    <s v="Detention charges plus pallet jack purchase - wrong info given should have been a flatbed"/>
  </r>
  <r>
    <x v="64"/>
    <s v="Anixter-Ashland VA"/>
    <s v="21-19279-1"/>
    <n v="43560"/>
    <n v="19758.467519999998"/>
    <n v="19.75846752"/>
    <n v="44"/>
    <s v="Closed"/>
    <s v="Traffic Tech"/>
    <n v="3050.4"/>
    <n v="0.15438444286796593"/>
    <n v="154.3844428679659"/>
    <m/>
  </r>
  <r>
    <x v="65"/>
    <s v="Choctaw Kaul-Fallstwon MD"/>
    <s v="21-19884-1"/>
    <n v="40212"/>
    <n v="18239.841504"/>
    <n v="18.239841504000001"/>
    <n v="36"/>
    <s v="Flatbed"/>
    <s v="Landry Logistics"/>
    <n v="3380"/>
    <n v="0.18530862777830417"/>
    <n v="185.30862777830419"/>
    <m/>
  </r>
  <r>
    <x v="65"/>
    <s v="Choctaw Kaul-Fallstwon MD"/>
    <s v="21-19884-3"/>
    <n v="15520"/>
    <n v="7039.74784"/>
    <n v="7.0397478400000004"/>
    <n v="14"/>
    <s v="Flatbed"/>
    <s v="Landry Logistics"/>
    <n v="3380"/>
    <n v="0.48013083377713711"/>
    <n v="480.13083377713707"/>
    <m/>
  </r>
  <r>
    <x v="65"/>
    <s v="Techline-Austin TX"/>
    <s v="21-19893-1"/>
    <n v="37780"/>
    <n v="17136.705760000001"/>
    <n v="17.136705760000002"/>
    <n v="39"/>
    <s v="Closed"/>
    <s v="Traffic Tech"/>
    <n v="1950"/>
    <n v="0.11379083163997793"/>
    <n v="113.79083163997791"/>
    <s v="Wrong address given"/>
  </r>
  <r>
    <x v="65"/>
    <s v="Power Line-Mooresville IN"/>
    <s v="21-19655-1"/>
    <n v="42042"/>
    <n v="19069.914863999998"/>
    <n v="19.069914863999998"/>
    <n v="44"/>
    <s v="Closed"/>
    <s v="Traffic Tech"/>
    <n v="1555.56"/>
    <n v="8.1571418178513794E-2"/>
    <n v="81.571418178513795"/>
    <m/>
  </r>
  <r>
    <x v="66"/>
    <s v="Choctaw Kaul-Fallstwon MD"/>
    <s v="21-19884-2"/>
    <n v="40212"/>
    <n v="18239.841504"/>
    <n v="18.239841504000001"/>
    <n v="36"/>
    <s v="Flatbed"/>
    <s v="Landry Logistics"/>
    <n v="3380"/>
    <n v="0.18530862777830417"/>
    <n v="185.30862777830419"/>
    <m/>
  </r>
  <r>
    <x v="67"/>
    <s v="Wesco-Clayton NC"/>
    <s v="21-19840-1"/>
    <n v="40480"/>
    <n v="18361.404159999998"/>
    <n v="18.361404159999999"/>
    <n v="44"/>
    <s v="Closed"/>
    <s v="Traffic Tech"/>
    <n v="2564.1"/>
    <n v="0.13964618270240178"/>
    <n v="139.64618270240177"/>
    <m/>
  </r>
  <r>
    <x v="67"/>
    <s v="National Grid-Sterling MA"/>
    <s v="21-19918-1"/>
    <n v="42812"/>
    <n v="19419.180703999999"/>
    <n v="19.419180703999999"/>
    <n v="44"/>
    <s v="Flatbed"/>
    <s v="Landry Logistics"/>
    <n v="5400"/>
    <n v="0.2780755832241521"/>
    <n v="278.07558322415207"/>
    <m/>
  </r>
  <r>
    <x v="67"/>
    <s v="Wesco-Clayton NC"/>
    <s v="21-19840-2"/>
    <n v="28520"/>
    <n v="12936.44384"/>
    <n v="12.936443840000001"/>
    <n v="31"/>
    <s v="Closed"/>
    <s v="Traffic Tech"/>
    <n v="2564.1"/>
    <n v="0.19820748512598962"/>
    <n v="198.20748512598959"/>
    <m/>
  </r>
  <r>
    <x v="67"/>
    <s v="Border States-Pewaukee WI"/>
    <s v="21-19909-1"/>
    <n v="10845"/>
    <n v="4919.2052400000002"/>
    <n v="4.9192052400000001"/>
    <n v="11"/>
    <s v="LTL"/>
    <s v="Trinity Logistics"/>
    <n v="1068.2"/>
    <n v="0.21714889862981199"/>
    <n v="217.14889862981201"/>
    <m/>
  </r>
  <r>
    <x v="67"/>
    <s v="Wesco-Greenfield IN"/>
    <s v="21-19765-1"/>
    <n v="28640"/>
    <n v="12990.874879999999"/>
    <n v="12.99087488"/>
    <n v="28"/>
    <s v="Closed"/>
    <s v="Jax Transport"/>
    <n v="1500"/>
    <n v="0.11546566446493249"/>
    <n v="115.46566446493249"/>
    <m/>
  </r>
  <r>
    <x v="67"/>
    <s v="Peak Substation-Ozona TX"/>
    <s v="21-19828-1"/>
    <n v="6470"/>
    <n v="2934.7402400000001"/>
    <n v="2.93474024"/>
    <n v="6"/>
    <s v="LTL"/>
    <s v="Knichel Logistics"/>
    <n v="1227.1600000000001"/>
    <n v="0.41814944412252308"/>
    <n v="418.14944412252311"/>
    <m/>
  </r>
  <r>
    <x v="67"/>
    <s v="Oncor-Irving TX"/>
    <s v="21-19899-1/21-19900-1/21-19898-1/21-19930-1"/>
    <n v="38245"/>
    <n v="17347.626039999999"/>
    <n v="17.347626039999998"/>
    <n v="34"/>
    <s v="Flatbed"/>
    <s v="Customer Set Up"/>
    <m/>
    <m/>
    <m/>
    <m/>
  </r>
  <r>
    <x v="67"/>
    <s v="National Grid-Sterling MA"/>
    <s v="21-19918-2"/>
    <n v="42812"/>
    <n v="19419.180703999999"/>
    <n v="19.419180703999999"/>
    <n v="44"/>
    <s v="Flatbed"/>
    <s v="Landry Logistics"/>
    <n v="5400"/>
    <n v="0.2780755832241521"/>
    <n v="278.07558322415207"/>
    <m/>
  </r>
  <r>
    <x v="68"/>
    <s v="TVA-Muscle Shoals AL"/>
    <s v="21-19690-6"/>
    <n v="37840"/>
    <n v="17163.921279999999"/>
    <n v="17.16392128"/>
    <n v="44"/>
    <s v="Flatbed"/>
    <s v="Customer Set Up"/>
    <m/>
    <m/>
    <m/>
    <m/>
  </r>
  <r>
    <x v="68"/>
    <s v="Border States-Duluth MN"/>
    <s v="21-19910-1"/>
    <n v="10864"/>
    <n v="4927.823488"/>
    <n v="4.9278234880000005"/>
    <n v="14"/>
    <s v="LTL"/>
    <s v="Flock Freight"/>
    <n v="1584"/>
    <n v="0.32144008482797343"/>
    <n v="321.44008482797341"/>
    <m/>
  </r>
  <r>
    <x v="68"/>
    <s v="Anixter-Ashland VA"/>
    <s v="21-19279-2"/>
    <n v="21850"/>
    <n v="9910.9851999999992"/>
    <n v="9.9109851999999989"/>
    <n v="23"/>
    <s v="Closed"/>
    <s v="Jax Transport"/>
    <n v="2800"/>
    <n v="0.28251479984048411"/>
    <n v="282.5147998404841"/>
    <m/>
  </r>
  <r>
    <x v="68"/>
    <s v="Border States-Jackson MO"/>
    <s v="21-19338-1"/>
    <n v="18470"/>
    <n v="8377.8442400000004"/>
    <n v="8.3778442399999999"/>
    <n v="19"/>
    <s v="Flatbed"/>
    <s v="Landry Logistics"/>
    <n v="1200"/>
    <n v="0.14323493796537806"/>
    <n v="143.23493796537807"/>
    <m/>
  </r>
  <r>
    <x v="69"/>
    <s v="Wesco-Dayton NJ"/>
    <s v="21-19734-1"/>
    <n v="19300"/>
    <n v="8754.3256000000001"/>
    <n v="8.7543255999999996"/>
    <n v="20"/>
    <s v="Closed"/>
    <s v="Jax Transport"/>
    <n v="3200"/>
    <n v="0.36553358262114444"/>
    <n v="365.53358262114449"/>
    <m/>
  </r>
  <r>
    <x v="69"/>
    <s v="National Grid-Sterling MA"/>
    <s v="21-19918-4"/>
    <n v="44000"/>
    <n v="19958.047999999999"/>
    <n v="19.958047999999998"/>
    <n v="44"/>
    <s v="Flatbed"/>
    <s v="Landry Logistics"/>
    <n v="5400"/>
    <n v="0.27056754247709996"/>
    <n v="270.56754247710001"/>
    <m/>
  </r>
  <r>
    <x v="69"/>
    <s v="National Grid-Sterling MA"/>
    <s v="21-19918-3"/>
    <n v="42812"/>
    <n v="19419.180703999999"/>
    <n v="19.419180703999999"/>
    <n v="44"/>
    <s v="Flatbed"/>
    <s v="Landry Logistics"/>
    <n v="5400"/>
    <n v="0.2780755832241521"/>
    <n v="278.07558322415207"/>
    <m/>
  </r>
  <r>
    <x v="69"/>
    <s v="National Grid-Sterling MA"/>
    <s v="21-19918-5"/>
    <n v="14241"/>
    <n v="6459.6036720000002"/>
    <n v="6.4596036720000001"/>
    <n v="15"/>
    <s v="Flatbed"/>
    <s v="Landry Logistics"/>
    <n v="5400"/>
    <n v="0.83596460002755413"/>
    <n v="835.96460002755407"/>
    <m/>
  </r>
  <r>
    <x v="69"/>
    <s v="Wesco-Greenfield IN"/>
    <s v="21-19914-2"/>
    <n v="19140"/>
    <n v="8681.7508799999996"/>
    <n v="8.6817508799999992"/>
    <n v="22"/>
    <s v="Closed"/>
    <s v="Jax Transport"/>
    <n v="1500"/>
    <n v="0.17277620847835248"/>
    <n v="172.77620847835249"/>
    <m/>
  </r>
  <r>
    <x v="69"/>
    <s v="Entergy-Hammond LA"/>
    <s v="21-19716-1/21-19839-1/21-19715-1/21-19753-1"/>
    <n v="39515"/>
    <n v="17923.687880000001"/>
    <n v="17.923687880000003"/>
    <n v="43"/>
    <s v="Closed"/>
    <s v="Traffic Tech"/>
    <n v="1350"/>
    <n v="7.5319320947693266E-2"/>
    <n v="75.319320947693257"/>
    <m/>
  </r>
  <r>
    <x v="69"/>
    <s v="Entergy-Hammond LA"/>
    <s v="21-19689-1"/>
    <n v="3800"/>
    <n v="1723.6496"/>
    <n v="1.7236495999999999"/>
    <n v="4"/>
    <s v="LTL"/>
    <s v="Knichel Logistics"/>
    <n v="425.73"/>
    <n v="0.24699335642232623"/>
    <n v="246.99335642232623"/>
    <m/>
  </r>
  <r>
    <x v="69"/>
    <s v="Ameren-Decatur IL"/>
    <s v="21-19911-1"/>
    <n v="5856"/>
    <n v="2656.2347519999998"/>
    <n v="2.656234752"/>
    <n v="6"/>
    <s v="LTL"/>
    <s v="Customer Set Up"/>
    <m/>
    <m/>
    <m/>
    <m/>
  </r>
  <r>
    <x v="69"/>
    <s v="Power Line-Whitehall PA"/>
    <s v="21-19864-1"/>
    <n v="1542"/>
    <n v="699.43886399999997"/>
    <n v="0.69943886399999999"/>
    <n v="2"/>
    <s v="LTL"/>
    <s v="Knichel Logistics"/>
    <n v="429"/>
    <n v="0.61334881728848289"/>
    <n v="613.34881728848291"/>
    <m/>
  </r>
  <r>
    <x v="70"/>
    <s v="National Grid-Lancaster NY"/>
    <s v="21-19600-6"/>
    <n v="43666"/>
    <n v="19806.548272"/>
    <n v="19.806548272000001"/>
    <n v="47"/>
    <s v="Flatbed"/>
    <s v="Landry Logistics"/>
    <n v="4250"/>
    <n v="0.21457550006368925"/>
    <n v="214.57550006368925"/>
    <m/>
  </r>
  <r>
    <x v="70"/>
    <s v="Border States-Pewaukee WI"/>
    <s v="21-19905-1"/>
    <n v="12507"/>
    <n v="5673.0751440000004"/>
    <n v="5.6730751440000002"/>
    <n v="13"/>
    <s v="LTL"/>
    <s v="Flock Freight"/>
    <n v="907.79"/>
    <n v="0.16001727052039907"/>
    <n v="160.01727052039908"/>
    <m/>
  </r>
  <r>
    <x v="70"/>
    <s v="Wesco-Harrisburg PA"/>
    <s v="21-19927-1"/>
    <n v="12270"/>
    <n v="5565.57384"/>
    <n v="5.5655738399999999"/>
    <n v="13"/>
    <s v="LTL"/>
    <s v="Flock Freight"/>
    <n v="1678.29"/>
    <n v="0.30154842038714197"/>
    <n v="301.54842038714196"/>
    <m/>
  </r>
  <r>
    <x v="70"/>
    <s v="Power Line-Sidney OH"/>
    <s v="21-19777-1"/>
    <n v="42548"/>
    <n v="19299.432416"/>
    <n v="19.299432415999998"/>
    <n v="44"/>
    <s v="Closed"/>
    <s v="Traffic Tech"/>
    <n v="1900"/>
    <n v="9.8448491077117076E-2"/>
    <n v="98.448491077117083"/>
    <m/>
  </r>
  <r>
    <x v="70"/>
    <s v="Oncor-Irving TX"/>
    <s v="21-19949-1"/>
    <n v="26808"/>
    <n v="12159.894335999999"/>
    <n v="12.159894335999999"/>
    <n v="24"/>
    <s v="Flatbed"/>
    <s v="Customer Set Up"/>
    <m/>
    <m/>
    <m/>
    <m/>
  </r>
  <r>
    <x v="70"/>
    <s v="Wesco-Greenfield IN"/>
    <s v="21-19914-1"/>
    <n v="36520"/>
    <n v="16565.179840000001"/>
    <n v="16.565179840000003"/>
    <n v="44"/>
    <s v="Closed"/>
    <s v="Traffic Tech"/>
    <n v="1555.56"/>
    <n v="9.3905409722373406E-2"/>
    <n v="93.905409722373392"/>
    <m/>
  </r>
  <r>
    <x v="70"/>
    <s v="Wesco-Greenfield IN"/>
    <s v="21-19906-1"/>
    <n v="34230"/>
    <n v="15526.454159999999"/>
    <n v="15.52645416"/>
    <n v="41"/>
    <s v="Closed"/>
    <s v="Jax Transport"/>
    <n v="1500"/>
    <n v="9.6609308509367997E-2"/>
    <n v="96.609308509367992"/>
    <m/>
  </r>
  <r>
    <x v="71"/>
    <s v="Border States-Duluth MN"/>
    <s v="21-19833-1"/>
    <n v="12210"/>
    <n v="5538.3583200000003"/>
    <n v="5.5383583200000004"/>
    <n v="12"/>
    <s v="LTL"/>
    <s v="Flock Freight"/>
    <n v="1643"/>
    <n v="0.29665830649974989"/>
    <n v="296.65830649974987"/>
    <m/>
  </r>
  <r>
    <x v="71"/>
    <s v="Anixter-Spokane Valley WA"/>
    <s v="21-19622-1"/>
    <n v="18050"/>
    <n v="8187.3356000000003"/>
    <n v="8.1873356000000008"/>
    <n v="19"/>
    <s v="Closed"/>
    <s v="Landry Logistics"/>
    <n v="5940"/>
    <n v="0.72551075101892726"/>
    <n v="725.51075101892729"/>
    <m/>
  </r>
  <r>
    <x v="71"/>
    <s v="Anixter-Spokane Valley WA"/>
    <s v="21-19622-2"/>
    <n v="18920"/>
    <n v="8581.9606399999993"/>
    <n v="8.5819606400000001"/>
    <n v="20"/>
    <s v="Closed"/>
    <s v="Landry Logistics"/>
    <n v="5940"/>
    <n v="0.69214952726699996"/>
    <n v="692.14952726699994"/>
    <m/>
  </r>
  <r>
    <x v="71"/>
    <s v="Anixter-Boise ID"/>
    <s v="21-19805-1"/>
    <n v="310"/>
    <n v="140.61351999999999"/>
    <n v="0.14061351999999999"/>
    <n v="1"/>
    <s v="LTL"/>
    <s v="Customer Set Up"/>
    <m/>
    <m/>
    <m/>
    <m/>
  </r>
  <r>
    <x v="71"/>
    <s v="Power Line-Sidney OH"/>
    <s v="21-19777-2/21-19693-1/21-19684-2/21-19929-1"/>
    <n v="8851"/>
    <n v="4014.742792"/>
    <n v="4.0147427919999998"/>
    <n v="10"/>
    <s v="LTL"/>
    <s v="Flock Freight"/>
    <n v="1023"/>
    <n v="0.25481084418122296"/>
    <n v="254.81084418122296"/>
    <m/>
  </r>
  <r>
    <x v="71"/>
    <s v="Power Line-Connellsville PA"/>
    <s v="21-19913-1"/>
    <n v="11154"/>
    <n v="5059.3651680000003"/>
    <n v="5.0593651680000002"/>
    <n v="11"/>
    <s v="LTL"/>
    <s v="Customer Set Up"/>
    <m/>
    <n v="0"/>
    <n v="0"/>
    <m/>
  </r>
  <r>
    <x v="72"/>
    <s v="Garybar-Manchester NH"/>
    <s v="21-19881-1"/>
    <n v="11492"/>
    <n v="5212.6792640000003"/>
    <n v="5.2126792640000001"/>
    <n v="14"/>
    <s v="Closed"/>
    <s v="Customer Set Up"/>
    <m/>
    <n v="0"/>
    <n v="0"/>
    <m/>
  </r>
  <r>
    <x v="72"/>
    <s v="Anixter-San Antonio TX"/>
    <s v="21-19959-1"/>
    <n v="501"/>
    <n v="227.24959200000001"/>
    <n v="0.227249592"/>
    <n v="1"/>
    <s v="LTL"/>
    <s v="Customer Set Up"/>
    <m/>
    <n v="0"/>
    <n v="0"/>
    <m/>
  </r>
  <r>
    <x v="72"/>
    <s v="Choctaw Kaul-Fallstwon MD"/>
    <s v="21-19884-4"/>
    <n v="870"/>
    <n v="394.62504000000001"/>
    <n v="0.39462504000000004"/>
    <n v="1"/>
    <s v="LTL"/>
    <s v="Knichel Logistics"/>
    <n v="399.11"/>
    <n v="1.0113651176316638"/>
    <n v="1011.3651176316637"/>
    <m/>
  </r>
  <r>
    <x v="72"/>
    <s v="Central Elec-Jefferson City MO"/>
    <s v="21-19962-1"/>
    <n v="30599"/>
    <n v="13879.461608"/>
    <n v="13.879461608"/>
    <n v="37"/>
    <s v="Closed"/>
    <s v="Landry Logistics"/>
    <n v="1300"/>
    <n v="9.3663575484130554E-2"/>
    <n v="93.663575484130547"/>
    <m/>
  </r>
  <r>
    <x v="72"/>
    <s v="PG&amp;E-Lodi CA"/>
    <s v="21-19904-1"/>
    <n v="1848"/>
    <n v="838.23801600000002"/>
    <n v="0.83823801600000003"/>
    <n v="2"/>
    <s v="LTL"/>
    <s v="Customer Set Up"/>
    <m/>
    <n v="0"/>
    <n v="0"/>
    <m/>
  </r>
  <r>
    <x v="72"/>
    <s v="PG&amp;E-Bakersfield CA"/>
    <s v="21-19915-1"/>
    <n v="924"/>
    <n v="419.11900800000001"/>
    <n v="0.41911900800000002"/>
    <n v="1"/>
    <s v="LTL"/>
    <s v="Customer Set Up"/>
    <m/>
    <n v="0"/>
    <n v="0"/>
    <m/>
  </r>
  <r>
    <x v="73"/>
    <s v="Border States-Frohna MO"/>
    <s v="21-19530-1"/>
    <n v="15920"/>
    <n v="7221.1846399999995"/>
    <n v="7.2211846399999997"/>
    <n v="16"/>
    <s v="Flatbed"/>
    <s v="Landry Logistics"/>
    <n v="1300"/>
    <n v="0.18002586345721802"/>
    <n v="180.02586345721801"/>
    <m/>
  </r>
  <r>
    <x v="74"/>
    <s v="Wesco-Dayton NJ"/>
    <s v="21-19768-1"/>
    <n v="3150"/>
    <n v="1428.8147999999999"/>
    <n v="1.4288147999999998"/>
    <n v="3"/>
    <s v="LTL"/>
    <s v="Customer Set Up"/>
    <m/>
    <n v="0"/>
    <n v="0"/>
    <m/>
  </r>
  <r>
    <x v="74"/>
    <s v="Power Line-Sidney OH"/>
    <s v="21-19777-3"/>
    <n v="22880"/>
    <n v="10378.184960000001"/>
    <n v="10.37818496"/>
    <n v="26"/>
    <s v="Closed"/>
    <s v="Jax Transport"/>
    <n v="2100"/>
    <n v="0.20234752108330126"/>
    <n v="202.34752108330125"/>
    <m/>
  </r>
  <r>
    <x v="74"/>
    <s v="Techline-Austin TX"/>
    <s v="21-19863-3"/>
    <n v="20900"/>
    <n v="9480.0727999999999"/>
    <n v="9.4800728000000003"/>
    <n v="22"/>
    <s v="Closed"/>
    <s v="Traffic Tech"/>
    <n v="1950"/>
    <n v="0.20569462293580698"/>
    <n v="205.69462293580699"/>
    <m/>
  </r>
  <r>
    <x v="74"/>
    <s v="TVA-Muscle Shoals AL"/>
    <s v="21-19902-2"/>
    <n v="34656"/>
    <n v="15719.684352"/>
    <n v="15.719684352"/>
    <n v="48"/>
    <s v="Flatbed"/>
    <s v="Customer Set Up"/>
    <m/>
    <n v="0"/>
    <n v="0"/>
    <m/>
  </r>
  <r>
    <x v="74"/>
    <s v="Choctaw Kaul-Fallstwon MD"/>
    <s v="21-19952-1"/>
    <n v="44088"/>
    <n v="19997.964096"/>
    <n v="19.997964096"/>
    <n v="44"/>
    <s v="Flatbed"/>
    <s v="Traffic Tech"/>
    <n v="3750"/>
    <n v="0.18751908854312208"/>
    <n v="187.51908854312205"/>
    <m/>
  </r>
  <r>
    <x v="74"/>
    <s v="Techline-Austin TX"/>
    <s v="21-19863-4"/>
    <n v="24325"/>
    <n v="11033.625399999999"/>
    <n v="11.0336254"/>
    <n v="25"/>
    <s v="Closed"/>
    <s v="Traffic Tech"/>
    <n v="1950"/>
    <n v="0.17673248178246112"/>
    <n v="176.73248178246109"/>
    <m/>
  </r>
  <r>
    <x v="74"/>
    <s v="Techline-Austin TX"/>
    <s v="21-19863-2"/>
    <n v="41380"/>
    <n v="18769.63696"/>
    <n v="18.76963696"/>
    <n v="44"/>
    <s v="Closed"/>
    <s v="Traffic Tech"/>
    <n v="1950"/>
    <n v="0.10389119428125583"/>
    <n v="103.89119428125584"/>
    <m/>
  </r>
  <r>
    <x v="74"/>
    <s v="Choctaw Kaul-Fallstwon MD"/>
    <s v="21-19952-2"/>
    <n v="16560"/>
    <n v="7511.4835199999998"/>
    <n v="7.5114835199999996"/>
    <n v="16"/>
    <s v="Flatbed"/>
    <s v="Traffic Tech"/>
    <n v="3750"/>
    <n v="0.49923560239668874"/>
    <n v="499.23560239668876"/>
    <m/>
  </r>
  <r>
    <x v="75"/>
    <s v="Choctaw Kaul-Dundalk MD"/>
    <s v="21-19856-1"/>
    <n v="12816"/>
    <n v="5813.2350719999995"/>
    <n v="5.8132350719999994"/>
    <n v="12"/>
    <s v="Flatbed"/>
    <s v="Landry Logistics"/>
    <n v="2720"/>
    <n v="0.46789781701778055"/>
    <n v="467.89781701778054"/>
    <m/>
  </r>
  <r>
    <x v="75"/>
    <s v="Power Line-Lima OH"/>
    <s v="21-19929-4"/>
    <n v="44088"/>
    <n v="19997.964096"/>
    <n v="19.997964096"/>
    <n v="44"/>
    <s v="Closed"/>
    <s v="Jax Transport"/>
    <n v="2200"/>
    <n v="0.11001119861196494"/>
    <n v="110.01119861196494"/>
    <s v="Address change - originally going to Sidney OH"/>
  </r>
  <r>
    <x v="75"/>
    <s v="Power Line-Sidney OH"/>
    <s v="21-19929-5"/>
    <n v="8544"/>
    <n v="3875.4900480000001"/>
    <n v="3.8754900480000001"/>
    <n v="8"/>
    <s v="LTL"/>
    <s v="Flock Freight"/>
    <n v="1065.1300000000001"/>
    <n v="0.27483750101478782"/>
    <n v="274.83750101478779"/>
    <m/>
  </r>
  <r>
    <x v="75"/>
    <s v="Border States-Garden City KS"/>
    <s v="21-19920-1"/>
    <n v="1520"/>
    <n v="689.45983999999999"/>
    <n v="0.68945984000000005"/>
    <n v="2"/>
    <s v="LTL"/>
    <s v="Customer Set Up"/>
    <m/>
    <n v="0"/>
    <n v="0"/>
    <m/>
  </r>
  <r>
    <x v="75"/>
    <s v="Power Line-Lima OH"/>
    <s v="21-19929-2"/>
    <n v="44088"/>
    <n v="19997.964096"/>
    <n v="19.997964096"/>
    <n v="44"/>
    <s v="Closed"/>
    <s v="Jax Transport"/>
    <n v="2200"/>
    <n v="0.11001119861196494"/>
    <n v="110.01119861196494"/>
    <s v="Address change - originally going to Sidney OH"/>
  </r>
  <r>
    <x v="75"/>
    <s v="Turtle&amp;Hughes-Lawnside NJ"/>
    <s v="21-19958-1"/>
    <n v="180"/>
    <n v="81.646559999999994"/>
    <n v="8.1646559999999993E-2"/>
    <n v="1"/>
    <s v="LTL"/>
    <s v="Knichel Logistics"/>
    <n v="280.52"/>
    <n v="3.4357846797219627"/>
    <n v="3435.7846797219627"/>
    <m/>
  </r>
  <r>
    <x v="75"/>
    <s v="TVA-Muscle Shoals AL"/>
    <s v="21-19902-1"/>
    <n v="34656"/>
    <n v="15719.684352"/>
    <n v="15.719684352"/>
    <n v="48"/>
    <s v="Flatbed"/>
    <s v="Customer Set Up"/>
    <m/>
    <n v="0"/>
    <n v="0"/>
    <m/>
  </r>
  <r>
    <x v="75"/>
    <s v="Power Line-Lima OH"/>
    <s v="21-19929-3"/>
    <n v="44088"/>
    <n v="19997.964096"/>
    <n v="19.997964096"/>
    <n v="44"/>
    <s v="Closed"/>
    <s v="Jax Transport"/>
    <n v="2200"/>
    <n v="0.11001119861196494"/>
    <n v="110.01119861196494"/>
    <s v="Address change - originally going to Sidney OH"/>
  </r>
  <r>
    <x v="76"/>
    <s v="Anixter Power Solutions-Orlando FL"/>
    <s v="21-19852-1"/>
    <n v="20880"/>
    <n v="9471.0009599999994"/>
    <n v="9.4710009599999996"/>
    <n v="24"/>
    <s v="Closed"/>
    <s v="Customer Set Up"/>
    <m/>
    <n v="0"/>
    <n v="0"/>
    <m/>
  </r>
  <r>
    <x v="77"/>
    <s v="Georgia Power-Forest Park GA"/>
    <s v="21-19971-1"/>
    <n v="11718"/>
    <n v="5315.1910559999997"/>
    <n v="5.3151910559999997"/>
    <n v="14"/>
    <s v="LTL"/>
    <s v="Flock Freight"/>
    <n v="784.43"/>
    <n v="0.1475826535180714"/>
    <n v="147.5826535180714"/>
    <m/>
  </r>
  <r>
    <x v="77"/>
    <s v="PPL-Hazle Township PA"/>
    <s v="21-19950-1"/>
    <n v="6900"/>
    <n v="3129.7847999999999"/>
    <n v="3.1297847999999999"/>
    <n v="6"/>
    <s v="LTL"/>
    <s v="Customer Set Up"/>
    <m/>
    <n v="0"/>
    <n v="0"/>
    <m/>
  </r>
  <r>
    <x v="77"/>
    <s v="KAMO Power-Vinita OK"/>
    <s v="21-19919-1"/>
    <n v="30257"/>
    <n v="13724.333144"/>
    <n v="13.724333144000001"/>
    <n v="34"/>
    <s v="Flatbed"/>
    <s v="Landry Logistics"/>
    <n v="1776"/>
    <n v="0.12940519450858937"/>
    <n v="129.40519450858937"/>
    <m/>
  </r>
  <r>
    <x v="77"/>
    <s v="Techline-Austin TX"/>
    <s v="21-19970-3"/>
    <n v="24570"/>
    <n v="11144.755439999999"/>
    <n v="11.144755439999999"/>
    <n v="21"/>
    <s v="Closed"/>
    <s v="Traffic Tech"/>
    <n v="1950"/>
    <n v="0.1749701920780776"/>
    <n v="174.97019207807759"/>
    <m/>
  </r>
  <r>
    <x v="78"/>
    <s v="Techline-Austin TX"/>
    <s v="21-19970-1"/>
    <n v="39100"/>
    <n v="17735.447199999999"/>
    <n v="17.735447199999999"/>
    <n v="34"/>
    <s v="Closed"/>
    <s v="Traffic Tech"/>
    <n v="1950"/>
    <n v="0.10994929972783546"/>
    <n v="109.94929972783545"/>
    <m/>
  </r>
  <r>
    <x v="78"/>
    <s v="Wesco-Dayton NJ"/>
    <s v="21-19417-1"/>
    <n v="42930"/>
    <n v="19472.704559999998"/>
    <n v="19.47270456"/>
    <n v="44"/>
    <s v="Closed"/>
    <s v="Traffic Tech"/>
    <n v="3500"/>
    <n v="0.17973877173638997"/>
    <n v="179.73877173638996"/>
    <m/>
  </r>
  <r>
    <x v="78"/>
    <s v="Border States-The Dalles OR"/>
    <s v="21-19977-2"/>
    <n v="7031"/>
    <n v="3189.2053519999999"/>
    <n v="3.1892053520000001"/>
    <n v="8"/>
    <s v="Flatbed"/>
    <s v="Landry Logistics"/>
    <n v="3100"/>
    <n v="0.97202897206225436"/>
    <n v="972.0289720622543"/>
    <m/>
  </r>
  <r>
    <x v="78"/>
    <s v="Border States-The Dalles OR"/>
    <s v="21-19977-1"/>
    <n v="41800"/>
    <n v="18960.1456"/>
    <n v="18.960145600000001"/>
    <n v="44"/>
    <s v="Flatbed"/>
    <s v="Landry Logistics"/>
    <n v="7000"/>
    <n v="0.36919547706426897"/>
    <n v="369.19547706426897"/>
    <m/>
  </r>
  <r>
    <x v="78"/>
    <s v="Ameren-Maryland Heights MO"/>
    <s v="21-19842-1"/>
    <n v="2481"/>
    <n v="1125.361752"/>
    <n v="1.1253617520000001"/>
    <n v="3"/>
    <s v="LTL"/>
    <s v="Customer Set Up"/>
    <m/>
    <n v="0"/>
    <n v="0"/>
    <m/>
  </r>
  <r>
    <x v="78"/>
    <s v="National Grid-Buffalo NY"/>
    <s v="21-19984-1"/>
    <n v="33080"/>
    <n v="15004.82336"/>
    <n v="15.004823360000001"/>
    <n v="40"/>
    <s v="Flatbed"/>
    <s v="Landry Logistics"/>
    <n v="4250"/>
    <n v="0.28324225470922171"/>
    <n v="283.2422547092217"/>
    <m/>
  </r>
  <r>
    <x v="78"/>
    <s v="Ameren-Decatur IL"/>
    <s v="21-19878-1/21-19978-1"/>
    <n v="6676"/>
    <n v="3028.1801919999998"/>
    <n v="3.0281801919999998"/>
    <n v="8"/>
    <s v="LTL"/>
    <s v="Customer Set Up"/>
    <m/>
    <n v="0"/>
    <n v="0"/>
    <m/>
  </r>
  <r>
    <x v="78"/>
    <s v="Power Line-Mooresville IN"/>
    <s v="21-19925-1"/>
    <n v="12024"/>
    <n v="5453.9902080000002"/>
    <n v="5.4539902080000005"/>
    <n v="12"/>
    <s v="LTL"/>
    <s v="Trinity Logistics"/>
    <n v="572"/>
    <n v="0.10487734267673991"/>
    <n v="104.8773426767399"/>
    <m/>
  </r>
  <r>
    <x v="78"/>
    <s v="Graybar-Manchester NH"/>
    <s v="21-19948-3"/>
    <n v="10751"/>
    <n v="4876.5675920000003"/>
    <n v="4.8765675920000007"/>
    <n v="13"/>
    <s v="Closed"/>
    <s v="Customer Set Up"/>
    <m/>
    <n v="0"/>
    <n v="0"/>
    <m/>
  </r>
  <r>
    <x v="78"/>
    <s v="Graybar-Manchester NH"/>
    <s v="21-19948-1"/>
    <n v="36388"/>
    <n v="16505.305695999999"/>
    <n v="16.505305696000001"/>
    <n v="44"/>
    <s v="Closed"/>
    <s v="Customer Set Up"/>
    <m/>
    <n v="0"/>
    <n v="0"/>
    <m/>
  </r>
  <r>
    <x v="79"/>
    <s v="National Grid-Clifton Park NY"/>
    <s v="21-19989-1"/>
    <n v="29520"/>
    <n v="13390.03584"/>
    <n v="13.390035840000001"/>
    <n v="35"/>
    <s v="Flatbed"/>
    <s v="Landry Logistics"/>
    <n v="5000"/>
    <n v="0.37341199528858021"/>
    <n v="373.41199528858016"/>
    <m/>
  </r>
  <r>
    <x v="79"/>
    <s v="Power Line-Youngwood PA"/>
    <s v="21-19986-1"/>
    <n v="14616"/>
    <n v="6629.7006719999999"/>
    <n v="6.6297006720000002"/>
    <n v="16"/>
    <s v="LTL"/>
    <s v="Flock Freight"/>
    <n v="1474.62"/>
    <n v="0.22242633158808167"/>
    <n v="222.42633158808167"/>
    <m/>
  </r>
  <r>
    <x v="79"/>
    <s v="Anixter-Ashland VA"/>
    <s v="21-19254-3"/>
    <n v="11400"/>
    <n v="5170.9488000000001"/>
    <n v="5.1709488000000006"/>
    <n v="12"/>
    <s v="LTL"/>
    <s v="Flock Freight"/>
    <n v="1420.78"/>
    <n v="0.27476195471129011"/>
    <n v="274.76195471129006"/>
    <m/>
  </r>
  <r>
    <x v="79"/>
    <s v="Anixter-Linden-IN"/>
    <s v="21-19981-1"/>
    <n v="817"/>
    <n v="370.58466399999998"/>
    <n v="0.37058466400000001"/>
    <n v="72"/>
    <s v="LTL"/>
    <s v="Knichel Logistics"/>
    <n v="253.63"/>
    <n v="0.6844050081899774"/>
    <n v="684.40500818997737"/>
    <m/>
  </r>
  <r>
    <x v="79"/>
    <s v="Wesco-Charlotte NC"/>
    <s v="21-19988-1"/>
    <n v="33924"/>
    <n v="15387.655008"/>
    <n v="15.387655007999999"/>
    <n v="44"/>
    <s v="Closed"/>
    <s v="Jax Transport"/>
    <n v="2200"/>
    <n v="0.14297175228169764"/>
    <n v="142.97175228169763"/>
    <m/>
  </r>
  <r>
    <x v="79"/>
    <s v="Anixter-Spokane Valley WA"/>
    <s v="21-19614-1"/>
    <n v="11886"/>
    <n v="5391.3945119999998"/>
    <n v="5.3913945119999998"/>
    <n v="14"/>
    <s v="LTL"/>
    <s v="Flock Freight"/>
    <n v="2709.46"/>
    <n v="0.50255272434049625"/>
    <n v="502.55272434049624"/>
    <m/>
  </r>
  <r>
    <x v="79"/>
    <s v="Kamick-Burns Harbor IN"/>
    <s v="21-19943-1"/>
    <n v="22620"/>
    <n v="10260.251039999999"/>
    <n v="10.26025104"/>
    <n v="26"/>
    <s v="Flatbed"/>
    <s v="Landry Logistics"/>
    <n v="2150"/>
    <n v="0.20954652976989929"/>
    <n v="209.54652976989928"/>
    <m/>
  </r>
  <r>
    <x v="79"/>
    <s v="Anixter-Ashland VA"/>
    <s v="21-19254-2"/>
    <n v="41800"/>
    <n v="18960.1456"/>
    <n v="18.960145600000001"/>
    <n v="44"/>
    <s v="Closed"/>
    <s v="Traffic Tech"/>
    <n v="3050.4"/>
    <n v="0.16088484046240659"/>
    <n v="160.88484046240657"/>
    <m/>
  </r>
  <r>
    <x v="80"/>
    <s v="Anixter-Ashland VA"/>
    <s v="21-19254-1"/>
    <n v="41800"/>
    <n v="18960.1456"/>
    <n v="18.960145600000001"/>
    <n v="44"/>
    <s v="Closed"/>
    <s v="Traffic Tech"/>
    <n v="3050.4"/>
    <n v="0.16088484046240659"/>
    <n v="160.88484046240657"/>
    <m/>
  </r>
  <r>
    <x v="80"/>
    <s v="Wesco-Greenfield IN"/>
    <s v="21-19973-1"/>
    <n v="40876"/>
    <n v="18541.026591999998"/>
    <n v="18.541026591999998"/>
    <n v="44"/>
    <s v="Closed"/>
    <s v="Landry Logistics"/>
    <n v="1400"/>
    <n v="7.5508224587955988E-2"/>
    <n v="75.508224587955979"/>
    <m/>
  </r>
  <r>
    <x v="80"/>
    <s v="Graybar-Manchester NH"/>
    <s v="21-19985-1"/>
    <n v="35280"/>
    <n v="16002.725759999999"/>
    <n v="16.002725760000001"/>
    <n v="43"/>
    <s v="Closed"/>
    <s v="Customer Set Up"/>
    <m/>
    <n v="0"/>
    <n v="0"/>
    <m/>
  </r>
  <r>
    <x v="80"/>
    <s v="Wesco-Butte MT"/>
    <s v="21-19964-1/21-19769-1"/>
    <n v="1392"/>
    <n v="631.40006400000004"/>
    <n v="0.63140006400000004"/>
    <n v="2"/>
    <s v="LTL"/>
    <s v="Customer Set Up"/>
    <m/>
    <n v="0"/>
    <n v="0"/>
    <m/>
  </r>
  <r>
    <x v="80"/>
    <s v="TVA-Muscle Shoals AL"/>
    <s v="21-19902-3/21-19902-4"/>
    <n v="39696"/>
    <n v="18005.788032"/>
    <n v="18.005788032000002"/>
    <n v="48"/>
    <s v="Flatbed"/>
    <s v="Customer Set Up"/>
    <m/>
    <n v="0"/>
    <n v="0"/>
    <m/>
  </r>
  <r>
    <x v="81"/>
    <s v="TVA-Muscle Shoals AL"/>
    <s v="21-19885-2"/>
    <n v="36144"/>
    <n v="16394.629248000001"/>
    <n v="16.394629248000001"/>
    <n v="48"/>
    <s v="Flatbed"/>
    <s v="Customer Set Up"/>
    <m/>
    <n v="0"/>
    <n v="0"/>
    <m/>
  </r>
  <r>
    <x v="81"/>
    <s v="Techline-Fort Worth TX"/>
    <s v="21-19682-1"/>
    <n v="7040"/>
    <n v="3193.2876799999999"/>
    <n v="3.1932876800000001"/>
    <n v="8"/>
    <s v="LTL"/>
    <s v="Trinity Logistics"/>
    <n v="752.4"/>
    <n v="0.23561923490714121"/>
    <n v="235.61923490714122"/>
    <m/>
  </r>
  <r>
    <x v="81"/>
    <s v="Wesco-Dayton NJ"/>
    <s v="21-19417-4"/>
    <n v="41800"/>
    <n v="18960.1456"/>
    <n v="18.960145600000001"/>
    <n v="44"/>
    <s v="Closed"/>
    <s v="Traffic Tech"/>
    <n v="3500"/>
    <n v="0.18459773853213449"/>
    <n v="184.59773853213449"/>
    <m/>
  </r>
  <r>
    <x v="81"/>
    <s v="Choctaw Kaul-Baltimore MD"/>
    <s v="21-19980-1"/>
    <n v="10000"/>
    <n v="4535.92"/>
    <n v="4.53592"/>
    <n v="10"/>
    <s v="Flatbed"/>
    <s v="Landry Logistics"/>
    <n v="2720"/>
    <n v="0.59965784228998742"/>
    <n v="599.65784228998746"/>
    <m/>
  </r>
  <r>
    <x v="82"/>
    <s v="Show Me Power-Marshfield MO"/>
    <s v="21-19983-1"/>
    <n v="22660"/>
    <n v="10278.39472"/>
    <n v="10.27839472"/>
    <n v="27"/>
    <s v="Closed"/>
    <s v="Landry Logistics"/>
    <n v="1200"/>
    <n v="0.11674974864168283"/>
    <n v="116.74974864168284"/>
    <m/>
  </r>
  <r>
    <x v="82"/>
    <s v="National Grid-Clifton Park NY"/>
    <s v="21-19957-1"/>
    <n v="33080"/>
    <n v="15004.82336"/>
    <n v="15.004823360000001"/>
    <n v="40"/>
    <s v="Flatbed"/>
    <s v="Landry Logistics"/>
    <n v="5000"/>
    <n v="0.33322618201084908"/>
    <n v="333.22618201084907"/>
    <m/>
  </r>
  <r>
    <x v="82"/>
    <s v="Techline-Austin TX"/>
    <s v="21-19863-1"/>
    <n v="40480"/>
    <n v="18361.404159999998"/>
    <n v="18.361404159999999"/>
    <n v="44"/>
    <s v="Closed"/>
    <s v="Traffic Tech"/>
    <n v="1950"/>
    <n v="0.1062010281462047"/>
    <n v="106.20102814620471"/>
    <m/>
  </r>
  <r>
    <x v="83"/>
    <s v="National Grid-Sterling MA"/>
    <s v="21-19597-1"/>
    <n v="34945"/>
    <n v="15850.772440000001"/>
    <n v="15.850772440000002"/>
    <n v="27"/>
    <s v="Flatbed"/>
    <s v="Landry Logistics"/>
    <n v="5400"/>
    <n v="0.34067740360544851"/>
    <n v="340.67740360544849"/>
    <m/>
  </r>
  <r>
    <x v="83"/>
    <s v="Wesco-Dayton NJ"/>
    <s v="21-19417-3"/>
    <n v="41800"/>
    <n v="18960.1456"/>
    <n v="18.960145600000001"/>
    <n v="44"/>
    <s v="Closed"/>
    <s v="Traffic Tech"/>
    <n v="3500"/>
    <n v="0.18459773853213449"/>
    <n v="184.59773853213449"/>
    <m/>
  </r>
  <r>
    <x v="83"/>
    <s v="Choctaw Kaul-New Castle DE"/>
    <s v="21-19968-1"/>
    <n v="30020"/>
    <n v="13616.831840000001"/>
    <n v="13.616831840000001"/>
    <n v="30"/>
    <s v="Closed"/>
    <s v="Jax Transport"/>
    <n v="3650"/>
    <n v="0.26805060405299092"/>
    <n v="268.05060405299088"/>
    <m/>
  </r>
  <r>
    <x v="83"/>
    <s v="Power Line-Mooresville IN"/>
    <s v="21-19924-1"/>
    <n v="7740"/>
    <n v="3510.8020799999999"/>
    <n v="3.5108020799999999"/>
    <n v="9"/>
    <s v="LTL"/>
    <s v="Flock Freight"/>
    <n v="723.03"/>
    <n v="0.20594439205755513"/>
    <n v="205.94439205755512"/>
    <m/>
  </r>
  <r>
    <x v="83"/>
    <s v="Comed-Libertyville IL"/>
    <s v="21-19993"/>
    <n v="20500"/>
    <n v="9298.6360000000004"/>
    <n v="9.2986360000000001"/>
    <n v="25"/>
    <s v="Closed"/>
    <s v="Flock Freight"/>
    <n v="1123.4100000000001"/>
    <n v="0.12081449365261744"/>
    <n v="120.81449365261744"/>
    <m/>
  </r>
  <r>
    <x v="83"/>
    <s v="Gulf Power-Pensacola FL"/>
    <s v="21-20016-1"/>
    <n v="19608"/>
    <n v="8894.0319359999994"/>
    <n v="8.8940319359999993"/>
    <n v="24"/>
    <s v="Closed"/>
    <s v="Customer Set Up"/>
    <m/>
    <n v="0"/>
    <n v="0"/>
    <m/>
  </r>
  <r>
    <x v="84"/>
    <s v="Border States-Pewaukee WI"/>
    <s v="21-20001-1/21-20005-1"/>
    <n v="26714"/>
    <n v="12117.256687999999"/>
    <n v="12.117256687999999"/>
    <n v="35"/>
    <s v="Closed"/>
    <s v="Landry Logistics"/>
    <n v="1710"/>
    <n v="0.14112105107862019"/>
    <n v="141.12105107862018"/>
    <m/>
  </r>
  <r>
    <x v="84"/>
    <s v="Power Line-Bethal PA"/>
    <s v="21-19933-1"/>
    <n v="6536"/>
    <n v="2964.6773119999998"/>
    <n v="2.9646773120000001"/>
    <n v="8"/>
    <s v="LTL"/>
    <s v="Customer Set Up"/>
    <m/>
    <n v="0"/>
    <n v="0"/>
    <m/>
  </r>
  <r>
    <x v="84"/>
    <s v="Wesco-Dayton NJ"/>
    <s v="21-19942-1"/>
    <n v="7830"/>
    <n v="3551.62536"/>
    <n v="3.5516253600000001"/>
    <n v="9"/>
    <s v="LTL"/>
    <s v="Customer Set Up"/>
    <m/>
    <n v="0"/>
    <n v="0"/>
    <m/>
  </r>
  <r>
    <x v="84"/>
    <s v="Alabama Power-Calera AL"/>
    <s v="21-20022-1"/>
    <n v="35784"/>
    <n v="16231.336127999999"/>
    <n v="16.231336127999999"/>
    <n v="36"/>
    <s v="Closed"/>
    <s v="Customer Set Up"/>
    <m/>
    <n v="0"/>
    <n v="0"/>
    <m/>
  </r>
  <r>
    <x v="84"/>
    <s v="Alabama Power-Calera AL"/>
    <s v="21-20022-2"/>
    <n v="13916"/>
    <n v="6312.1862719999999"/>
    <n v="6.3121862719999999"/>
    <n v="14"/>
    <s v="Closed"/>
    <s v="Customer Set Up"/>
    <m/>
    <n v="0"/>
    <n v="0"/>
    <m/>
  </r>
  <r>
    <x v="84"/>
    <s v="Wesco-Dayton NJ"/>
    <s v="21-19417-5"/>
    <n v="18050"/>
    <n v="8187.3356000000003"/>
    <n v="8.1873356000000008"/>
    <n v="19"/>
    <s v="Closed"/>
    <s v="Traffic Tech"/>
    <n v="3500"/>
    <n v="0.42748949975862721"/>
    <n v="427.48949975862718"/>
    <m/>
  </r>
  <r>
    <x v="85"/>
    <s v="Graybar-Manchester NH"/>
    <s v="21-19948-2"/>
    <n v="36388"/>
    <n v="16505.305695999999"/>
    <n v="16.505305696000001"/>
    <n v="44"/>
    <s v="Closed"/>
    <s v="Customer Set Up"/>
    <m/>
    <n v="0"/>
    <n v="0"/>
    <m/>
  </r>
  <r>
    <x v="85"/>
    <s v="Border States-Eau Claire WI"/>
    <s v="21-20007-1"/>
    <n v="11124"/>
    <n v="5045.7574080000004"/>
    <n v="5.0457574080000009"/>
    <n v="12"/>
    <s v="LTL"/>
    <s v="Flock Freight"/>
    <n v="1436.02"/>
    <n v="0.28459949297665477"/>
    <n v="284.59949297665474"/>
    <m/>
  </r>
  <r>
    <x v="85"/>
    <s v="Wesco-Dayton NJ"/>
    <s v="21-19417-2"/>
    <n v="41800"/>
    <n v="18960.1456"/>
    <n v="18.960145600000001"/>
    <n v="44"/>
    <s v="Closed"/>
    <s v="Traffic Tech"/>
    <n v="3500"/>
    <n v="0.18459773853213449"/>
    <n v="184.59773853213449"/>
    <m/>
  </r>
  <r>
    <x v="86"/>
    <s v="TVA-Muscle Shoals AL"/>
    <s v="21-20009-1"/>
    <n v="39696"/>
    <n v="18005.788032"/>
    <n v="18.005788032000002"/>
    <n v="48"/>
    <s v="Flatbed"/>
    <s v="Customer Set Up"/>
    <m/>
    <n v="0"/>
    <n v="0"/>
    <m/>
  </r>
  <r>
    <x v="86"/>
    <s v="Choctaw Kaul-Salisbury MD"/>
    <s v="21-20023-1/21-20024-1"/>
    <n v="33630"/>
    <n v="15254.29896"/>
    <n v="15.25429896"/>
    <n v="33"/>
    <s v="Flatbed"/>
    <s v="Landry Logistics"/>
    <n v="3780"/>
    <n v="0.24779899816517034"/>
    <n v="247.79899816517036"/>
    <m/>
  </r>
  <r>
    <x v="86"/>
    <s v="Duke Energy-Charlotte NC"/>
    <s v="21-20034-2"/>
    <n v="39560"/>
    <n v="17944.09952"/>
    <n v="17.944099520000002"/>
    <n v="46"/>
    <s v="Closed"/>
    <s v="Landry Logistics"/>
    <n v="1775"/>
    <n v="9.8918310056274147E-2"/>
    <n v="98.918310056274137"/>
    <m/>
  </r>
  <r>
    <x v="86"/>
    <s v="Border States-Pewaukee WI"/>
    <s v="21-20028-1/21-20028-2"/>
    <n v="44519"/>
    <n v="20193.462248"/>
    <n v="20.193462247999999"/>
    <n v="45"/>
    <s v="Closed"/>
    <s v="Jax Transport"/>
    <n v="2350"/>
    <n v="0.1163742983317657"/>
    <n v="116.3742983317657"/>
    <m/>
  </r>
  <r>
    <x v="86"/>
    <s v="Duke Energy-Charlotte NC"/>
    <s v="21-20034-1"/>
    <n v="37840"/>
    <n v="17163.921279999999"/>
    <n v="17.16392128"/>
    <n v="44"/>
    <s v="Closed"/>
    <s v="Landry Logistics"/>
    <n v="1775"/>
    <n v="0.10341459687701389"/>
    <n v="103.41459687701388"/>
    <m/>
  </r>
  <r>
    <x v="86"/>
    <s v="Wesco-San Antonio TX"/>
    <s v="21-19510-2"/>
    <n v="3391"/>
    <n v="1538.1304720000001"/>
    <n v="1.5381304720000002"/>
    <n v="5"/>
    <s v="LTL"/>
    <s v="Knichel Logistics"/>
    <n v="487.85"/>
    <n v="0.31717075298928216"/>
    <n v="317.17075298928216"/>
    <m/>
  </r>
  <r>
    <x v="87"/>
    <s v="Power Line-Bethal PA"/>
    <s v="21-20031-1"/>
    <n v="6702"/>
    <n v="3039.9735839999998"/>
    <n v="3.0399735839999997"/>
    <n v="6"/>
    <s v="LTL"/>
    <s v="Customer Set Up"/>
    <m/>
    <n v="0"/>
    <n v="0"/>
    <m/>
  </r>
  <r>
    <x v="87"/>
    <s v="Wesco-Charlotte NC"/>
    <s v="21-20033-3"/>
    <n v="17640"/>
    <n v="8001.3628799999997"/>
    <n v="8.0013628800000003"/>
    <n v="24"/>
    <s v="Closed"/>
    <s v="Landry Logistics"/>
    <n v="1775"/>
    <n v="0.22183720781327693"/>
    <n v="221.83720781327693"/>
    <m/>
  </r>
  <r>
    <x v="87"/>
    <s v="Wesco-Orlando FL"/>
    <s v="21-20032-1"/>
    <n v="38720"/>
    <n v="17563.08224"/>
    <n v="17.56308224"/>
    <n v="44"/>
    <s v="Closed"/>
    <s v="Landry Logistics"/>
    <n v="2800"/>
    <n v="0.15942531964138887"/>
    <n v="159.42531964138888"/>
    <m/>
  </r>
  <r>
    <x v="87"/>
    <s v="Wesco-Charlotte NC"/>
    <s v="21-20033-2"/>
    <n v="32560"/>
    <n v="14768.95552"/>
    <n v="14.76895552"/>
    <n v="44"/>
    <s v="Closed"/>
    <s v="Landry Logistics"/>
    <n v="1775"/>
    <n v="0.12018453150571884"/>
    <n v="120.18453150571882"/>
    <m/>
  </r>
  <r>
    <x v="87"/>
    <s v="Wesco-Garner NC"/>
    <s v="21-19979-1"/>
    <n v="2451"/>
    <n v="1111.7539919999999"/>
    <n v="1.1117539919999999"/>
    <n v="3"/>
    <s v="LTL"/>
    <s v="Customer Set Up"/>
    <m/>
    <n v="0"/>
    <n v="0"/>
    <m/>
  </r>
  <r>
    <x v="87"/>
    <s v="Border States-Eau Claire WI"/>
    <s v="21-20029-1"/>
    <n v="36529"/>
    <n v="16569.262168000001"/>
    <n v="16.569262168000002"/>
    <n v="37"/>
    <s v="Closed"/>
    <s v="Jax Transport"/>
    <n v="3000"/>
    <n v="0.18105815271568704"/>
    <n v="181.05815271568704"/>
    <m/>
  </r>
  <r>
    <x v="88"/>
    <s v="National Grid-Buffalo NY"/>
    <s v="21-19984-2"/>
    <n v="29280"/>
    <n v="13281.17376"/>
    <n v="13.28117376"/>
    <n v="30"/>
    <s v="Flatbed"/>
    <s v="Landry Logistics"/>
    <n v="4250"/>
    <n v="0.32000183694607426"/>
    <n v="320.00183694607426"/>
    <m/>
  </r>
  <r>
    <x v="88"/>
    <s v="Wesco-Dayton NJ"/>
    <s v="21-19417-7"/>
    <n v="42548"/>
    <n v="19299.432416"/>
    <n v="19.299432415999998"/>
    <n v="44"/>
    <s v="Closed"/>
    <s v="Traffic Tech"/>
    <n v="3500"/>
    <n v="0.1813524835631104"/>
    <n v="181.35248356311041"/>
    <m/>
  </r>
  <r>
    <x v="88"/>
    <s v="Wesco-Charlotte NC"/>
    <s v="21-20033-1"/>
    <n v="32340"/>
    <n v="14669.165279999999"/>
    <n v="14.66916528"/>
    <n v="44"/>
    <s v="Closed"/>
    <s v="Landry Logistics"/>
    <n v="1775"/>
    <n v="0.12100211335269652"/>
    <n v="121.00211335269651"/>
    <m/>
  </r>
  <r>
    <x v="88"/>
    <s v="Georgia Power-Forest Park GA"/>
    <s v="21-20025-1"/>
    <n v="14595"/>
    <n v="6620.1752399999996"/>
    <n v="6.62017524"/>
    <n v="15"/>
    <s v="Closed"/>
    <s v="Customer Set Up"/>
    <m/>
    <n v="0"/>
    <n v="0"/>
    <m/>
  </r>
  <r>
    <x v="88"/>
    <s v="Oncor-Irving TX"/>
    <s v="21-19820-1"/>
    <n v="42548"/>
    <n v="19299.432416"/>
    <n v="19.299432415999998"/>
    <n v="44"/>
    <s v="Flatbed"/>
    <s v="Customer Set Up"/>
    <m/>
    <n v="0"/>
    <n v="0"/>
    <m/>
  </r>
  <r>
    <x v="88"/>
    <s v="Oncor-Irving TX"/>
    <s v="21-19820-2"/>
    <n v="42548"/>
    <n v="19299.432416"/>
    <n v="19.299432415999998"/>
    <n v="44"/>
    <s v="Flatbed"/>
    <s v="Customer Set Up"/>
    <m/>
    <n v="0"/>
    <n v="0"/>
    <m/>
  </r>
  <r>
    <x v="88"/>
    <s v="Oncor-Irving TX"/>
    <s v="21-19820-3"/>
    <n v="22380"/>
    <n v="10151.38896"/>
    <n v="10.15138896"/>
    <n v="23"/>
    <s v="Flatbed"/>
    <s v="Customer Set Up"/>
    <m/>
    <n v="0"/>
    <n v="0"/>
    <m/>
  </r>
  <r>
    <x v="88"/>
    <s v="Wesco-Orlando FL"/>
    <s v="21-20032-2"/>
    <n v="21160"/>
    <n v="9598.0067199999994"/>
    <n v="9.598006719999999"/>
    <n v="23"/>
    <s v="Closed"/>
    <s v="Flock Freight"/>
    <n v="2145.2800000000002"/>
    <n v="0.22351307543156215"/>
    <n v="223.51307543156216"/>
    <m/>
  </r>
  <r>
    <x v="88"/>
    <s v="Choctaw Kaul-Salisbury MD"/>
    <s v="21-20013-1"/>
    <n v="11940"/>
    <n v="5415.8884799999996"/>
    <n v="5.4158884799999996"/>
    <n v="12"/>
    <s v="Flatbed"/>
    <s v="Landry Logistics"/>
    <n v="2720"/>
    <n v="0.50222599856782879"/>
    <n v="502.22599856782875"/>
    <m/>
  </r>
  <r>
    <x v="88"/>
    <s v="Wesco-Santa Fe Springs CA"/>
    <s v="21-20010-1"/>
    <n v="2200"/>
    <n v="997.90239999999994"/>
    <n v="0.99790239999999997"/>
    <n v="3"/>
    <s v="LTL"/>
    <s v="Customer Set Up"/>
    <m/>
    <n v="0"/>
    <n v="0"/>
    <m/>
  </r>
  <r>
    <x v="88"/>
    <s v="Anixter-Boise ID"/>
    <s v="21-19814-1"/>
    <n v="1882"/>
    <n v="853.66014399999995"/>
    <n v="0.85366014400000001"/>
    <n v="3"/>
    <s v="LTL"/>
    <s v="Customer Set Up"/>
    <m/>
    <n v="0"/>
    <n v="0"/>
    <m/>
  </r>
  <r>
    <x v="89"/>
    <s v="Wesco-North Kingstown RI"/>
    <s v="21-19944-2"/>
    <n v="37840"/>
    <n v="17163.921279999999"/>
    <n v="17.16392128"/>
    <n v="44"/>
    <s v="Flatbed"/>
    <s v="Landry Logistics"/>
    <n v="5200"/>
    <n v="0.3029610725411111"/>
    <n v="302.96107254111109"/>
    <m/>
  </r>
  <r>
    <x v="89"/>
    <s v="Wesco-North Kingstown RI"/>
    <s v="21-19944-3"/>
    <n v="37840"/>
    <n v="17163.921279999999"/>
    <n v="17.16392128"/>
    <n v="44"/>
    <s v="Flatbed"/>
    <s v="Landry Logistics"/>
    <n v="5200"/>
    <n v="0.3029610725411111"/>
    <n v="302.96107254111109"/>
    <m/>
  </r>
  <r>
    <x v="89"/>
    <s v="Wesco-North Kingstown RI"/>
    <s v="21-19944-1"/>
    <n v="37840"/>
    <n v="17163.921279999999"/>
    <n v="17.16392128"/>
    <n v="44"/>
    <s v="Flatbed"/>
    <s v="Landry Logistics"/>
    <n v="5200"/>
    <n v="0.3029610725411111"/>
    <n v="302.96107254111109"/>
    <m/>
  </r>
  <r>
    <x v="89"/>
    <s v="Wesco-North Kingstown RI"/>
    <s v="21-19944-4"/>
    <n v="37840"/>
    <n v="17163.921279999999"/>
    <n v="17.16392128"/>
    <n v="44"/>
    <s v="Flatbed"/>
    <s v="Landry Logistics"/>
    <n v="5200"/>
    <n v="0.3029610725411111"/>
    <n v="302.96107254111109"/>
    <m/>
  </r>
  <r>
    <x v="90"/>
    <s v="Wesco-North Kingstown RI"/>
    <s v="21-19944-5"/>
    <n v="37840"/>
    <n v="17163.921279999999"/>
    <n v="17.16392128"/>
    <n v="44"/>
    <s v="Flatbed"/>
    <s v="Landry Logistics"/>
    <n v="5200"/>
    <n v="0.3029610725411111"/>
    <n v="302.96107254111109"/>
    <m/>
  </r>
  <r>
    <x v="90"/>
    <s v="Wesco-North Kingstown RI"/>
    <s v="21-19944-6"/>
    <n v="33907"/>
    <n v="15379.943944000001"/>
    <n v="15.379943944000001"/>
    <n v="41"/>
    <s v="Flatbed"/>
    <s v="Landry Logistics"/>
    <n v="5200"/>
    <n v="0.33810266272320294"/>
    <n v="338.10266272320297"/>
    <m/>
  </r>
  <r>
    <x v="90"/>
    <s v="SRP-Gila Bend AZ"/>
    <s v="21-20020-1"/>
    <n v="8550"/>
    <n v="3878.2116000000001"/>
    <n v="3.8782116000000002"/>
    <n v="9"/>
    <s v="LTL"/>
    <s v="Customer Set Up"/>
    <m/>
    <n v="0"/>
    <n v="0"/>
    <m/>
  </r>
  <r>
    <x v="90"/>
    <s v="Wesco-Dayton NJ"/>
    <s v="21-19417-6"/>
    <n v="43120"/>
    <n v="19558.887040000001"/>
    <n v="19.558887040000002"/>
    <n v="44"/>
    <s v="Closed"/>
    <s v="Traffic Tech"/>
    <n v="3500"/>
    <n v="0.17894678735257932"/>
    <n v="178.94678735257932"/>
    <m/>
  </r>
  <r>
    <x v="90"/>
    <s v="Wesco-Dayton NJ"/>
    <s v="21-19417-9"/>
    <n v="42548"/>
    <n v="19299.432416"/>
    <n v="19.299432415999998"/>
    <n v="44"/>
    <s v="Closed"/>
    <s v="Traffic Tech"/>
    <n v="3500"/>
    <n v="0.1813524835631104"/>
    <n v="181.35248356311041"/>
    <m/>
  </r>
  <r>
    <x v="90"/>
    <s v="Wesco-Dayton NJ"/>
    <s v="21-19417-8"/>
    <n v="42548"/>
    <n v="19299.432416"/>
    <n v="19.299432415999998"/>
    <n v="44"/>
    <s v="Closed"/>
    <s v="Traffic Tech"/>
    <n v="3500"/>
    <n v="0.1813524835631104"/>
    <n v="181.35248356311041"/>
    <m/>
  </r>
  <r>
    <x v="91"/>
    <s v="Wesco-Dayton NJ"/>
    <s v="21-19417-10"/>
    <n v="9040"/>
    <n v="4100.4716799999997"/>
    <n v="4.1004716800000001"/>
    <n v="8"/>
    <s v="LTL"/>
    <s v="Flock Freight"/>
    <n v="1756.42"/>
    <n v="0.42834584337380432"/>
    <n v="428.34584337380426"/>
    <m/>
  </r>
  <r>
    <x v="91"/>
    <s v="Graybar-Manchester NH"/>
    <s v="21-20027-1"/>
    <n v="17100"/>
    <n v="7756.4232000000002"/>
    <n v="7.7564232000000004"/>
    <n v="15"/>
    <s v="Closed"/>
    <s v="Customer Set Up"/>
    <m/>
    <n v="0"/>
    <n v="0"/>
    <m/>
  </r>
  <r>
    <x v="92"/>
    <s v="Wesco-Dayton NJ"/>
    <s v="21-20026-1"/>
    <n v="33250"/>
    <n v="15081.933999999999"/>
    <n v="15.081934"/>
    <n v="35"/>
    <s v="Closed"/>
    <s v="Traffic Tech"/>
    <n v="3500"/>
    <n v="0.23206572844039763"/>
    <n v="232.06572844039763"/>
    <m/>
  </r>
  <r>
    <x v="93"/>
    <s v="Choctaw Kaul-Chicago IL"/>
    <s v="21-19994-1"/>
    <n v="13300"/>
    <n v="6032.7735999999995"/>
    <n v="6.0327735999999996"/>
    <n v="12"/>
    <s v="Flatbed"/>
    <s v="Landry Logistics"/>
    <n v="1510"/>
    <n v="0.2502994642464289"/>
    <n v="250.2994642464289"/>
    <m/>
  </r>
  <r>
    <x v="93"/>
    <s v="BPA-Vancouver WA"/>
    <s v="21-19662-1"/>
    <n v="37008"/>
    <n v="16786.532736000001"/>
    <n v="16.786532736000002"/>
    <n v="48"/>
    <s v="Closed"/>
    <s v="Landry Logistics"/>
    <n v="5700"/>
    <n v="0.33955791166903188"/>
    <n v="339.55791166903185"/>
    <m/>
  </r>
  <r>
    <x v="93"/>
    <s v="BPA-Vancouver WA"/>
    <s v="21-19662-2"/>
    <n v="37008"/>
    <n v="16786.532736000001"/>
    <n v="16.786532736000002"/>
    <n v="48"/>
    <s v="Closed"/>
    <s v="Landry Logistics"/>
    <n v="5700"/>
    <n v="0.33955791166903188"/>
    <n v="339.55791166903185"/>
    <m/>
  </r>
  <r>
    <x v="93"/>
    <s v="Border States-Pewaukee WI"/>
    <s v="21-20039-1"/>
    <n v="12840"/>
    <n v="5824.1212800000003"/>
    <n v="5.8241212800000008"/>
    <n v="12"/>
    <s v="LTL"/>
    <s v="Flock Freight"/>
    <n v="1145.74"/>
    <n v="0.19672323856552656"/>
    <n v="196.72323856552654"/>
    <m/>
  </r>
  <r>
    <x v="93"/>
    <s v="Power Line-Mooresville IN"/>
    <s v="21-20063-2"/>
    <n v="12255"/>
    <n v="5558.7699599999996"/>
    <n v="5.5587699599999993"/>
    <n v="15"/>
    <s v="LTL"/>
    <s v="Flock Freight"/>
    <n v="851"/>
    <n v="0.15309142240525458"/>
    <n v="153.09142240525458"/>
    <m/>
  </r>
  <r>
    <x v="93"/>
    <s v="Anixter-Spokane Valley WA"/>
    <s v="21-20021-1"/>
    <n v="13608"/>
    <n v="6172.4799359999997"/>
    <n v="6.1724799360000002"/>
    <n v="14"/>
    <s v="LTL"/>
    <s v="Flock Freight"/>
    <n v="2997"/>
    <n v="0.4855422830166653"/>
    <n v="485.54228301666524"/>
    <m/>
  </r>
  <r>
    <x v="93"/>
    <s v="Wesco-Nashville TN"/>
    <s v="21-20054-1"/>
    <n v="4290"/>
    <n v="1945.90968"/>
    <n v="1.94590968"/>
    <n v="4"/>
    <s v="LTL"/>
    <s v="Customer Set Up"/>
    <m/>
    <n v="0"/>
    <n v="0"/>
    <m/>
  </r>
  <r>
    <x v="93"/>
    <s v="Stuart Irby-Des Moines IA"/>
    <s v="21-20057-1"/>
    <n v="11697"/>
    <n v="5305.6656240000002"/>
    <n v="5.3056656240000004"/>
    <n v="11"/>
    <s v="LTL"/>
    <s v="Trinity Logistics"/>
    <n v="1535.04"/>
    <n v="0.28932090877651584"/>
    <n v="289.32090877651581"/>
    <m/>
  </r>
  <r>
    <x v="94"/>
    <s v="BPA-Vancouver WA"/>
    <s v="21-19662-3"/>
    <n v="37008"/>
    <n v="16786.532736000001"/>
    <n v="16.786532736000002"/>
    <n v="48"/>
    <s v="Closed"/>
    <s v="Landry Logistics"/>
    <n v="5700"/>
    <n v="0.33955791166903188"/>
    <n v="339.55791166903185"/>
    <m/>
  </r>
  <r>
    <x v="94"/>
    <s v="BPA-Vancouver WA"/>
    <s v="21-19662-4"/>
    <n v="37008"/>
    <n v="16786.532736000001"/>
    <n v="16.786532736000002"/>
    <n v="48"/>
    <s v="Closed"/>
    <s v="Landry Logistics"/>
    <n v="5700"/>
    <n v="0.33955791166903188"/>
    <n v="339.55791166903185"/>
    <m/>
  </r>
  <r>
    <x v="94"/>
    <s v="Wesco-Orlando FL"/>
    <s v="21-20047-2"/>
    <n v="36012"/>
    <n v="16334.755104"/>
    <n v="16.334755103999999"/>
    <n v="36"/>
    <s v="Closed"/>
    <s v="Traffic Tech"/>
    <n v="3333.33"/>
    <n v="0.20406366540406506"/>
    <n v="204.06366540406506"/>
    <m/>
  </r>
  <r>
    <x v="94"/>
    <s v="Techline-Fort Worth TX"/>
    <s v="21-20055-1"/>
    <n v="4290"/>
    <n v="1945.90968"/>
    <n v="1.94590968"/>
    <n v="4"/>
    <s v="LTL"/>
    <s v="Knichel Logistics"/>
    <n v="465.11"/>
    <n v="0.2390193156344235"/>
    <n v="239.01931563442349"/>
    <m/>
  </r>
  <r>
    <x v="94"/>
    <s v="Power Line-Mooresville IN"/>
    <s v="21-20063-1"/>
    <n v="44230"/>
    <n v="20062.374159999999"/>
    <n v="20.062374160000001"/>
    <n v="39"/>
    <s v="Closed"/>
    <s v="Jax Transportation"/>
    <n v="1800"/>
    <n v="8.9720188929025543E-2"/>
    <n v="89.720188929025539"/>
    <m/>
  </r>
  <r>
    <x v="94"/>
    <s v="Fletcher-Poplar Bluff MO"/>
    <s v="21-19729-3"/>
    <n v="25899"/>
    <n v="11747.579207999999"/>
    <n v="11.747579207999999"/>
    <n v="21"/>
    <s v="Flatbed"/>
    <s v="Landry Logistics"/>
    <n v="1275"/>
    <n v="0.10853299879278414"/>
    <n v="108.53299879278414"/>
    <m/>
  </r>
  <r>
    <x v="95"/>
    <s v="Wesco-Orlando FL"/>
    <s v="21-20047-1"/>
    <n v="43340"/>
    <n v="19658.67728"/>
    <n v="19.658677279999999"/>
    <n v="44"/>
    <s v="Closed"/>
    <s v="Traffic Tech"/>
    <n v="3333.33"/>
    <n v="0.16956023808332235"/>
    <n v="169.56023808332236"/>
    <m/>
  </r>
  <r>
    <x v="95"/>
    <s v="Anixter-Ashland VA"/>
    <s v="21-19644-2"/>
    <n v="12350"/>
    <n v="5601.8612000000003"/>
    <n v="5.6018612000000001"/>
    <n v="13"/>
    <s v="LTL"/>
    <s v="Flock Freight"/>
    <n v="1697"/>
    <n v="0.30293503166411906"/>
    <n v="302.93503166411904"/>
    <m/>
  </r>
  <r>
    <x v="95"/>
    <s v="Techline-Fort Worth TX"/>
    <s v="21-19682-2"/>
    <n v="1840"/>
    <n v="834.60928000000001"/>
    <n v="0.83460928000000001"/>
    <n v="2"/>
    <s v="LTL"/>
    <s v="Knichel Logistics"/>
    <n v="291.12"/>
    <n v="0.34880992456733767"/>
    <n v="348.80992456733765"/>
    <m/>
  </r>
  <r>
    <x v="95"/>
    <s v="Resco-Moorehead MN"/>
    <s v="21-19982-1"/>
    <n v="6168"/>
    <n v="2797.7554559999999"/>
    <n v="2.797755456"/>
    <n v="8"/>
    <s v="LTL"/>
    <s v="Trinity Logistics"/>
    <n v="1491.36"/>
    <n v="0.53305588120708147"/>
    <n v="533.05588120708137"/>
    <m/>
  </r>
  <r>
    <x v="95"/>
    <s v="BPA-Vancouver WA"/>
    <s v="21-19662-5"/>
    <n v="9252"/>
    <n v="4196.6331840000003"/>
    <n v="4.1966331840000004"/>
    <n v="12"/>
    <s v="LTL"/>
    <s v="Flock Freight"/>
    <n v="2709"/>
    <n v="0.64551746155186474"/>
    <n v="645.5174615518647"/>
    <m/>
  </r>
  <r>
    <x v="95"/>
    <s v="Border States-Albertville MN"/>
    <s v="21-20074-2"/>
    <n v="42960"/>
    <n v="19486.312320000001"/>
    <n v="19.48631232"/>
    <n v="44"/>
    <s v="Closed"/>
    <s v="Landry Logistics"/>
    <n v="2200"/>
    <n v="0.11289976081015619"/>
    <n v="112.89976081015621"/>
    <m/>
  </r>
  <r>
    <x v="96"/>
    <s v="One Source-Oceanside CA"/>
    <s v="21-20011-1"/>
    <n v="85"/>
    <n v="38.555320000000002"/>
    <n v="3.8555320000000004E-2"/>
    <n v="1"/>
    <m/>
    <s v="UPS "/>
    <n v="124.89"/>
    <n v="3.2392416921970817"/>
    <n v="3239.2416921970816"/>
    <m/>
  </r>
  <r>
    <x v="96"/>
    <s v="Pepco-Key Largo FL"/>
    <s v="21-20000-1"/>
    <n v="5510"/>
    <n v="2499.2919200000001"/>
    <n v="2.4992919200000001"/>
    <n v="5"/>
    <s v="LTL"/>
    <s v="Knichel Logistics"/>
    <n v="1096.17"/>
    <n v="0.43859222335260462"/>
    <n v="438.59222335260461"/>
    <m/>
  </r>
  <r>
    <x v="96"/>
    <s v="Fletcher-Poplar Bluff MO"/>
    <s v="21-19735-2"/>
    <n v="10577"/>
    <n v="4797.6425840000002"/>
    <n v="4.7976425840000001"/>
    <n v="9"/>
    <s v="LTL"/>
    <s v="Trinity Logistics"/>
    <n v="717.5"/>
    <n v="0.14955261619380356"/>
    <n v="149.55261619380357"/>
    <m/>
  </r>
  <r>
    <x v="96"/>
    <s v="Choctaw Kaul-Chicago IL"/>
    <s v="21-20095-1"/>
    <n v="41920"/>
    <n v="19014.576639999999"/>
    <n v="19.014576640000001"/>
    <n v="50"/>
    <s v="Flatbed"/>
    <s v="Landry Logistics"/>
    <n v="2050"/>
    <n v="0.10781202436490324"/>
    <n v="107.81202436490324"/>
    <m/>
  </r>
  <r>
    <x v="97"/>
    <s v="Choctaw Kaul-New Castle DE"/>
    <s v="21-20106-1"/>
    <n v="20959"/>
    <n v="9506.8347279999998"/>
    <n v="9.5068347279999994"/>
    <n v="23"/>
    <s v="Flatbed"/>
    <s v="Landry Logistics"/>
    <n v="3900"/>
    <n v="0.41023117699874673"/>
    <n v="410.23117699874672"/>
    <m/>
  </r>
  <r>
    <x v="97"/>
    <s v="National Grid-Clifton Park NY"/>
    <s v="21-20098-1"/>
    <n v="31056"/>
    <n v="14086.753151999999"/>
    <n v="14.086753152"/>
    <n v="34"/>
    <s v="Flatbed"/>
    <s v="Landry Logistics"/>
    <n v="5000"/>
    <n v="0.35494339583072154"/>
    <n v="354.9433958307215"/>
    <m/>
  </r>
  <r>
    <x v="97"/>
    <s v="National Grid-Buffalo NY"/>
    <s v="21-20100-1"/>
    <n v="34400"/>
    <n v="15603.5648"/>
    <n v="15.603564800000001"/>
    <n v="40"/>
    <s v="Flatbed"/>
    <s v="Landry Logistics"/>
    <n v="4250"/>
    <n v="0.27237365656340273"/>
    <n v="272.37365656340273"/>
    <m/>
  </r>
  <r>
    <x v="97"/>
    <s v="Wesco-Greenfield IN"/>
    <s v="21-20044-1"/>
    <n v="36520"/>
    <n v="16565.179840000001"/>
    <n v="16.565179840000003"/>
    <n v="44"/>
    <s v="Closed"/>
    <s v="Traffic Tech"/>
    <n v="1555.56"/>
    <n v="9.3905409722373406E-2"/>
    <n v="93.905409722373392"/>
    <m/>
  </r>
  <r>
    <x v="97"/>
    <s v="National Grid-Liverpool NY"/>
    <s v="21-20102-1"/>
    <n v="34400"/>
    <n v="15603.5648"/>
    <n v="15.603564800000001"/>
    <n v="40"/>
    <s v="Flatbed"/>
    <s v="Landry Logistics"/>
    <n v="4450"/>
    <n v="0.28519124040168053"/>
    <n v="285.19124040168049"/>
    <m/>
  </r>
  <r>
    <x v="97"/>
    <s v="Border States-Montrose CO"/>
    <s v="21-20068-1"/>
    <n v="11480"/>
    <n v="5207.2361600000004"/>
    <n v="5.2072361600000008"/>
    <n v="14"/>
    <s v="LTL"/>
    <s v="Flock Freight"/>
    <n v="2267"/>
    <n v="0.43535571084988006"/>
    <n v="435.35571084988004"/>
    <m/>
  </r>
  <r>
    <x v="98"/>
    <s v="Stuart Irby-Fort Worth TX"/>
    <s v="21-20084-1"/>
    <n v="37840"/>
    <n v="17163.921279999999"/>
    <n v="17.16392128"/>
    <n v="44"/>
    <s v="Closed"/>
    <s v="Traffic Tech"/>
    <n v="1650"/>
    <n v="9.6131878787083333E-2"/>
    <n v="96.131878787083323"/>
    <m/>
  </r>
  <r>
    <x v="98"/>
    <s v="Stuart Irby-Fort Worth TX"/>
    <s v="21-20084-2"/>
    <n v="36768"/>
    <n v="16677.670655999998"/>
    <n v="16.677670656"/>
    <n v="44"/>
    <s v="Closed"/>
    <s v="Traffic Tech"/>
    <n v="1650"/>
    <n v="9.8934679430570965E-2"/>
    <n v="98.934679430570952"/>
    <m/>
  </r>
  <r>
    <x v="98"/>
    <s v="Georgia Power-Forest Park GA"/>
    <s v="21-20058-1"/>
    <n v="29412"/>
    <n v="13341.047903999999"/>
    <n v="13.341047904"/>
    <n v="36"/>
    <s v="Closed"/>
    <s v="Jax Transportation"/>
    <n v="1600"/>
    <n v="0.1199306090131254"/>
    <n v="119.93060901312539"/>
    <m/>
  </r>
  <r>
    <x v="98"/>
    <s v="Stuart Irby-Fort Worth TX"/>
    <s v="21-20084-5"/>
    <n v="29300"/>
    <n v="13290.2456"/>
    <n v="13.2902456"/>
    <n v="29"/>
    <s v="Closed"/>
    <s v="Traffic Tech"/>
    <n v="1650"/>
    <n v="0.1241512045495984"/>
    <n v="124.15120454959839"/>
    <m/>
  </r>
  <r>
    <x v="98"/>
    <s v="Border States-Amarillo TX"/>
    <s v="21-20081-1"/>
    <n v="21424"/>
    <n v="9717.7550080000001"/>
    <n v="9.717755008000001"/>
    <n v="26"/>
    <s v="Flatbed"/>
    <s v="Landry Logistics"/>
    <n v="3010"/>
    <n v="0.30974232191715695"/>
    <n v="309.74232191715691"/>
    <m/>
  </r>
  <r>
    <x v="98"/>
    <s v="Graybar-Manchester NH"/>
    <s v="21-20116-1"/>
    <n v="37840"/>
    <n v="17163.921279999999"/>
    <n v="17.16392128"/>
    <n v="44"/>
    <s v="Closed"/>
    <s v="Landry Logistics"/>
    <n v="4100"/>
    <n v="0.2388731533497222"/>
    <n v="238.87315334972217"/>
    <m/>
  </r>
  <r>
    <x v="98"/>
    <s v="Graybar-Manchester NH"/>
    <s v="21-20116-2"/>
    <n v="29428"/>
    <n v="13348.305376"/>
    <n v="13.348305376000001"/>
    <n v="35"/>
    <s v="Closed"/>
    <s v="Landry Logistics"/>
    <n v="4100"/>
    <n v="0.30715509456142065"/>
    <n v="307.15509456142064"/>
    <m/>
  </r>
  <r>
    <x v="98"/>
    <s v="Anixter-Tolleson AZ"/>
    <s v="21-20043-1"/>
    <n v="1380"/>
    <n v="625.95695999999998"/>
    <n v="0.62595696000000001"/>
    <n v="2"/>
    <s v="LTL"/>
    <s v="Knichel Logistics"/>
    <n v="499.49"/>
    <n v="0.79796221133159062"/>
    <n v="797.96221133159065"/>
    <m/>
  </r>
  <r>
    <x v="99"/>
    <s v="Border States-Brighton CO"/>
    <s v="21-20119-1"/>
    <n v="40480"/>
    <n v="18361.404159999998"/>
    <n v="18.361404159999999"/>
    <n v="44"/>
    <s v="Closed"/>
    <s v="Traffic Tech"/>
    <n v="3850"/>
    <n v="0.2096789530066093"/>
    <n v="209.67895300660928"/>
    <m/>
  </r>
  <r>
    <x v="99"/>
    <s v="Stuart Irby-Fort Worth TX"/>
    <s v="21-20084-4"/>
    <n v="43164"/>
    <n v="19578.845087999998"/>
    <n v="19.578845087999998"/>
    <n v="44"/>
    <s v="Closed"/>
    <s v="Traffic Tech"/>
    <n v="1650"/>
    <n v="8.4274633799074072E-2"/>
    <n v="84.274633799074067"/>
    <m/>
  </r>
  <r>
    <x v="99"/>
    <s v="Stuart Irby-Fort Worth TX"/>
    <s v="21-20084-3"/>
    <n v="41800"/>
    <n v="18960.1456"/>
    <n v="18.960145600000001"/>
    <n v="44"/>
    <s v="Closed"/>
    <s v="Traffic Tech"/>
    <n v="1650"/>
    <n v="8.7024648165149113E-2"/>
    <n v="87.024648165149102"/>
    <m/>
  </r>
  <r>
    <x v="99"/>
    <s v="Border States-Pewaukee WI"/>
    <s v="21-20117-1"/>
    <n v="11180"/>
    <n v="5071.1585599999999"/>
    <n v="5.0711585599999998"/>
    <n v="13"/>
    <s v="LTL"/>
    <s v="Flock Freight"/>
    <n v="1043"/>
    <n v="0.20567292220498032"/>
    <n v="205.67292220498032"/>
    <m/>
  </r>
  <r>
    <x v="99"/>
    <s v="WUE-Sidney NE"/>
    <s v="21-20066-1"/>
    <n v="11400"/>
    <n v="5170.9488000000001"/>
    <n v="5.1709488000000006"/>
    <n v="10"/>
    <s v="LTL"/>
    <s v="Flock Freight"/>
    <n v="2084"/>
    <n v="0.40302081505815723"/>
    <n v="403.02081505815715"/>
    <m/>
  </r>
  <r>
    <x v="100"/>
    <s v="CEE US-Moncks Corner SC"/>
    <s v="21-20122-1"/>
    <n v="31848"/>
    <n v="14445.998016"/>
    <n v="14.445998015999999"/>
    <n v="35"/>
    <s v="Closed"/>
    <s v="Traffic Tech"/>
    <n v="2650"/>
    <n v="0.18344180838630403"/>
    <n v="183.44180838630402"/>
    <m/>
  </r>
  <r>
    <x v="100"/>
    <s v="Power Line-Mooresville IN"/>
    <s v="21-20107-1"/>
    <n v="26961"/>
    <n v="12229.293911999999"/>
    <n v="12.229293911999999"/>
    <n v="33"/>
    <s v="Closed"/>
    <s v="Jax Transportation"/>
    <n v="1800"/>
    <n v="0.14718756560701754"/>
    <n v="147.18756560701755"/>
    <m/>
  </r>
  <r>
    <x v="101"/>
    <s v="Border States-Albertville MN"/>
    <s v="21-20074-3"/>
    <n v="13778"/>
    <n v="6249.5905759999996"/>
    <n v="6.2495905760000001"/>
    <n v="17"/>
    <s v="LTL"/>
    <s v="Flock Freight"/>
    <n v="1485"/>
    <n v="0.23761556568245826"/>
    <n v="237.61556568245823"/>
    <m/>
  </r>
  <r>
    <x v="101"/>
    <s v="Wesco-Dayton NJ"/>
    <s v="21-20072-1"/>
    <n v="950"/>
    <n v="430.91239999999999"/>
    <n v="0.43091239999999997"/>
    <n v="1"/>
    <s v="LTL"/>
    <s v="Customer Set Up"/>
    <m/>
    <n v="0"/>
    <n v="0"/>
    <m/>
  </r>
  <r>
    <x v="101"/>
    <s v="Choctaw Kaul-Newark DE"/>
    <s v="21-20105-1"/>
    <n v="5296"/>
    <n v="2402.2232319999998"/>
    <n v="2.4022232319999999"/>
    <n v="7"/>
    <s v="Flatbed"/>
    <s v="Landry Logistics"/>
    <n v="2500"/>
    <n v="1.0407026152680219"/>
    <n v="1040.7026152680219"/>
    <s v="Shipped as a 2 stop drop with 21-20103-1"/>
  </r>
  <r>
    <x v="101"/>
    <s v="Choctaw Kaul-Cape May Court House NJ"/>
    <s v="21-20103-1"/>
    <n v="2451"/>
    <n v="1111.7539919999999"/>
    <n v="1.1117539919999999"/>
    <n v="3"/>
    <s v="Flatbed"/>
    <s v="Landry Logistics"/>
    <m/>
    <n v="0"/>
    <n v="0"/>
    <s v="Shipped as a 2 stop drop with 21-20105-1"/>
  </r>
  <r>
    <x v="101"/>
    <s v="Graybar-Newfane VT"/>
    <s v="21-20030-1"/>
    <n v="25800"/>
    <n v="11702.6736"/>
    <n v="11.702673600000001"/>
    <n v="30"/>
    <s v="Flatbed"/>
    <s v="Landry Logistics"/>
    <n v="4760"/>
    <n v="0.40674466046801477"/>
    <n v="406.74466046801473"/>
    <m/>
  </r>
  <r>
    <x v="101"/>
    <s v="Border States-Albertville MN"/>
    <s v="21-20074-1"/>
    <n v="36388"/>
    <n v="16505.305695999999"/>
    <n v="16.505305696000001"/>
    <n v="44"/>
    <s v="Closed"/>
    <s v="Traffic Tech"/>
    <n v="2700"/>
    <n v="0.1635837620780532"/>
    <n v="163.58376207805318"/>
    <m/>
  </r>
  <r>
    <x v="101"/>
    <s v="Entergy-Hammond LA"/>
    <s v="21-20052-1"/>
    <n v="5600"/>
    <n v="2540.1152000000002"/>
    <n v="2.5401152000000002"/>
    <n v="6"/>
    <s v="LTL"/>
    <s v="Knichel Logistics"/>
    <n v="467.09"/>
    <n v="0.18388536078993581"/>
    <n v="183.88536078993579"/>
    <m/>
  </r>
  <r>
    <x v="102"/>
    <s v="Border States-Pewaukee WI"/>
    <s v="21-20064-1"/>
    <n v="36388"/>
    <n v="16505.305695999999"/>
    <n v="16.505305696000001"/>
    <n v="44"/>
    <s v="Closed"/>
    <s v="Traffic Tech"/>
    <n v="2250"/>
    <n v="0.13631980173171099"/>
    <n v="136.31980173171098"/>
    <m/>
  </r>
  <r>
    <x v="102"/>
    <s v="Wesco-Greenfield IN"/>
    <s v="21-20147-1"/>
    <n v="36960"/>
    <n v="16764.760320000001"/>
    <n v="16.764760320000001"/>
    <n v="44"/>
    <s v="Closed"/>
    <s v="Traffic Tech"/>
    <n v="1555.56"/>
    <n v="9.278748817805943E-2"/>
    <n v="92.787488178059434"/>
    <m/>
  </r>
  <r>
    <x v="103"/>
    <s v="Border States-Pewaukee WI"/>
    <s v="21-20085-1/21-20039-2"/>
    <n v="13460"/>
    <n v="6105.3483200000001"/>
    <n v="6.1053483200000001"/>
    <n v="15"/>
    <s v="LTL"/>
    <s v="Flock Freight"/>
    <n v="1174"/>
    <n v="0.19229042119582129"/>
    <n v="192.2904211958213"/>
    <m/>
  </r>
  <r>
    <x v="103"/>
    <s v="Techline-Austin TX"/>
    <s v="21-20128-1"/>
    <n v="35948"/>
    <n v="16305.725216000001"/>
    <n v="16.305725216000003"/>
    <n v="44"/>
    <s v="Closed"/>
    <s v="Landry Logistics"/>
    <n v="2200"/>
    <n v="0.13492193513976605"/>
    <n v="134.92193513976605"/>
    <m/>
  </r>
  <r>
    <x v="103"/>
    <s v="Border States-Brighton CO"/>
    <s v="21-20087-1"/>
    <n v="14706"/>
    <n v="6670.5239519999996"/>
    <n v="6.6705239519999999"/>
    <n v="18"/>
    <s v="LTL"/>
    <s v="Flock Freight"/>
    <n v="2402"/>
    <n v="0.36009165356190903"/>
    <n v="360.09165356190897"/>
    <m/>
  </r>
  <r>
    <x v="104"/>
    <s v="Graybar-Manchester NH"/>
    <s v="21-20130-1"/>
    <n v="11580"/>
    <n v="5252.5953600000003"/>
    <n v="5.2525953599999999"/>
    <n v="14"/>
    <s v="LTL"/>
    <s v="Flock Freight"/>
    <n v="2374"/>
    <n v="0.45196704434510254"/>
    <n v="451.96704434510258"/>
    <m/>
  </r>
  <r>
    <x v="104"/>
    <s v="Border States-Zapata TX"/>
    <s v="21-20144-1"/>
    <n v="771"/>
    <n v="349.71943199999998"/>
    <n v="0.349719432"/>
    <n v="1"/>
    <s v="LTL"/>
    <s v="Knichel Logistics"/>
    <n v="291.75"/>
    <n v="0.83424017456370569"/>
    <n v="834.24017456370564"/>
    <m/>
  </r>
  <r>
    <x v="104"/>
    <s v="Central Elec-Jefferson City MO"/>
    <s v="21-20156-2"/>
    <n v="9924"/>
    <n v="4501.4470080000001"/>
    <n v="4.5014470080000004"/>
    <n v="12"/>
    <s v="LTL"/>
    <s v="Flock Freight"/>
    <n v="760"/>
    <n v="0.16883459888549687"/>
    <n v="168.83459888549686"/>
    <m/>
  </r>
  <r>
    <x v="104"/>
    <s v="Techline-Austin TX"/>
    <s v="21-20128-4"/>
    <n v="43700"/>
    <n v="19821.970399999998"/>
    <n v="19.821970399999998"/>
    <n v="46"/>
    <s v="Closed"/>
    <s v="Landry Logistics"/>
    <n v="2200"/>
    <n v="0.11098795708019019"/>
    <n v="110.98795708019018"/>
    <m/>
  </r>
  <r>
    <x v="104"/>
    <s v="Techline-Austin TX"/>
    <s v="21-20128-3/21-20128-8"/>
    <n v="39160"/>
    <n v="17762.66272"/>
    <n v="17.762662720000002"/>
    <n v="44"/>
    <s v="Closed"/>
    <s v="Landry Logistics"/>
    <n v="2200"/>
    <n v="0.1238553045047066"/>
    <n v="123.8553045047066"/>
    <m/>
  </r>
  <r>
    <x v="104"/>
    <s v="Ameren-Maryland Heights MO"/>
    <s v="21-20104-1"/>
    <n v="5789"/>
    <n v="2625.8440879999998"/>
    <n v="2.625844088"/>
    <n v="7"/>
    <s v="LTL"/>
    <s v="Customer Set Up"/>
    <m/>
    <n v="0"/>
    <n v="0"/>
    <m/>
  </r>
  <r>
    <x v="104"/>
    <s v="Border States-Brighton CO"/>
    <s v="21-20069-2"/>
    <n v="35948"/>
    <n v="16305.725216000001"/>
    <n v="16.305725216000003"/>
    <n v="44"/>
    <s v="Closed"/>
    <s v="Traffic Tech"/>
    <n v="3850"/>
    <n v="0.2361133864945906"/>
    <n v="236.11338649459057"/>
    <m/>
  </r>
  <r>
    <x v="104"/>
    <s v="Wesco-Greenfield IN"/>
    <s v="21-20147-2"/>
    <n v="17974"/>
    <n v="8152.8626080000004"/>
    <n v="8.1528626080000013"/>
    <n v="22"/>
    <s v="Closed"/>
    <s v="Traffic Tech"/>
    <n v="1555.56"/>
    <n v="0.19079924129637679"/>
    <n v="190.79924129637678"/>
    <m/>
  </r>
  <r>
    <x v="104"/>
    <s v="GTC-Forsyth GA"/>
    <s v="21-20038-1"/>
    <n v="28595"/>
    <n v="12970.463239999999"/>
    <n v="12.970463239999999"/>
    <n v="35"/>
    <s v="Closed"/>
    <s v="Jax Transportation"/>
    <n v="1600"/>
    <n v="0.12335719784207184"/>
    <n v="123.35719784207184"/>
    <m/>
  </r>
  <r>
    <x v="104"/>
    <s v="Border States-Brighton CO"/>
    <s v="21-20069-1"/>
    <n v="6616"/>
    <n v="3000.9646720000001"/>
    <n v="3.0009646720000003"/>
    <n v="8"/>
    <s v="LTL"/>
    <s v="Knichel Logistics"/>
    <n v="1141.9100000000001"/>
    <n v="0.3805143095000087"/>
    <n v="380.51430950000866"/>
    <m/>
  </r>
  <r>
    <x v="104"/>
    <s v="Central Elec-Jefferson City MO"/>
    <s v="21-20156-1"/>
    <n v="36388"/>
    <n v="16505.305695999999"/>
    <n v="16.505305696000001"/>
    <n v="44"/>
    <s v="Closed"/>
    <s v="Jax Transportation"/>
    <n v="1500"/>
    <n v="9.0879867821140659E-2"/>
    <n v="90.87986782114065"/>
    <m/>
  </r>
  <r>
    <x v="104"/>
    <s v="M&amp;A Elect-Poplar Bluff MO"/>
    <s v="21-19735-3"/>
    <n v="1300"/>
    <n v="589.66959999999995"/>
    <n v="0.5896695999999999"/>
    <n v="1"/>
    <s v="LTL"/>
    <s v="Knichel Logistics"/>
    <n v="256"/>
    <n v="0.43414142428234392"/>
    <n v="434.14142428234396"/>
    <m/>
  </r>
  <r>
    <x v="105"/>
    <s v="Choctaw Kaul-Newark DE"/>
    <s v="21-20154-1/21-20155-1"/>
    <n v="29652"/>
    <n v="13449.909984"/>
    <n v="13.449909984"/>
    <n v="35"/>
    <s v="Flatbed"/>
    <s v="Landry Logistics"/>
    <n v="3900"/>
    <n v="0.28996476590842885"/>
    <n v="289.96476590842883"/>
    <m/>
  </r>
  <r>
    <x v="105"/>
    <s v="Oncor-Irving TX"/>
    <s v="21-20161-1"/>
    <n v="2240"/>
    <n v="1016.04608"/>
    <n v="1.01604608"/>
    <n v="3"/>
    <s v="LTL"/>
    <s v="Customer Set Up"/>
    <m/>
    <n v="0"/>
    <n v="0"/>
    <m/>
  </r>
  <r>
    <x v="105"/>
    <s v="Duke-Garner NC"/>
    <s v="21-20078-1"/>
    <n v="3800"/>
    <n v="1723.6496"/>
    <n v="1.7236495999999999"/>
    <n v="4"/>
    <s v="LTL"/>
    <s v="Customer Set Up"/>
    <m/>
    <n v="0"/>
    <n v="0"/>
    <m/>
  </r>
  <r>
    <x v="105"/>
    <s v="Techline-Austin TX"/>
    <s v="21-20128-5"/>
    <n v="43700"/>
    <n v="19821.970399999998"/>
    <n v="19.821970399999998"/>
    <n v="46"/>
    <s v="Closed"/>
    <s v="Landry Logistics"/>
    <n v="2200"/>
    <n v="0.11098795708019019"/>
    <n v="110.98795708019018"/>
    <m/>
  </r>
  <r>
    <x v="105"/>
    <s v="Techline-Austin TX"/>
    <s v="21-20128-6"/>
    <n v="43700"/>
    <n v="19821.970399999998"/>
    <n v="19.821970399999998"/>
    <n v="46"/>
    <s v="Closed"/>
    <s v="Landry Logistics"/>
    <n v="2200"/>
    <n v="0.11098795708019019"/>
    <n v="110.98795708019018"/>
    <m/>
  </r>
  <r>
    <x v="105"/>
    <s v="Choctaw Kaul-Bridgeton NJ"/>
    <s v="21-20153-1"/>
    <n v="9854"/>
    <n v="4469.6955680000001"/>
    <n v="4.4696955680000006"/>
    <n v="12"/>
    <s v="Flatbed"/>
    <s v="Landry Logistics"/>
    <n v="2000"/>
    <n v="0.44745776744139992"/>
    <n v="447.45776744139988"/>
    <m/>
  </r>
  <r>
    <x v="105"/>
    <s v="Wesco-Dayton NJ"/>
    <s v="21-20086-1"/>
    <n v="5700"/>
    <n v="2585.4744000000001"/>
    <n v="2.5854744000000003"/>
    <n v="6"/>
    <s v="LTL"/>
    <s v="Customer Set Up"/>
    <m/>
    <n v="0"/>
    <n v="0"/>
    <m/>
  </r>
  <r>
    <x v="105"/>
    <s v="PPL-Hasle Township PA"/>
    <s v="21-19969-1"/>
    <n v="15640"/>
    <n v="7094.1788799999995"/>
    <n v="7.0941788799999994"/>
    <n v="17"/>
    <s v="LTL"/>
    <s v="Flock Freight"/>
    <n v="2027"/>
    <n v="0.28572721865169548"/>
    <n v="285.72721865169547"/>
    <m/>
  </r>
  <r>
    <x v="106"/>
    <s v="Techline-Austin TX"/>
    <s v="21-20128-2"/>
    <n v="35948"/>
    <n v="16305.725216000001"/>
    <n v="16.305725216000003"/>
    <n v="44"/>
    <s v="Closed"/>
    <s v="Landry Logistics"/>
    <n v="2200"/>
    <n v="0.13492193513976605"/>
    <n v="134.92193513976605"/>
    <m/>
  </r>
  <r>
    <x v="106"/>
    <s v="Techline-Austin TX"/>
    <s v="21-20128-7"/>
    <n v="43700"/>
    <n v="19821.970399999998"/>
    <n v="19.821970399999998"/>
    <n v="46"/>
    <s v="Closed"/>
    <s v="Landry Logistics"/>
    <n v="2200"/>
    <n v="0.11098795708019019"/>
    <n v="110.98795708019018"/>
    <m/>
  </r>
  <r>
    <x v="106"/>
    <s v="PPL-Hasle Township PA"/>
    <s v="21-20143-2"/>
    <n v="36720"/>
    <n v="16655.898239999999"/>
    <n v="16.655898239999999"/>
    <n v="44"/>
    <s v="Closed"/>
    <s v="Jax Transportation"/>
    <n v="4200"/>
    <n v="0.25216292387722949"/>
    <n v="252.16292387722947"/>
    <m/>
  </r>
  <r>
    <x v="106"/>
    <s v="PPL-Hasle Township PA"/>
    <s v="21-20143-3/21-20143-4"/>
    <n v="40560"/>
    <n v="18397.69152"/>
    <n v="18.397691520000002"/>
    <n v="46"/>
    <s v="Closed"/>
    <s v="Jax Transportation"/>
    <n v="4200"/>
    <n v="0.22828951096577577"/>
    <n v="228.28951096577575"/>
    <m/>
  </r>
  <r>
    <x v="106"/>
    <s v="Anixter-Ashland VA"/>
    <s v="21-18297-2"/>
    <n v="37800"/>
    <n v="17145.777600000001"/>
    <n v="17.145777600000002"/>
    <n v="45"/>
    <s v="Closed"/>
    <s v="Jax Transportation"/>
    <n v="4200"/>
    <n v="0.24495826890930858"/>
    <n v="244.95826890930857"/>
    <m/>
  </r>
  <r>
    <x v="106"/>
    <s v="Basin-Beulah ND"/>
    <s v="21-20097-1"/>
    <n v="1690"/>
    <n v="766.57047999999998"/>
    <n v="0.76657047999999994"/>
    <n v="2"/>
    <s v="LTL"/>
    <s v="Customer Set Up"/>
    <m/>
    <n v="0"/>
    <n v="0"/>
    <m/>
  </r>
  <r>
    <x v="106"/>
    <s v="Stuart Irby-Des Moines IA"/>
    <s v="21-20158-1"/>
    <n v="7200"/>
    <n v="3265.8624"/>
    <n v="3.2658624000000001"/>
    <n v="9"/>
    <s v="LTL"/>
    <s v="Trinity Logistics"/>
    <n v="1171.95"/>
    <n v="0.35884855406033028"/>
    <n v="358.84855406033029"/>
    <m/>
  </r>
  <r>
    <x v="107"/>
    <s v="SRP-Gila Bend AZ"/>
    <s v="21-20070-1"/>
    <n v="22800"/>
    <n v="10341.8976"/>
    <n v="10.341897600000001"/>
    <n v="24"/>
    <s v="Closed"/>
    <s v="Customer Set Up"/>
    <m/>
    <n v="0"/>
    <n v="0"/>
    <m/>
  </r>
  <r>
    <x v="107"/>
    <s v="PPL-Hasle Township PA"/>
    <s v="21-20143-1"/>
    <n v="42750"/>
    <n v="19391.058000000001"/>
    <n v="19.391058000000001"/>
    <n v="45"/>
    <s v="Closed"/>
    <s v="Jax Transportation"/>
    <n v="4200"/>
    <n v="0.21659467987770445"/>
    <n v="216.59467987770444"/>
    <m/>
  </r>
  <r>
    <x v="107"/>
    <s v="Anixter-Ashland VA"/>
    <s v="21-19672-2"/>
    <n v="43560"/>
    <n v="19758.467519999998"/>
    <n v="19.75846752"/>
    <n v="44"/>
    <s v="Closed"/>
    <s v="Traffic Tech"/>
    <n v="3050.4"/>
    <n v="0.15438444286796593"/>
    <n v="154.3844428679659"/>
    <m/>
  </r>
  <r>
    <x v="107"/>
    <s v="Anixter-Ashland VA"/>
    <s v="21-18897-2"/>
    <n v="35150"/>
    <n v="15943.7588"/>
    <n v="15.943758799999999"/>
    <n v="37"/>
    <s v="Closed"/>
    <s v="Traffic Tech"/>
    <n v="3050.4"/>
    <n v="0.19132251298232134"/>
    <n v="191.32251298232134"/>
    <m/>
  </r>
  <r>
    <x v="107"/>
    <s v="Border States-Pewaukee WI"/>
    <s v="21-20175-1"/>
    <n v="10751"/>
    <n v="4876.5675920000003"/>
    <n v="4.8765675920000007"/>
    <n v="13"/>
    <s v="LTL"/>
    <s v="Flock Freight"/>
    <n v="1164"/>
    <n v="0.23869247745269434"/>
    <n v="238.69247745269433"/>
    <m/>
  </r>
  <r>
    <x v="107"/>
    <s v="Border States-Amarillo TX"/>
    <s v="21-20180-1"/>
    <n v="36960"/>
    <n v="16764.760320000001"/>
    <n v="16.764760320000001"/>
    <n v="44"/>
    <s v="Flatbed"/>
    <s v="Landry Logistics"/>
    <n v="3010"/>
    <n v="0.17954327664375461"/>
    <n v="179.54327664375461"/>
    <m/>
  </r>
  <r>
    <x v="108"/>
    <s v="Anixter-Ashland VA"/>
    <s v="21-19638-2/21-19672-3"/>
    <n v="40850"/>
    <n v="18529.233199999999"/>
    <n v="18.5292332"/>
    <n v="43"/>
    <s v="Closed"/>
    <s v="Traffic Tech"/>
    <n v="3050.4"/>
    <n v="0.16462634838013698"/>
    <n v="164.62634838013696"/>
    <m/>
  </r>
  <r>
    <x v="108"/>
    <s v="Anixter-Ashland VA"/>
    <s v="21-18850-2"/>
    <n v="35150"/>
    <n v="15943.7588"/>
    <n v="15.943758799999999"/>
    <n v="37"/>
    <s v="Closed"/>
    <s v="Traffic Tech"/>
    <n v="3050.4"/>
    <n v="0.19132251298232134"/>
    <n v="191.32251298232134"/>
    <m/>
  </r>
  <r>
    <x v="108"/>
    <s v="Anixter-Ashland VA"/>
    <s v="21-18313-5/21-20082-2"/>
    <n v="30170"/>
    <n v="13684.870639999999"/>
    <n v="13.68487064"/>
    <n v="37"/>
    <s v="Closed"/>
    <s v="Traffic Tech"/>
    <n v="3050.4"/>
    <n v="0.22290309351437174"/>
    <n v="222.90309351437173"/>
    <m/>
  </r>
  <r>
    <x v="108"/>
    <s v="Border States-Lubbock TX"/>
    <s v="21-20179-1"/>
    <n v="12255"/>
    <n v="5558.7699599999996"/>
    <n v="5.5587699599999993"/>
    <n v="15"/>
    <s v="LTL"/>
    <s v="Flock Freight"/>
    <n v="1583"/>
    <n v="0.28477523110166625"/>
    <n v="284.77523110166629"/>
    <m/>
  </r>
  <r>
    <x v="108"/>
    <s v="Resco-Williston ND"/>
    <s v="21-19296-2"/>
    <n v="9924"/>
    <n v="4501.4470080000001"/>
    <n v="4.5014470080000004"/>
    <n v="12"/>
    <s v="LTL"/>
    <s v="Flock Freight"/>
    <n v="2496"/>
    <n v="0.55448836686605285"/>
    <n v="554.48836686605284"/>
    <m/>
  </r>
  <r>
    <x v="109"/>
    <s v="Techline-Fort Worth TX "/>
    <s v="21-19991-1"/>
    <n v="4600"/>
    <n v="2086.5232000000001"/>
    <n v="2.0865232000000002"/>
    <n v="5"/>
    <s v="LTL"/>
    <s v="Knichel Logistics"/>
    <n v="561.52"/>
    <n v="0.26911754443947711"/>
    <n v="269.11754443947706"/>
    <m/>
  </r>
  <r>
    <x v="110"/>
    <s v="Wesco-Orlando FL"/>
    <s v="21-20127-2"/>
    <n v="35280"/>
    <n v="16002.725759999999"/>
    <n v="16.002725760000001"/>
    <n v="48"/>
    <s v="Closed "/>
    <s v="Traffic Tech"/>
    <n v="3333.33"/>
    <n v="0.20829763941414942"/>
    <n v="208.29763941414939"/>
    <m/>
  </r>
  <r>
    <x v="110"/>
    <s v="National Grid-Whitinsville MA"/>
    <s v="21-20123-1"/>
    <n v="33080"/>
    <n v="15004.82336"/>
    <n v="15.004823360000001"/>
    <n v="40"/>
    <s v="Flatbed"/>
    <s v="Landry Logistics"/>
    <n v="5400"/>
    <n v="0.35988427657171701"/>
    <n v="359.88427657171695"/>
    <m/>
  </r>
  <r>
    <x v="110"/>
    <s v="National Grid- Clifton Park NY"/>
    <s v="21-20090-1"/>
    <n v="29280"/>
    <n v="13281.17376"/>
    <n v="13.28117376"/>
    <n v="30"/>
    <s v="Flatbed"/>
    <s v="Landry Logistics"/>
    <n v="5000"/>
    <n v="0.37647274934832264"/>
    <n v="376.47274934832268"/>
    <m/>
  </r>
  <r>
    <x v="110"/>
    <s v="Wesco-Orlando FL"/>
    <s v="21-20127-4"/>
    <n v="37008"/>
    <n v="16786.532736000001"/>
    <n v="16.786532736000002"/>
    <n v="48"/>
    <s v="Closed "/>
    <s v="Traffic Tech"/>
    <n v="3333.33"/>
    <n v="0.19857167959714631"/>
    <n v="198.5716795971463"/>
    <m/>
  </r>
  <r>
    <x v="111"/>
    <s v="Wesco-Orlando FL"/>
    <s v="21-20127-1"/>
    <n v="35280"/>
    <n v="16002.725759999999"/>
    <n v="16.002725760000001"/>
    <n v="48"/>
    <s v="Closed "/>
    <s v="Traffic Tech"/>
    <n v="3333.33"/>
    <n v="0.20829763941414942"/>
    <n v="208.29763941414939"/>
    <m/>
  </r>
  <r>
    <x v="111"/>
    <s v="Wesco-Orlando FL"/>
    <s v="21-20127-3"/>
    <n v="35520"/>
    <n v="16111.58784"/>
    <n v="16.111587840000002"/>
    <n v="48"/>
    <s v="Closed "/>
    <s v="Traffic Tech"/>
    <n v="3333.33"/>
    <n v="0.20689022293162138"/>
    <n v="206.89022293162134"/>
    <m/>
  </r>
  <r>
    <x v="111"/>
    <s v="Wesco-Orlando FL"/>
    <s v="21-20148-1/21-20149-1"/>
    <n v="14700"/>
    <n v="6667.8023999999996"/>
    <n v="6.6678023999999994"/>
    <n v="20"/>
    <s v="LTL"/>
    <s v="Flock Freight"/>
    <n v="2100"/>
    <n v="0.31494634574053965"/>
    <n v="314.9463457405397"/>
    <m/>
  </r>
  <r>
    <x v="111"/>
    <s v="Wesco-Orlando FL"/>
    <s v="21-20127-5"/>
    <n v="37008"/>
    <n v="16786.532736000001"/>
    <n v="16.786532736000002"/>
    <n v="48"/>
    <s v="Closed "/>
    <s v="Traffic Tech"/>
    <n v="3333.33"/>
    <n v="0.19857167959714631"/>
    <n v="198.5716795971463"/>
    <m/>
  </r>
  <r>
    <x v="112"/>
    <s v="Stuart Irby-Delta UT"/>
    <s v="21-19342-4"/>
    <n v="37576"/>
    <n v="17044.172992"/>
    <n v="17.044172992"/>
    <n v="44"/>
    <s v="Flatbed"/>
    <s v="Landry Logistics"/>
    <n v="5850"/>
    <n v="0.34322580525002921"/>
    <n v="343.22580525002923"/>
    <m/>
  </r>
  <r>
    <x v="112"/>
    <s v="Wesco-Orlando FL"/>
    <s v="21-20127-6"/>
    <n v="30135"/>
    <n v="13668.994919999999"/>
    <n v="13.668994919999999"/>
    <n v="41"/>
    <s v="Closed "/>
    <s v="Traffic Tech"/>
    <n v="3333.33"/>
    <n v="0.24386065102144322"/>
    <n v="243.8606510214432"/>
    <m/>
  </r>
  <r>
    <x v="112"/>
    <s v="Choctaw Kaul-Chicago IL"/>
    <s v="21-20185-1/21-20189-1"/>
    <n v="2937"/>
    <n v="1332.1997039999999"/>
    <n v="1.332199704"/>
    <n v="4"/>
    <s v="Flatbed"/>
    <s v="Landry Logistics"/>
    <n v="900"/>
    <n v="0.67557438820749061"/>
    <n v="675.57438820749053"/>
    <m/>
  </r>
  <r>
    <x v="112"/>
    <s v="Techline-San Antonio TX"/>
    <s v="21-20195-1"/>
    <n v="1410"/>
    <n v="639.56471999999997"/>
    <n v="0.63956471999999998"/>
    <n v="2"/>
    <s v="LTL"/>
    <s v="Knichel Logistics"/>
    <n v="294.69"/>
    <n v="0.4607665038184095"/>
    <n v="460.76650381840949"/>
    <m/>
  </r>
  <r>
    <x v="112"/>
    <s v="Anixter-Ashland VA"/>
    <s v="21-18422-3/21-18897-3"/>
    <n v="34197"/>
    <n v="15511.485623999999"/>
    <n v="15.511485623999999"/>
    <n v="42"/>
    <s v="Closed "/>
    <s v="Jax Transportation"/>
    <n v="2800"/>
    <n v="0.18051140089816584"/>
    <n v="180.51140089816585"/>
    <m/>
  </r>
  <r>
    <x v="112"/>
    <s v="Anixter-Ashland VA"/>
    <s v="21-18526-1"/>
    <n v="23693"/>
    <n v="10746.955255999999"/>
    <n v="10.746955256"/>
    <n v="29"/>
    <s v="Closed "/>
    <s v="Jax Transportation"/>
    <n v="2800"/>
    <n v="0.26053890923541034"/>
    <n v="260.53890923541036"/>
    <m/>
  </r>
  <r>
    <x v="112"/>
    <s v="Wesco-Clayton NC"/>
    <s v="21-20073-1"/>
    <n v="13152"/>
    <n v="5965.6419839999999"/>
    <n v="5.9656419840000003"/>
    <n v="16"/>
    <s v="LTL"/>
    <s v="Flock Freight"/>
    <n v="1579"/>
    <n v="0.26468232660205177"/>
    <n v="264.68232660205172"/>
    <m/>
  </r>
  <r>
    <x v="113"/>
    <s v="National Grid-Buffalo NY"/>
    <s v="21-20101-2"/>
    <n v="33080"/>
    <n v="15004.82336"/>
    <n v="15.004823360000001"/>
    <n v="40"/>
    <s v="Flatbed"/>
    <s v="Landry Logistics"/>
    <n v="4250"/>
    <n v="0.28324225470922171"/>
    <n v="283.2422547092217"/>
    <m/>
  </r>
  <r>
    <x v="113"/>
    <s v="Stuart Irby-Delta UT"/>
    <s v="21-19342-5"/>
    <n v="9000"/>
    <n v="4082.328"/>
    <n v="4.0823280000000004"/>
    <n v="11"/>
    <s v="Flatbed"/>
    <s v="Landry Logistics"/>
    <n v="2700"/>
    <n v="0.66138732605513328"/>
    <n v="661.38732605513314"/>
    <m/>
  </r>
  <r>
    <x v="113"/>
    <s v="KBS-Houston TX"/>
    <s v="21-20157-1"/>
    <n v="4231"/>
    <n v="1919.1477520000001"/>
    <n v="1.9191477520000002"/>
    <n v="5"/>
    <s v="LTL"/>
    <s v="Knichel Logistics"/>
    <n v="583.59"/>
    <n v="0.30408810337391884"/>
    <n v="304.08810337391884"/>
    <m/>
  </r>
  <r>
    <x v="113"/>
    <s v="Techline-Austin TX"/>
    <s v="21-20163-1"/>
    <n v="5880"/>
    <n v="2667.1209600000002"/>
    <n v="2.6671209600000001"/>
    <n v="7"/>
    <s v="LTL"/>
    <s v="Trinity Logistics"/>
    <n v="700.7"/>
    <n v="0.26271774340523346"/>
    <n v="262.71774340523348"/>
    <m/>
  </r>
  <r>
    <x v="113"/>
    <s v="Border States-Hermiston OR"/>
    <s v="21-20211-3"/>
    <n v="30120"/>
    <n v="13662.19104"/>
    <n v="13.66219104"/>
    <n v="36"/>
    <s v="Closed "/>
    <s v="Traffic Tech"/>
    <n v="5900"/>
    <n v="0.43184874100545445"/>
    <n v="431.84874100545443"/>
    <s v="Address change from Yakima WA to Hermiston OR"/>
  </r>
  <r>
    <x v="113"/>
    <s v="Stuart Irby-Waterville ME"/>
    <s v="21-20201-1"/>
    <n v="3855"/>
    <n v="1748.59716"/>
    <n v="1.7485971600000001"/>
    <n v="5"/>
    <s v="LTL"/>
    <s v="Knichel Logistics"/>
    <n v="1044.77"/>
    <n v="0.59749039052539687"/>
    <n v="597.49039052539695"/>
    <m/>
  </r>
  <r>
    <x v="114"/>
    <s v="National Grid-Buffalo NY"/>
    <s v="21-20101-1"/>
    <n v="28880"/>
    <n v="13099.73696"/>
    <n v="13.099736960000001"/>
    <n v="40"/>
    <s v="Flatbed"/>
    <s v="Landry Logistics"/>
    <n v="4250"/>
    <n v="0.32443399535252959"/>
    <n v="324.43399535252956"/>
    <m/>
  </r>
  <r>
    <x v="114"/>
    <s v="Border States-Hermiston OR"/>
    <s v="21-20211-1"/>
    <n v="35948"/>
    <n v="16305.725216000001"/>
    <n v="16.305725216000003"/>
    <n v="44"/>
    <s v="Closed "/>
    <s v="Traffic Tech"/>
    <n v="5900"/>
    <n v="0.36183609878391809"/>
    <n v="361.83609878391803"/>
    <s v="Address change from Yakima WA to Hermiston OR"/>
  </r>
  <r>
    <x v="114"/>
    <s v="Wesco-Charlotte NC"/>
    <s v="21-19926-1"/>
    <n v="22880"/>
    <n v="10378.184960000001"/>
    <n v="10.37818496"/>
    <n v="26"/>
    <s v="Closed "/>
    <s v="Jax Transportation"/>
    <n v="2300"/>
    <n v="0.22161871356742519"/>
    <n v="221.61871356742517"/>
    <m/>
  </r>
  <r>
    <x v="114"/>
    <s v="Border States-Hermiston OR"/>
    <s v="21-20211-2"/>
    <n v="35948"/>
    <n v="16305.725216000001"/>
    <n v="16.305725216000003"/>
    <n v="44"/>
    <s v="Closed "/>
    <s v="Traffic Tech"/>
    <n v="5900"/>
    <n v="0.36183609878391809"/>
    <n v="361.83609878391803"/>
    <m/>
  </r>
  <r>
    <x v="115"/>
    <s v="Anixter-Portland OR"/>
    <s v="21-20061-1"/>
    <n v="2850"/>
    <n v="1292.7372"/>
    <n v="1.2927372000000001"/>
    <n v="3"/>
    <s v="LTL"/>
    <s v="Customer Set Up"/>
    <m/>
    <n v="0"/>
    <n v="0"/>
    <m/>
  </r>
  <r>
    <x v="115"/>
    <s v="Border States-Lubbock TX"/>
    <s v="21-20223-1"/>
    <n v="10621"/>
    <n v="4817.6006319999997"/>
    <n v="4.8176006319999995"/>
    <n v="13"/>
    <s v="LTL"/>
    <s v="Flock Freight"/>
    <n v="1616"/>
    <n v="0.33543668797824922"/>
    <n v="335.43668797824921"/>
    <m/>
  </r>
  <r>
    <x v="115"/>
    <s v="Border States-Pewaukee WI"/>
    <s v="21-20226-1"/>
    <n v="13232"/>
    <n v="6001.9293440000001"/>
    <n v="6.0019293440000006"/>
    <n v="16"/>
    <s v="LTL"/>
    <s v="Flock Freight"/>
    <n v="1123"/>
    <n v="0.18710650119909175"/>
    <n v="187.10650119909175"/>
    <m/>
  </r>
  <r>
    <x v="115"/>
    <s v="KBS-Lenorah TX"/>
    <s v="21-19451-1"/>
    <n v="12750"/>
    <n v="5783.2979999999998"/>
    <n v="5.7832980000000003"/>
    <n v="14"/>
    <s v="Flatbed"/>
    <s v="Landry Logistics"/>
    <n v="2085"/>
    <n v="0.36052093459475892"/>
    <n v="360.5209345947589"/>
    <m/>
  </r>
  <r>
    <x v="115"/>
    <s v="Georgia Power-McDonough GA"/>
    <s v="21-20164-2"/>
    <n v="21531"/>
    <n v="9766.2893519999998"/>
    <n v="9.7662893519999994"/>
    <n v="27"/>
    <s v="Closed "/>
    <s v="Jax Transportation"/>
    <n v="1700"/>
    <n v="0.17406815820502633"/>
    <n v="174.06815820502632"/>
    <m/>
  </r>
  <r>
    <x v="115"/>
    <s v="Georgia Power-McDonough GA"/>
    <s v="21-20164-1"/>
    <n v="36960"/>
    <n v="16764.760320000001"/>
    <n v="16.764760320000001"/>
    <n v="44"/>
    <s v="Closed "/>
    <s v="Jax Transportation"/>
    <n v="1700"/>
    <n v="0.10140317949979495"/>
    <n v="101.40317949979496"/>
    <m/>
  </r>
  <r>
    <x v="115"/>
    <s v="Choctaw Kaul-Joliet IL"/>
    <s v="21-20172-1"/>
    <n v="39216"/>
    <n v="17788.063871999999"/>
    <n v="17.788063871999999"/>
    <n v="48"/>
    <s v="Flatbed"/>
    <s v="Landry Logistics"/>
    <n v="2050"/>
    <n v="0.11524581959855018"/>
    <n v="115.24581959855018"/>
    <m/>
  </r>
  <r>
    <x v="116"/>
    <s v="Border States-Burlington CO"/>
    <s v="21-20141-2"/>
    <n v="36388"/>
    <n v="16505.305695999999"/>
    <n v="16.505305696000001"/>
    <n v="44"/>
    <s v="Flatbed"/>
    <s v="Landry Logistics"/>
    <n v="4620"/>
    <n v="0.27990999288911322"/>
    <n v="279.9099928891132"/>
    <m/>
  </r>
  <r>
    <x v="116"/>
    <s v="Graybar-Manchester NH"/>
    <s v="21-20228-1"/>
    <n v="36380"/>
    <n v="16501.676960000001"/>
    <n v="16.501676960000001"/>
    <n v="44"/>
    <s v="Closed "/>
    <s v="Traffic Tech"/>
    <n v="4650"/>
    <n v="0.28178954243690391"/>
    <n v="281.7895424369039"/>
    <m/>
  </r>
  <r>
    <x v="116"/>
    <s v="Graybar-Manchester NH"/>
    <s v="21-20228-2"/>
    <n v="13760"/>
    <n v="6241.4259199999997"/>
    <n v="6.2414259200000002"/>
    <n v="16"/>
    <s v="LTL"/>
    <s v="Flock Freight"/>
    <n v="2745"/>
    <n v="0.43980334545090621"/>
    <n v="439.80334545090619"/>
    <m/>
  </r>
  <r>
    <x v="117"/>
    <s v="Border States-Burlington CO"/>
    <s v="21-20141-1"/>
    <n v="36388"/>
    <n v="16505.305695999999"/>
    <n v="16.505305696000001"/>
    <n v="44"/>
    <s v="Flatbed"/>
    <s v="Landry Logistics"/>
    <n v="4620"/>
    <n v="0.27990999288911322"/>
    <n v="279.9099928891132"/>
    <m/>
  </r>
  <r>
    <x v="117"/>
    <s v="Border States-Hermiston OR"/>
    <s v="21-20065-1"/>
    <n v="41800"/>
    <n v="18960.1456"/>
    <n v="18.960145600000001"/>
    <n v="44"/>
    <s v="Closed "/>
    <s v="Traffic Tech"/>
    <n v="5900"/>
    <n v="0.31117904495416954"/>
    <n v="311.17904495416951"/>
    <m/>
  </r>
  <r>
    <x v="117"/>
    <s v="Border States-Hermiston OR"/>
    <s v="21-20065-2"/>
    <n v="43560"/>
    <n v="19758.467519999998"/>
    <n v="19.75846752"/>
    <n v="44"/>
    <s v="Closed "/>
    <s v="Traffic Tech"/>
    <n v="5900"/>
    <n v="0.29860615424895059"/>
    <n v="298.60615424895059"/>
    <m/>
  </r>
  <r>
    <x v="117"/>
    <s v="Border States-Burlington CO"/>
    <s v="21-20141-3"/>
    <n v="36388"/>
    <n v="16505.305695999999"/>
    <n v="16.505305696000001"/>
    <n v="44"/>
    <s v="Flatbed"/>
    <s v="Landry Logistics"/>
    <n v="4620"/>
    <n v="0.27990999288911322"/>
    <n v="279.9099928891132"/>
    <m/>
  </r>
  <r>
    <x v="117"/>
    <s v="CEE-US-West Columbia SC"/>
    <s v="21-20229-1"/>
    <n v="23973"/>
    <n v="10873.961015999999"/>
    <n v="10.873961015999999"/>
    <n v="30"/>
    <s v="Closed "/>
    <s v="Jax Transportation"/>
    <n v="2200"/>
    <n v="0.20231817980245739"/>
    <n v="202.31817980245739"/>
    <m/>
  </r>
  <r>
    <x v="117"/>
    <s v="Wesco-Clayton NC"/>
    <s v="21-20190-1"/>
    <n v="11508"/>
    <n v="5219.9367359999997"/>
    <n v="5.2199367360000002"/>
    <n v="14"/>
    <s v="LTL"/>
    <s v="Flock Freight"/>
    <n v="1638"/>
    <n v="0.31379690652250852"/>
    <n v="313.79690652250844"/>
    <m/>
  </r>
  <r>
    <x v="117"/>
    <s v="Border States-Hermiston OR"/>
    <s v="21-20065-3"/>
    <n v="2850"/>
    <n v="1292.7372"/>
    <n v="1.2927372000000001"/>
    <n v="3"/>
    <s v="LTL"/>
    <s v="Knichel Logistics"/>
    <n v="726.38"/>
    <n v="0.56189301274845338"/>
    <n v="561.89301274845332"/>
    <m/>
  </r>
  <r>
    <x v="117"/>
    <s v="Alpha Power-Woods Cross UT"/>
    <s v="21-20196-1"/>
    <n v="150"/>
    <n v="68.038799999999995"/>
    <n v="6.8038799999999997E-2"/>
    <n v="1"/>
    <s v="LTL"/>
    <s v="Knichel Logistics"/>
    <n v="280.8"/>
    <n v="4.1270569145840321"/>
    <n v="4127.0569145840318"/>
    <m/>
  </r>
  <r>
    <x v="117"/>
    <s v="Turtle &amp; Hughes-Bridgewater NJ"/>
    <s v="21-20188-1"/>
    <n v="510"/>
    <n v="231.33192"/>
    <n v="0.23133192"/>
    <n v="1"/>
    <s v="LTL"/>
    <s v="Knichel Logistics"/>
    <n v="333.92"/>
    <n v="1.4434670321328764"/>
    <n v="1443.4670321328765"/>
    <m/>
  </r>
  <r>
    <x v="117"/>
    <s v="Border States-Frohna MO"/>
    <s v="21-20192-1"/>
    <n v="4600"/>
    <n v="2086.5232000000001"/>
    <n v="2.0865232000000002"/>
    <n v="5"/>
    <s v="Flatbed"/>
    <s v="Landry Logistics"/>
    <n v="525"/>
    <n v="0.25161474360793112"/>
    <n v="251.614743607931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CD7F3E-775D-465A-93C5-E8C1B98C286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3:B11" firstHeaderRow="1" firstDataRow="1" firstDataCol="1"/>
  <pivotFields count="14"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dataFiel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3"/>
    <field x="0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Weight lbs." fld="3" baseField="0" baseItem="0" numFmtId="164"/>
  </dataFields>
  <formats count="1">
    <format dxfId="0">
      <pivotArea outline="0" collapsedLevelsAreSubtotals="1" fieldPosition="0"/>
    </format>
  </formats>
  <chartFormats count="1"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A6F3A8-187A-42C3-B6E8-6261FD91063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1" firstHeaderRow="1" firstDataRow="1" firstDataCol="1"/>
  <pivotFields count="14"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dataField="1" showAll="0"/>
    <pivotField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13"/>
    <field x="0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SO #" fld="2" subtotal="count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9E235-5587-4CD3-9DE0-CB1F98F754BC}">
  <dimension ref="A1:I300"/>
  <sheetViews>
    <sheetView topLeftCell="A34" workbookViewId="0">
      <selection activeCell="F23" sqref="F23"/>
    </sheetView>
  </sheetViews>
  <sheetFormatPr defaultRowHeight="14.6" x14ac:dyDescent="0.4"/>
  <cols>
    <col min="1" max="1" width="16.53515625" customWidth="1"/>
    <col min="2" max="2" width="37.84375" customWidth="1"/>
    <col min="3" max="3" width="38" customWidth="1"/>
    <col min="4" max="4" width="14" customWidth="1"/>
    <col min="5" max="5" width="17.15234375" customWidth="1"/>
    <col min="6" max="6" width="26" customWidth="1"/>
    <col min="7" max="7" width="20.3828125" customWidth="1"/>
    <col min="8" max="8" width="13.53515625" customWidth="1"/>
    <col min="9" max="9" width="37.3828125" customWidth="1"/>
  </cols>
  <sheetData>
    <row r="1" spans="1:9" s="2" customFormat="1" ht="18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9" x14ac:dyDescent="0.4">
      <c r="A2" s="3">
        <v>45659</v>
      </c>
      <c r="B2" s="4" t="s">
        <v>781</v>
      </c>
      <c r="C2" s="4" t="s">
        <v>823</v>
      </c>
      <c r="D2" s="4">
        <v>2313</v>
      </c>
      <c r="E2" s="4">
        <v>3</v>
      </c>
      <c r="F2" s="4" t="s">
        <v>35</v>
      </c>
      <c r="G2" s="4" t="s">
        <v>161</v>
      </c>
      <c r="H2" s="5">
        <v>792.17</v>
      </c>
      <c r="I2" s="4"/>
    </row>
    <row r="3" spans="1:9" ht="15.9" x14ac:dyDescent="0.4">
      <c r="A3" s="3">
        <v>45660</v>
      </c>
      <c r="B3" s="4" t="s">
        <v>824</v>
      </c>
      <c r="C3" s="4" t="s">
        <v>825</v>
      </c>
      <c r="D3" s="4">
        <v>12725</v>
      </c>
      <c r="E3" s="4">
        <v>14</v>
      </c>
      <c r="F3" s="4" t="s">
        <v>11</v>
      </c>
      <c r="G3" s="4" t="s">
        <v>19</v>
      </c>
      <c r="H3" s="5">
        <v>1980</v>
      </c>
      <c r="I3" s="4"/>
    </row>
    <row r="4" spans="1:9" ht="15.9" x14ac:dyDescent="0.4">
      <c r="A4" s="3">
        <v>45663</v>
      </c>
      <c r="B4" s="4" t="s">
        <v>826</v>
      </c>
      <c r="C4" s="4" t="s">
        <v>827</v>
      </c>
      <c r="D4" s="4">
        <v>29216</v>
      </c>
      <c r="E4" s="4">
        <v>48</v>
      </c>
      <c r="F4" s="4" t="s">
        <v>756</v>
      </c>
      <c r="G4" s="4" t="s">
        <v>25</v>
      </c>
      <c r="H4" s="5">
        <v>2950</v>
      </c>
      <c r="I4" s="4"/>
    </row>
    <row r="5" spans="1:9" ht="15.9" x14ac:dyDescent="0.4">
      <c r="A5" s="3">
        <v>45663</v>
      </c>
      <c r="B5" s="4" t="s">
        <v>828</v>
      </c>
      <c r="C5" s="4" t="s">
        <v>829</v>
      </c>
      <c r="D5" s="4">
        <v>41800</v>
      </c>
      <c r="E5" s="4">
        <v>44</v>
      </c>
      <c r="F5" s="4" t="s">
        <v>11</v>
      </c>
      <c r="G5" s="4" t="s">
        <v>25</v>
      </c>
      <c r="H5" s="5">
        <v>5250</v>
      </c>
      <c r="I5" s="4"/>
    </row>
    <row r="6" spans="1:9" ht="15.9" x14ac:dyDescent="0.4">
      <c r="A6" s="3">
        <v>45663</v>
      </c>
      <c r="B6" s="4" t="s">
        <v>828</v>
      </c>
      <c r="C6" s="4" t="s">
        <v>830</v>
      </c>
      <c r="D6" s="4">
        <v>41800</v>
      </c>
      <c r="E6" s="4">
        <v>44</v>
      </c>
      <c r="F6" s="4" t="s">
        <v>11</v>
      </c>
      <c r="G6" s="4" t="s">
        <v>25</v>
      </c>
      <c r="H6" s="5">
        <v>5250</v>
      </c>
      <c r="I6" s="4"/>
    </row>
    <row r="7" spans="1:9" ht="15.9" x14ac:dyDescent="0.4">
      <c r="A7" s="3">
        <v>45663</v>
      </c>
      <c r="B7" s="4" t="s">
        <v>141</v>
      </c>
      <c r="C7" s="4" t="s">
        <v>831</v>
      </c>
      <c r="D7" s="4">
        <v>18791</v>
      </c>
      <c r="E7" s="4">
        <v>23</v>
      </c>
      <c r="F7" s="4" t="s">
        <v>756</v>
      </c>
      <c r="G7" s="4" t="s">
        <v>832</v>
      </c>
      <c r="H7" s="5">
        <v>1700</v>
      </c>
      <c r="I7" s="4"/>
    </row>
    <row r="8" spans="1:9" ht="15.9" x14ac:dyDescent="0.4">
      <c r="A8" s="3">
        <v>45664</v>
      </c>
      <c r="B8" s="4" t="s">
        <v>826</v>
      </c>
      <c r="C8" s="4" t="s">
        <v>833</v>
      </c>
      <c r="D8" s="4">
        <v>39914</v>
      </c>
      <c r="E8" s="4">
        <v>46</v>
      </c>
      <c r="F8" s="4" t="s">
        <v>756</v>
      </c>
      <c r="G8" s="4" t="s">
        <v>25</v>
      </c>
      <c r="H8" s="5">
        <v>2950</v>
      </c>
      <c r="I8" s="4"/>
    </row>
    <row r="9" spans="1:9" ht="15.9" x14ac:dyDescent="0.4">
      <c r="A9" s="3">
        <v>45664</v>
      </c>
      <c r="B9" s="4" t="s">
        <v>834</v>
      </c>
      <c r="C9" s="4" t="s">
        <v>835</v>
      </c>
      <c r="D9" s="4">
        <v>12040</v>
      </c>
      <c r="E9" s="4">
        <v>14</v>
      </c>
      <c r="F9" s="4" t="s">
        <v>756</v>
      </c>
      <c r="G9" s="4" t="s">
        <v>832</v>
      </c>
      <c r="H9" s="5">
        <v>3650</v>
      </c>
      <c r="I9" s="4"/>
    </row>
    <row r="10" spans="1:9" ht="15.9" x14ac:dyDescent="0.4">
      <c r="A10" s="3">
        <v>45664</v>
      </c>
      <c r="B10" s="4" t="s">
        <v>836</v>
      </c>
      <c r="C10" s="4" t="s">
        <v>837</v>
      </c>
      <c r="D10" s="4">
        <v>19950</v>
      </c>
      <c r="E10" s="4">
        <v>21</v>
      </c>
      <c r="F10" s="4" t="s">
        <v>756</v>
      </c>
      <c r="G10" s="4" t="s">
        <v>19</v>
      </c>
      <c r="H10" s="5">
        <v>3000</v>
      </c>
      <c r="I10" s="4"/>
    </row>
    <row r="11" spans="1:9" ht="15.9" x14ac:dyDescent="0.4">
      <c r="A11" s="3">
        <v>45664</v>
      </c>
      <c r="B11" s="4" t="s">
        <v>826</v>
      </c>
      <c r="C11" s="4" t="s">
        <v>838</v>
      </c>
      <c r="D11" s="4">
        <v>41800</v>
      </c>
      <c r="E11" s="4">
        <v>44</v>
      </c>
      <c r="F11" s="4" t="s">
        <v>756</v>
      </c>
      <c r="G11" s="4" t="s">
        <v>25</v>
      </c>
      <c r="H11" s="5">
        <v>2950</v>
      </c>
      <c r="I11" s="4"/>
    </row>
    <row r="12" spans="1:9" ht="15.9" x14ac:dyDescent="0.4">
      <c r="A12" s="3">
        <v>45664</v>
      </c>
      <c r="B12" s="4" t="s">
        <v>826</v>
      </c>
      <c r="C12" s="4" t="s">
        <v>839</v>
      </c>
      <c r="D12" s="4">
        <v>41800</v>
      </c>
      <c r="E12" s="4">
        <v>44</v>
      </c>
      <c r="F12" s="4" t="s">
        <v>756</v>
      </c>
      <c r="G12" s="4" t="s">
        <v>25</v>
      </c>
      <c r="H12" s="5">
        <v>2950</v>
      </c>
      <c r="I12" s="6"/>
    </row>
    <row r="13" spans="1:9" ht="15.9" x14ac:dyDescent="0.4">
      <c r="A13" s="3">
        <v>45664</v>
      </c>
      <c r="B13" s="4" t="s">
        <v>828</v>
      </c>
      <c r="C13" s="4" t="s">
        <v>840</v>
      </c>
      <c r="D13" s="4">
        <v>10933</v>
      </c>
      <c r="E13" s="4">
        <v>13</v>
      </c>
      <c r="F13" s="4" t="s">
        <v>11</v>
      </c>
      <c r="G13" s="4" t="s">
        <v>25</v>
      </c>
      <c r="H13" s="5">
        <v>2450</v>
      </c>
      <c r="I13" s="4"/>
    </row>
    <row r="14" spans="1:9" ht="15.9" x14ac:dyDescent="0.4">
      <c r="A14" s="3">
        <v>45665</v>
      </c>
      <c r="B14" s="4" t="s">
        <v>349</v>
      </c>
      <c r="C14" s="4" t="s">
        <v>841</v>
      </c>
      <c r="D14" s="4">
        <v>38280</v>
      </c>
      <c r="E14" s="4">
        <v>44</v>
      </c>
      <c r="F14" s="4" t="s">
        <v>756</v>
      </c>
      <c r="G14" s="4" t="s">
        <v>19</v>
      </c>
      <c r="H14" s="5">
        <v>1275</v>
      </c>
      <c r="I14" s="4"/>
    </row>
    <row r="15" spans="1:9" ht="15.9" x14ac:dyDescent="0.4">
      <c r="A15" s="3">
        <v>45665</v>
      </c>
      <c r="B15" s="4" t="s">
        <v>842</v>
      </c>
      <c r="C15" s="4" t="s">
        <v>843</v>
      </c>
      <c r="D15" s="4">
        <v>8647</v>
      </c>
      <c r="E15" s="4">
        <v>10</v>
      </c>
      <c r="F15" s="4" t="s">
        <v>11</v>
      </c>
      <c r="G15" s="4" t="s">
        <v>19</v>
      </c>
      <c r="H15" s="5">
        <v>1200</v>
      </c>
      <c r="I15" s="4"/>
    </row>
    <row r="16" spans="1:9" ht="15.9" x14ac:dyDescent="0.4">
      <c r="A16" s="3">
        <v>45665</v>
      </c>
      <c r="B16" s="4" t="s">
        <v>836</v>
      </c>
      <c r="C16" s="4" t="s">
        <v>844</v>
      </c>
      <c r="D16" s="4">
        <v>42180</v>
      </c>
      <c r="E16" s="4">
        <v>44</v>
      </c>
      <c r="F16" s="4" t="s">
        <v>756</v>
      </c>
      <c r="G16" s="4" t="s">
        <v>19</v>
      </c>
      <c r="H16" s="5">
        <v>3000</v>
      </c>
      <c r="I16" s="4"/>
    </row>
    <row r="17" spans="1:9" ht="15.9" x14ac:dyDescent="0.4">
      <c r="A17" s="3">
        <v>45665</v>
      </c>
      <c r="B17" s="4" t="s">
        <v>845</v>
      </c>
      <c r="C17" s="4" t="s">
        <v>846</v>
      </c>
      <c r="D17" s="4">
        <v>10794</v>
      </c>
      <c r="E17" s="4">
        <v>14</v>
      </c>
      <c r="F17" s="4" t="s">
        <v>35</v>
      </c>
      <c r="G17" s="4" t="s">
        <v>161</v>
      </c>
      <c r="H17" s="5">
        <v>804.7</v>
      </c>
      <c r="I17" s="4"/>
    </row>
    <row r="18" spans="1:9" ht="15.9" x14ac:dyDescent="0.4">
      <c r="A18" s="3">
        <v>45666</v>
      </c>
      <c r="B18" s="4" t="s">
        <v>847</v>
      </c>
      <c r="C18" s="4" t="s">
        <v>848</v>
      </c>
      <c r="D18" s="4">
        <v>41800</v>
      </c>
      <c r="E18" s="4">
        <v>44</v>
      </c>
      <c r="F18" s="4" t="s">
        <v>11</v>
      </c>
      <c r="G18" s="4" t="s">
        <v>25</v>
      </c>
      <c r="H18" s="5">
        <v>4800</v>
      </c>
      <c r="I18" s="4" t="s">
        <v>849</v>
      </c>
    </row>
    <row r="19" spans="1:9" ht="15.9" x14ac:dyDescent="0.4">
      <c r="A19" s="3">
        <v>45666</v>
      </c>
      <c r="B19" s="4" t="s">
        <v>486</v>
      </c>
      <c r="C19" s="4" t="s">
        <v>850</v>
      </c>
      <c r="D19" s="4">
        <v>3084</v>
      </c>
      <c r="E19" s="4">
        <v>4</v>
      </c>
      <c r="F19" s="4" t="s">
        <v>35</v>
      </c>
      <c r="G19" s="4" t="s">
        <v>12</v>
      </c>
      <c r="H19" s="5"/>
      <c r="I19" s="4"/>
    </row>
    <row r="20" spans="1:9" ht="15.9" x14ac:dyDescent="0.4">
      <c r="A20" s="3">
        <v>45670</v>
      </c>
      <c r="B20" s="4" t="s">
        <v>842</v>
      </c>
      <c r="C20" s="4" t="s">
        <v>851</v>
      </c>
      <c r="D20" s="4">
        <v>36722</v>
      </c>
      <c r="E20" s="4">
        <v>44</v>
      </c>
      <c r="F20" s="4" t="s">
        <v>11</v>
      </c>
      <c r="G20" s="4" t="s">
        <v>19</v>
      </c>
      <c r="H20" s="5">
        <v>2250</v>
      </c>
      <c r="I20" s="4"/>
    </row>
    <row r="21" spans="1:9" ht="15.9" x14ac:dyDescent="0.4">
      <c r="A21" s="3">
        <v>45670</v>
      </c>
      <c r="B21" s="4" t="s">
        <v>120</v>
      </c>
      <c r="C21" s="4" t="s">
        <v>852</v>
      </c>
      <c r="D21" s="4">
        <v>36520</v>
      </c>
      <c r="E21" s="4">
        <v>44</v>
      </c>
      <c r="F21" s="4" t="s">
        <v>756</v>
      </c>
      <c r="G21" s="4" t="s">
        <v>25</v>
      </c>
      <c r="H21" s="5">
        <v>2800</v>
      </c>
      <c r="I21" s="4"/>
    </row>
    <row r="22" spans="1:9" ht="15.9" x14ac:dyDescent="0.4">
      <c r="A22" s="3">
        <v>45670</v>
      </c>
      <c r="B22" s="4" t="s">
        <v>649</v>
      </c>
      <c r="C22" s="4" t="s">
        <v>853</v>
      </c>
      <c r="D22" s="4">
        <v>42680</v>
      </c>
      <c r="E22" s="4">
        <v>44</v>
      </c>
      <c r="F22" s="4" t="s">
        <v>11</v>
      </c>
      <c r="G22" s="4" t="s">
        <v>25</v>
      </c>
      <c r="H22" s="5">
        <v>1350</v>
      </c>
      <c r="I22" s="4"/>
    </row>
    <row r="23" spans="1:9" ht="15.9" x14ac:dyDescent="0.4">
      <c r="A23" s="3">
        <v>45670</v>
      </c>
      <c r="B23" s="4" t="s">
        <v>856</v>
      </c>
      <c r="C23" s="4" t="s">
        <v>854</v>
      </c>
      <c r="D23" s="4">
        <v>28362</v>
      </c>
      <c r="E23" s="4">
        <v>36</v>
      </c>
      <c r="F23" s="4" t="s">
        <v>11</v>
      </c>
      <c r="G23" s="4" t="s">
        <v>19</v>
      </c>
      <c r="H23" s="5">
        <v>900</v>
      </c>
      <c r="I23" s="4" t="s">
        <v>855</v>
      </c>
    </row>
    <row r="24" spans="1:9" ht="15.9" x14ac:dyDescent="0.4">
      <c r="A24" s="3">
        <v>45670</v>
      </c>
      <c r="B24" s="4" t="s">
        <v>856</v>
      </c>
      <c r="C24" s="4" t="s">
        <v>857</v>
      </c>
      <c r="D24" s="4">
        <v>22786</v>
      </c>
      <c r="E24" s="4">
        <v>31</v>
      </c>
      <c r="F24" s="4" t="s">
        <v>11</v>
      </c>
      <c r="G24" s="4" t="s">
        <v>19</v>
      </c>
      <c r="H24" s="5">
        <v>900</v>
      </c>
      <c r="I24" s="4" t="s">
        <v>855</v>
      </c>
    </row>
    <row r="25" spans="1:9" ht="15.9" x14ac:dyDescent="0.4">
      <c r="A25" s="3">
        <v>45670</v>
      </c>
      <c r="B25" s="4" t="s">
        <v>757</v>
      </c>
      <c r="C25" s="6" t="s">
        <v>858</v>
      </c>
      <c r="D25" s="4">
        <v>34400</v>
      </c>
      <c r="E25" s="4">
        <v>40</v>
      </c>
      <c r="F25" s="4" t="s">
        <v>11</v>
      </c>
      <c r="G25" s="4" t="s">
        <v>25</v>
      </c>
      <c r="H25" s="5">
        <v>4700</v>
      </c>
      <c r="I25" s="4"/>
    </row>
    <row r="26" spans="1:9" ht="15.9" x14ac:dyDescent="0.4">
      <c r="A26" s="3">
        <v>45670</v>
      </c>
      <c r="B26" s="4" t="s">
        <v>859</v>
      </c>
      <c r="C26" s="4" t="s">
        <v>860</v>
      </c>
      <c r="D26" s="4">
        <v>10290</v>
      </c>
      <c r="E26" s="4">
        <v>14</v>
      </c>
      <c r="F26" s="4" t="s">
        <v>35</v>
      </c>
      <c r="G26" s="4" t="s">
        <v>161</v>
      </c>
      <c r="H26" s="5">
        <v>1619.33</v>
      </c>
      <c r="I26" s="4"/>
    </row>
    <row r="27" spans="1:9" ht="15.9" x14ac:dyDescent="0.4">
      <c r="A27" s="3">
        <v>45670</v>
      </c>
      <c r="B27" s="4" t="s">
        <v>150</v>
      </c>
      <c r="C27" s="4" t="s">
        <v>861</v>
      </c>
      <c r="D27" s="4">
        <v>35948</v>
      </c>
      <c r="E27" s="4">
        <v>44</v>
      </c>
      <c r="F27" s="4" t="s">
        <v>756</v>
      </c>
      <c r="G27" s="4" t="s">
        <v>25</v>
      </c>
      <c r="H27" s="5">
        <v>3600</v>
      </c>
      <c r="I27" s="4"/>
    </row>
    <row r="28" spans="1:9" ht="15.9" x14ac:dyDescent="0.4">
      <c r="A28" s="3">
        <v>45670</v>
      </c>
      <c r="B28" s="4" t="s">
        <v>207</v>
      </c>
      <c r="C28" s="4" t="s">
        <v>862</v>
      </c>
      <c r="D28" s="4">
        <v>35280</v>
      </c>
      <c r="E28" s="4">
        <v>48</v>
      </c>
      <c r="F28" s="4" t="s">
        <v>11</v>
      </c>
      <c r="G28" s="4" t="s">
        <v>19</v>
      </c>
      <c r="H28" s="5">
        <v>1250</v>
      </c>
      <c r="I28" s="4"/>
    </row>
    <row r="29" spans="1:9" ht="15.9" x14ac:dyDescent="0.4">
      <c r="A29" s="3">
        <v>45670</v>
      </c>
      <c r="B29" s="4" t="s">
        <v>842</v>
      </c>
      <c r="C29" s="4" t="s">
        <v>863</v>
      </c>
      <c r="D29" s="4">
        <v>35280</v>
      </c>
      <c r="E29" s="4">
        <v>48</v>
      </c>
      <c r="F29" s="4" t="s">
        <v>11</v>
      </c>
      <c r="G29" s="4" t="s">
        <v>19</v>
      </c>
      <c r="H29" s="5">
        <v>2250</v>
      </c>
      <c r="I29" s="4"/>
    </row>
    <row r="30" spans="1:9" ht="15.9" x14ac:dyDescent="0.4">
      <c r="A30" s="3">
        <v>45671</v>
      </c>
      <c r="B30" s="4" t="s">
        <v>649</v>
      </c>
      <c r="C30" s="4" t="s">
        <v>853</v>
      </c>
      <c r="D30" s="4">
        <v>1940</v>
      </c>
      <c r="E30" s="4">
        <v>2</v>
      </c>
      <c r="F30" s="4" t="s">
        <v>35</v>
      </c>
      <c r="G30" s="4" t="s">
        <v>161</v>
      </c>
      <c r="H30" s="5">
        <v>315.64999999999998</v>
      </c>
      <c r="I30" s="4"/>
    </row>
    <row r="31" spans="1:9" ht="15.9" x14ac:dyDescent="0.4">
      <c r="A31" s="3">
        <v>45671</v>
      </c>
      <c r="B31" s="4" t="s">
        <v>268</v>
      </c>
      <c r="C31" s="4" t="s">
        <v>864</v>
      </c>
      <c r="D31" s="4">
        <v>15840</v>
      </c>
      <c r="E31" s="4">
        <v>18</v>
      </c>
      <c r="F31" s="4" t="s">
        <v>756</v>
      </c>
      <c r="G31" s="4" t="s">
        <v>832</v>
      </c>
      <c r="H31" s="5">
        <v>2100</v>
      </c>
      <c r="I31" s="4"/>
    </row>
    <row r="32" spans="1:9" ht="15.9" x14ac:dyDescent="0.4">
      <c r="A32" s="3">
        <v>45671</v>
      </c>
      <c r="B32" s="4" t="s">
        <v>66</v>
      </c>
      <c r="C32" s="4" t="s">
        <v>865</v>
      </c>
      <c r="D32" s="4">
        <v>39840</v>
      </c>
      <c r="E32" s="4">
        <v>48</v>
      </c>
      <c r="F32" s="4" t="s">
        <v>11</v>
      </c>
      <c r="G32" s="4" t="s">
        <v>25</v>
      </c>
      <c r="H32" s="5">
        <v>4600</v>
      </c>
      <c r="I32" s="4"/>
    </row>
    <row r="33" spans="1:9" ht="15.9" x14ac:dyDescent="0.4">
      <c r="A33" s="3">
        <v>45671</v>
      </c>
      <c r="B33" s="4" t="s">
        <v>150</v>
      </c>
      <c r="C33" s="4" t="s">
        <v>866</v>
      </c>
      <c r="D33" s="4">
        <v>32785</v>
      </c>
      <c r="E33" s="4">
        <v>40</v>
      </c>
      <c r="F33" s="4" t="s">
        <v>756</v>
      </c>
      <c r="G33" s="4" t="s">
        <v>25</v>
      </c>
      <c r="H33" s="5">
        <v>3600</v>
      </c>
      <c r="I33" s="4"/>
    </row>
    <row r="34" spans="1:9" ht="15.9" x14ac:dyDescent="0.4">
      <c r="A34" s="3">
        <v>45671</v>
      </c>
      <c r="B34" s="4" t="s">
        <v>649</v>
      </c>
      <c r="C34" s="4" t="s">
        <v>867</v>
      </c>
      <c r="D34" s="4">
        <v>36675</v>
      </c>
      <c r="E34" s="4">
        <v>44</v>
      </c>
      <c r="F34" s="4" t="s">
        <v>11</v>
      </c>
      <c r="G34" s="4" t="s">
        <v>25</v>
      </c>
      <c r="H34" s="5">
        <v>1350</v>
      </c>
      <c r="I34" s="4"/>
    </row>
    <row r="35" spans="1:9" ht="15.9" x14ac:dyDescent="0.4">
      <c r="A35" s="3">
        <v>45671</v>
      </c>
      <c r="B35" s="4" t="s">
        <v>268</v>
      </c>
      <c r="C35" s="4" t="s">
        <v>868</v>
      </c>
      <c r="D35" s="4">
        <v>26460</v>
      </c>
      <c r="E35" s="4">
        <v>36</v>
      </c>
      <c r="F35" s="4" t="s">
        <v>756</v>
      </c>
      <c r="G35" s="4" t="s">
        <v>832</v>
      </c>
      <c r="H35" s="5">
        <v>2100</v>
      </c>
      <c r="I35" s="4"/>
    </row>
    <row r="36" spans="1:9" ht="15.9" x14ac:dyDescent="0.4">
      <c r="A36" s="3">
        <v>45671</v>
      </c>
      <c r="B36" s="4" t="s">
        <v>869</v>
      </c>
      <c r="C36" s="4" t="s">
        <v>870</v>
      </c>
      <c r="D36" s="4">
        <v>16379</v>
      </c>
      <c r="E36" s="4">
        <v>20</v>
      </c>
      <c r="F36" s="4" t="s">
        <v>756</v>
      </c>
      <c r="G36" s="4" t="s">
        <v>832</v>
      </c>
      <c r="H36" s="5">
        <v>1700</v>
      </c>
      <c r="I36" s="4"/>
    </row>
    <row r="37" spans="1:9" ht="15.9" x14ac:dyDescent="0.4">
      <c r="A37" s="3">
        <v>45671</v>
      </c>
      <c r="B37" s="4" t="s">
        <v>493</v>
      </c>
      <c r="C37" s="4" t="s">
        <v>871</v>
      </c>
      <c r="D37" s="4">
        <v>3450</v>
      </c>
      <c r="E37" s="4">
        <v>5</v>
      </c>
      <c r="F37" s="4" t="s">
        <v>35</v>
      </c>
      <c r="G37" s="4" t="s">
        <v>161</v>
      </c>
      <c r="H37" s="5">
        <v>590.63</v>
      </c>
      <c r="I37" s="4"/>
    </row>
    <row r="38" spans="1:9" ht="15.9" x14ac:dyDescent="0.4">
      <c r="A38" s="3">
        <v>45671</v>
      </c>
      <c r="B38" s="4" t="s">
        <v>20</v>
      </c>
      <c r="C38" s="4" t="s">
        <v>872</v>
      </c>
      <c r="D38" s="4">
        <v>40750</v>
      </c>
      <c r="E38" s="4">
        <v>45</v>
      </c>
      <c r="F38" s="4" t="s">
        <v>11</v>
      </c>
      <c r="G38" s="4" t="s">
        <v>19</v>
      </c>
      <c r="H38" s="5">
        <v>3200</v>
      </c>
      <c r="I38" s="4"/>
    </row>
    <row r="39" spans="1:9" ht="15.9" x14ac:dyDescent="0.4">
      <c r="A39" s="3">
        <v>45671</v>
      </c>
      <c r="B39" s="4" t="s">
        <v>873</v>
      </c>
      <c r="C39" s="4" t="s">
        <v>874</v>
      </c>
      <c r="D39" s="4">
        <v>11438</v>
      </c>
      <c r="E39" s="4">
        <v>14</v>
      </c>
      <c r="F39" s="4" t="s">
        <v>11</v>
      </c>
      <c r="G39" s="4" t="s">
        <v>19</v>
      </c>
      <c r="H39" s="5">
        <v>2950</v>
      </c>
      <c r="I39" s="4"/>
    </row>
    <row r="40" spans="1:9" ht="15.9" x14ac:dyDescent="0.4">
      <c r="A40" s="3">
        <v>45671</v>
      </c>
      <c r="B40" s="4" t="s">
        <v>875</v>
      </c>
      <c r="C40" s="4" t="s">
        <v>876</v>
      </c>
      <c r="D40" s="4">
        <v>35948</v>
      </c>
      <c r="E40" s="4">
        <v>44</v>
      </c>
      <c r="F40" s="4" t="s">
        <v>11</v>
      </c>
      <c r="G40" s="4" t="s">
        <v>19</v>
      </c>
      <c r="H40" s="5">
        <v>2100</v>
      </c>
      <c r="I40" s="4"/>
    </row>
    <row r="41" spans="1:9" ht="15.9" x14ac:dyDescent="0.4">
      <c r="A41" s="3">
        <v>45671</v>
      </c>
      <c r="B41" s="4" t="s">
        <v>877</v>
      </c>
      <c r="C41" s="4" t="s">
        <v>878</v>
      </c>
      <c r="D41" s="4">
        <v>18678</v>
      </c>
      <c r="E41" s="4">
        <v>22</v>
      </c>
      <c r="F41" s="4" t="s">
        <v>756</v>
      </c>
      <c r="G41" s="4" t="s">
        <v>25</v>
      </c>
      <c r="H41" s="5">
        <v>4800</v>
      </c>
      <c r="I41" s="4"/>
    </row>
    <row r="42" spans="1:9" ht="15.9" x14ac:dyDescent="0.4">
      <c r="A42" s="3">
        <v>45671</v>
      </c>
      <c r="B42" s="4" t="s">
        <v>879</v>
      </c>
      <c r="C42" s="4" t="s">
        <v>880</v>
      </c>
      <c r="D42" s="4">
        <v>970</v>
      </c>
      <c r="E42" s="4">
        <v>1</v>
      </c>
      <c r="F42" s="4" t="s">
        <v>35</v>
      </c>
      <c r="G42" s="4" t="s">
        <v>161</v>
      </c>
      <c r="H42" s="5">
        <v>367.96</v>
      </c>
      <c r="I42" s="4"/>
    </row>
    <row r="43" spans="1:9" ht="15.9" x14ac:dyDescent="0.4">
      <c r="A43" s="3">
        <v>45671</v>
      </c>
      <c r="B43" s="4" t="s">
        <v>875</v>
      </c>
      <c r="C43" s="4" t="s">
        <v>881</v>
      </c>
      <c r="D43" s="4">
        <v>36520</v>
      </c>
      <c r="E43" s="4">
        <v>44</v>
      </c>
      <c r="F43" s="4" t="s">
        <v>11</v>
      </c>
      <c r="G43" s="4" t="s">
        <v>19</v>
      </c>
      <c r="H43" s="5">
        <v>2100</v>
      </c>
      <c r="I43" s="4"/>
    </row>
    <row r="44" spans="1:9" ht="15.9" x14ac:dyDescent="0.4">
      <c r="A44" s="3">
        <v>45671</v>
      </c>
      <c r="B44" s="4" t="s">
        <v>268</v>
      </c>
      <c r="C44" s="4" t="s">
        <v>882</v>
      </c>
      <c r="D44" s="4">
        <v>35280</v>
      </c>
      <c r="E44" s="4">
        <v>48</v>
      </c>
      <c r="F44" s="4" t="s">
        <v>756</v>
      </c>
      <c r="G44" s="4" t="s">
        <v>832</v>
      </c>
      <c r="H44" s="5">
        <v>2100</v>
      </c>
      <c r="I44" s="4"/>
    </row>
    <row r="45" spans="1:9" ht="15.9" x14ac:dyDescent="0.4">
      <c r="A45" s="3">
        <v>45671</v>
      </c>
      <c r="B45" s="4" t="s">
        <v>79</v>
      </c>
      <c r="C45" s="4" t="s">
        <v>883</v>
      </c>
      <c r="D45" s="4">
        <v>1133</v>
      </c>
      <c r="E45" s="4">
        <v>2</v>
      </c>
      <c r="F45" s="4" t="s">
        <v>35</v>
      </c>
      <c r="G45" s="4" t="s">
        <v>161</v>
      </c>
      <c r="H45" s="5">
        <v>306.43</v>
      </c>
      <c r="I45" s="4"/>
    </row>
    <row r="46" spans="1:9" ht="15.9" x14ac:dyDescent="0.4">
      <c r="A46" s="3">
        <v>45671</v>
      </c>
      <c r="B46" s="4" t="s">
        <v>884</v>
      </c>
      <c r="C46" s="4" t="s">
        <v>885</v>
      </c>
      <c r="D46" s="4">
        <v>8987</v>
      </c>
      <c r="E46" s="4">
        <v>11</v>
      </c>
      <c r="F46" s="4" t="s">
        <v>35</v>
      </c>
      <c r="G46" s="4" t="s">
        <v>161</v>
      </c>
      <c r="H46" s="5">
        <v>1483.31</v>
      </c>
      <c r="I46" s="4"/>
    </row>
    <row r="47" spans="1:9" ht="15.9" x14ac:dyDescent="0.4">
      <c r="A47" s="3">
        <v>45672</v>
      </c>
      <c r="B47" s="4" t="s">
        <v>886</v>
      </c>
      <c r="C47" s="4" t="s">
        <v>887</v>
      </c>
      <c r="D47" s="4">
        <v>13000</v>
      </c>
      <c r="E47" s="4">
        <v>13</v>
      </c>
      <c r="F47" s="4" t="s">
        <v>756</v>
      </c>
      <c r="G47" s="4" t="s">
        <v>25</v>
      </c>
      <c r="H47" s="5">
        <v>4475</v>
      </c>
      <c r="I47" s="4"/>
    </row>
    <row r="48" spans="1:9" ht="15.9" x14ac:dyDescent="0.4">
      <c r="A48" s="3">
        <v>45672</v>
      </c>
      <c r="B48" s="4" t="s">
        <v>888</v>
      </c>
      <c r="C48" s="4" t="s">
        <v>889</v>
      </c>
      <c r="D48" s="4">
        <v>10790</v>
      </c>
      <c r="E48" s="4">
        <v>13</v>
      </c>
      <c r="F48" s="4" t="s">
        <v>11</v>
      </c>
      <c r="G48" s="4" t="s">
        <v>25</v>
      </c>
      <c r="H48" s="5">
        <v>2750</v>
      </c>
      <c r="I48" s="4"/>
    </row>
    <row r="49" spans="1:9" ht="15.9" x14ac:dyDescent="0.4">
      <c r="A49" s="3">
        <v>45672</v>
      </c>
      <c r="B49" s="4" t="s">
        <v>890</v>
      </c>
      <c r="C49" s="4" t="s">
        <v>891</v>
      </c>
      <c r="D49" s="4">
        <v>9130</v>
      </c>
      <c r="E49" s="4">
        <v>11</v>
      </c>
      <c r="F49" s="4" t="s">
        <v>11</v>
      </c>
      <c r="G49" s="4" t="s">
        <v>19</v>
      </c>
      <c r="H49" s="5">
        <v>1140</v>
      </c>
      <c r="I49" s="4"/>
    </row>
    <row r="50" spans="1:9" ht="15.9" x14ac:dyDescent="0.4">
      <c r="A50" s="3">
        <v>45672</v>
      </c>
      <c r="B50" s="4" t="s">
        <v>826</v>
      </c>
      <c r="C50" s="4" t="s">
        <v>892</v>
      </c>
      <c r="D50" s="4">
        <v>39840</v>
      </c>
      <c r="E50" s="4">
        <v>48</v>
      </c>
      <c r="F50" s="4" t="s">
        <v>756</v>
      </c>
      <c r="G50" s="4" t="s">
        <v>25</v>
      </c>
      <c r="H50" s="5">
        <v>2950</v>
      </c>
      <c r="I50" s="4"/>
    </row>
    <row r="51" spans="1:9" ht="15.9" x14ac:dyDescent="0.4">
      <c r="A51" s="3">
        <v>45672</v>
      </c>
      <c r="B51" s="4" t="s">
        <v>826</v>
      </c>
      <c r="C51" s="4" t="s">
        <v>893</v>
      </c>
      <c r="D51" s="4">
        <v>29820</v>
      </c>
      <c r="E51" s="4">
        <v>33</v>
      </c>
      <c r="F51" s="4" t="s">
        <v>756</v>
      </c>
      <c r="G51" s="4" t="s">
        <v>25</v>
      </c>
      <c r="H51" s="5">
        <v>2950</v>
      </c>
      <c r="I51" s="4"/>
    </row>
    <row r="52" spans="1:9" ht="15.9" x14ac:dyDescent="0.4">
      <c r="A52" s="3">
        <v>45672</v>
      </c>
      <c r="B52" s="4" t="s">
        <v>888</v>
      </c>
      <c r="C52" s="4" t="s">
        <v>894</v>
      </c>
      <c r="D52" s="4">
        <v>39216</v>
      </c>
      <c r="E52" s="4">
        <v>48</v>
      </c>
      <c r="F52" s="4" t="s">
        <v>11</v>
      </c>
      <c r="G52" s="4" t="s">
        <v>25</v>
      </c>
      <c r="H52" s="5">
        <v>2750</v>
      </c>
      <c r="I52" s="4"/>
    </row>
    <row r="53" spans="1:9" ht="15.9" x14ac:dyDescent="0.4">
      <c r="A53" s="3">
        <v>45672</v>
      </c>
      <c r="B53" s="4" t="s">
        <v>895</v>
      </c>
      <c r="C53" s="4" t="s">
        <v>896</v>
      </c>
      <c r="D53" s="4">
        <v>27550</v>
      </c>
      <c r="E53" s="4">
        <v>29</v>
      </c>
      <c r="F53" s="4" t="s">
        <v>11</v>
      </c>
      <c r="G53" s="4" t="s">
        <v>19</v>
      </c>
      <c r="H53" s="5">
        <v>3200</v>
      </c>
      <c r="I53" s="4"/>
    </row>
    <row r="54" spans="1:9" ht="15.9" x14ac:dyDescent="0.4">
      <c r="A54" s="3">
        <v>45672</v>
      </c>
      <c r="B54" s="4" t="s">
        <v>897</v>
      </c>
      <c r="C54" s="4" t="s">
        <v>898</v>
      </c>
      <c r="D54" s="4">
        <v>8226</v>
      </c>
      <c r="E54" s="4">
        <v>9</v>
      </c>
      <c r="F54" s="4" t="s">
        <v>35</v>
      </c>
      <c r="G54" s="4" t="s">
        <v>12</v>
      </c>
      <c r="H54" s="5"/>
      <c r="I54" s="4"/>
    </row>
    <row r="55" spans="1:9" ht="15.9" x14ac:dyDescent="0.4">
      <c r="A55" s="3">
        <v>45673</v>
      </c>
      <c r="B55" s="4" t="s">
        <v>897</v>
      </c>
      <c r="C55" s="4" t="s">
        <v>899</v>
      </c>
      <c r="D55" s="4">
        <v>1100</v>
      </c>
      <c r="E55" s="4">
        <v>1</v>
      </c>
      <c r="F55" s="4" t="s">
        <v>35</v>
      </c>
      <c r="G55" s="4" t="s">
        <v>12</v>
      </c>
      <c r="H55" s="5"/>
      <c r="I55" s="4"/>
    </row>
    <row r="56" spans="1:9" ht="15.9" x14ac:dyDescent="0.4">
      <c r="A56" s="3">
        <v>45673</v>
      </c>
      <c r="B56" s="4" t="s">
        <v>168</v>
      </c>
      <c r="C56" s="4" t="s">
        <v>900</v>
      </c>
      <c r="D56" s="4">
        <v>19688</v>
      </c>
      <c r="E56" s="4">
        <v>25</v>
      </c>
      <c r="F56" s="4" t="s">
        <v>756</v>
      </c>
      <c r="G56" s="4" t="s">
        <v>25</v>
      </c>
      <c r="H56" s="5">
        <v>2500</v>
      </c>
      <c r="I56" s="4"/>
    </row>
    <row r="57" spans="1:9" ht="15.9" x14ac:dyDescent="0.4">
      <c r="A57" s="3">
        <v>45673</v>
      </c>
      <c r="B57" s="4" t="s">
        <v>888</v>
      </c>
      <c r="C57" s="4" t="s">
        <v>901</v>
      </c>
      <c r="D57" s="4">
        <v>39216</v>
      </c>
      <c r="E57" s="4">
        <v>48</v>
      </c>
      <c r="F57" s="4" t="s">
        <v>11</v>
      </c>
      <c r="G57" s="4" t="s">
        <v>25</v>
      </c>
      <c r="H57" s="5">
        <v>2750</v>
      </c>
      <c r="I57" s="4"/>
    </row>
    <row r="58" spans="1:9" ht="15.9" x14ac:dyDescent="0.4">
      <c r="A58" s="3">
        <v>45673</v>
      </c>
      <c r="B58" s="4" t="s">
        <v>875</v>
      </c>
      <c r="C58" s="4" t="s">
        <v>902</v>
      </c>
      <c r="D58" s="4">
        <v>35948</v>
      </c>
      <c r="E58" s="4">
        <v>44</v>
      </c>
      <c r="F58" s="4" t="s">
        <v>11</v>
      </c>
      <c r="G58" s="4" t="s">
        <v>19</v>
      </c>
      <c r="H58" s="5">
        <v>2100</v>
      </c>
      <c r="I58" s="4"/>
    </row>
    <row r="59" spans="1:9" ht="15.9" x14ac:dyDescent="0.4">
      <c r="A59" s="3">
        <v>45673</v>
      </c>
      <c r="B59" s="4" t="s">
        <v>903</v>
      </c>
      <c r="C59" s="4" t="s">
        <v>904</v>
      </c>
      <c r="D59" s="4">
        <v>9130</v>
      </c>
      <c r="E59" s="4">
        <v>11</v>
      </c>
      <c r="F59" s="4" t="s">
        <v>11</v>
      </c>
      <c r="G59" s="4" t="s">
        <v>19</v>
      </c>
      <c r="H59" s="5">
        <v>1360</v>
      </c>
      <c r="I59" s="4" t="s">
        <v>905</v>
      </c>
    </row>
    <row r="60" spans="1:9" ht="15.9" x14ac:dyDescent="0.4">
      <c r="A60" s="3">
        <v>45673</v>
      </c>
      <c r="B60" s="4" t="s">
        <v>191</v>
      </c>
      <c r="C60" s="4" t="s">
        <v>906</v>
      </c>
      <c r="D60" s="4">
        <v>12273</v>
      </c>
      <c r="E60" s="4">
        <v>15</v>
      </c>
      <c r="F60" s="4" t="s">
        <v>756</v>
      </c>
      <c r="G60" s="4" t="s">
        <v>832</v>
      </c>
      <c r="H60" s="5">
        <v>1700</v>
      </c>
      <c r="I60" s="4"/>
    </row>
    <row r="61" spans="1:9" ht="15.9" x14ac:dyDescent="0.4">
      <c r="A61" s="3">
        <v>45674</v>
      </c>
      <c r="B61" s="4" t="s">
        <v>875</v>
      </c>
      <c r="C61" s="4" t="s">
        <v>907</v>
      </c>
      <c r="D61" s="4">
        <v>39840</v>
      </c>
      <c r="E61" s="4">
        <v>48</v>
      </c>
      <c r="F61" s="4" t="s">
        <v>11</v>
      </c>
      <c r="G61" s="4" t="s">
        <v>19</v>
      </c>
      <c r="H61" s="5">
        <v>2100</v>
      </c>
      <c r="I61" s="4"/>
    </row>
    <row r="62" spans="1:9" ht="15.9" x14ac:dyDescent="0.4">
      <c r="A62" s="3">
        <v>45678</v>
      </c>
      <c r="B62" s="4" t="s">
        <v>908</v>
      </c>
      <c r="C62" s="4" t="s">
        <v>909</v>
      </c>
      <c r="D62" s="4">
        <v>41500</v>
      </c>
      <c r="E62" s="4">
        <v>50</v>
      </c>
      <c r="F62" s="4" t="s">
        <v>11</v>
      </c>
      <c r="G62" s="4" t="s">
        <v>19</v>
      </c>
      <c r="H62" s="5">
        <v>3300</v>
      </c>
      <c r="I62" s="4"/>
    </row>
    <row r="63" spans="1:9" ht="15.9" x14ac:dyDescent="0.4">
      <c r="A63" s="3">
        <v>45678</v>
      </c>
      <c r="B63" s="4" t="s">
        <v>910</v>
      </c>
      <c r="C63" s="4" t="s">
        <v>911</v>
      </c>
      <c r="D63" s="4">
        <v>30990</v>
      </c>
      <c r="E63" s="4">
        <v>34</v>
      </c>
      <c r="F63" s="4" t="s">
        <v>11</v>
      </c>
      <c r="G63" s="4" t="s">
        <v>19</v>
      </c>
      <c r="H63" s="5">
        <v>3200</v>
      </c>
      <c r="I63" s="4"/>
    </row>
    <row r="64" spans="1:9" ht="15.9" x14ac:dyDescent="0.4">
      <c r="A64" s="3">
        <v>45678</v>
      </c>
      <c r="B64" s="4" t="s">
        <v>886</v>
      </c>
      <c r="C64" s="4" t="s">
        <v>912</v>
      </c>
      <c r="D64" s="4">
        <v>31611</v>
      </c>
      <c r="E64" s="4">
        <v>41</v>
      </c>
      <c r="F64" s="4" t="s">
        <v>756</v>
      </c>
      <c r="G64" s="4" t="s">
        <v>25</v>
      </c>
      <c r="H64" s="5">
        <v>7000</v>
      </c>
      <c r="I64" s="4" t="s">
        <v>913</v>
      </c>
    </row>
    <row r="65" spans="1:9" ht="15.9" x14ac:dyDescent="0.4">
      <c r="A65" s="3">
        <v>45678</v>
      </c>
      <c r="B65" s="4" t="s">
        <v>886</v>
      </c>
      <c r="C65" s="4" t="s">
        <v>914</v>
      </c>
      <c r="D65" s="4">
        <v>37008</v>
      </c>
      <c r="E65" s="4">
        <v>48</v>
      </c>
      <c r="F65" s="4" t="s">
        <v>756</v>
      </c>
      <c r="G65" s="4" t="s">
        <v>25</v>
      </c>
      <c r="H65" s="5">
        <v>7000</v>
      </c>
      <c r="I65" s="4" t="s">
        <v>913</v>
      </c>
    </row>
    <row r="66" spans="1:9" ht="15.9" x14ac:dyDescent="0.4">
      <c r="A66" s="3">
        <v>45678</v>
      </c>
      <c r="B66" s="4" t="s">
        <v>66</v>
      </c>
      <c r="C66" s="4" t="s">
        <v>915</v>
      </c>
      <c r="D66" s="4">
        <v>13120</v>
      </c>
      <c r="E66" s="4">
        <v>17</v>
      </c>
      <c r="F66" s="4" t="s">
        <v>11</v>
      </c>
      <c r="G66" s="4" t="s">
        <v>19</v>
      </c>
      <c r="H66" s="5">
        <v>2300</v>
      </c>
      <c r="I66" s="4" t="s">
        <v>916</v>
      </c>
    </row>
    <row r="67" spans="1:9" ht="15.9" x14ac:dyDescent="0.4">
      <c r="A67" s="3">
        <v>45678</v>
      </c>
      <c r="B67" s="4" t="s">
        <v>886</v>
      </c>
      <c r="C67" s="4" t="s">
        <v>917</v>
      </c>
      <c r="D67" s="4">
        <v>37008</v>
      </c>
      <c r="E67" s="4">
        <v>48</v>
      </c>
      <c r="F67" s="4" t="s">
        <v>756</v>
      </c>
      <c r="G67" s="4" t="s">
        <v>25</v>
      </c>
      <c r="H67" s="5">
        <v>7000</v>
      </c>
      <c r="I67" s="4" t="s">
        <v>913</v>
      </c>
    </row>
    <row r="68" spans="1:9" ht="15.9" x14ac:dyDescent="0.4">
      <c r="A68" s="3">
        <v>45679</v>
      </c>
      <c r="B68" s="4" t="s">
        <v>918</v>
      </c>
      <c r="C68" s="4" t="s">
        <v>919</v>
      </c>
      <c r="D68" s="4">
        <v>1100</v>
      </c>
      <c r="E68" s="4">
        <v>1</v>
      </c>
      <c r="F68" s="4" t="s">
        <v>35</v>
      </c>
      <c r="G68" s="4" t="s">
        <v>161</v>
      </c>
      <c r="H68" s="5">
        <v>372.11</v>
      </c>
      <c r="I68" s="4"/>
    </row>
    <row r="69" spans="1:9" ht="15.9" x14ac:dyDescent="0.4">
      <c r="A69" s="3">
        <v>45679</v>
      </c>
      <c r="B69" s="4" t="s">
        <v>920</v>
      </c>
      <c r="C69" s="4" t="s">
        <v>921</v>
      </c>
      <c r="D69" s="4">
        <v>1309</v>
      </c>
      <c r="E69" s="4">
        <v>2</v>
      </c>
      <c r="F69" s="4" t="s">
        <v>35</v>
      </c>
      <c r="G69" s="4" t="s">
        <v>12</v>
      </c>
      <c r="H69" s="5"/>
      <c r="I69" s="4"/>
    </row>
    <row r="70" spans="1:9" ht="15.9" x14ac:dyDescent="0.4">
      <c r="A70" s="3">
        <v>45679</v>
      </c>
      <c r="B70" s="4" t="s">
        <v>922</v>
      </c>
      <c r="C70" s="4" t="s">
        <v>923</v>
      </c>
      <c r="D70" s="4">
        <v>2490</v>
      </c>
      <c r="E70" s="4">
        <v>3</v>
      </c>
      <c r="F70" s="4" t="s">
        <v>11</v>
      </c>
      <c r="G70" s="4" t="s">
        <v>19</v>
      </c>
      <c r="H70" s="5">
        <v>900</v>
      </c>
      <c r="I70" s="4"/>
    </row>
    <row r="71" spans="1:9" ht="15.9" x14ac:dyDescent="0.4">
      <c r="A71" s="3">
        <v>45680</v>
      </c>
      <c r="B71" s="4" t="s">
        <v>193</v>
      </c>
      <c r="C71" s="4" t="s">
        <v>924</v>
      </c>
      <c r="D71" s="4">
        <v>35280</v>
      </c>
      <c r="E71" s="4">
        <v>48</v>
      </c>
      <c r="F71" s="4" t="s">
        <v>756</v>
      </c>
      <c r="G71" s="4" t="s">
        <v>19</v>
      </c>
      <c r="H71" s="5">
        <v>2200</v>
      </c>
      <c r="I71" s="4"/>
    </row>
    <row r="72" spans="1:9" ht="15.9" x14ac:dyDescent="0.4">
      <c r="A72" s="3">
        <v>45680</v>
      </c>
      <c r="B72" s="4" t="s">
        <v>193</v>
      </c>
      <c r="C72" s="4" t="s">
        <v>925</v>
      </c>
      <c r="D72" s="4">
        <v>40920</v>
      </c>
      <c r="E72" s="4">
        <v>44</v>
      </c>
      <c r="F72" s="4" t="s">
        <v>756</v>
      </c>
      <c r="G72" s="4" t="s">
        <v>19</v>
      </c>
      <c r="H72" s="5">
        <v>2200</v>
      </c>
      <c r="I72" s="4"/>
    </row>
    <row r="73" spans="1:9" ht="15.9" x14ac:dyDescent="0.4">
      <c r="A73" s="3">
        <v>45680</v>
      </c>
      <c r="B73" s="4" t="s">
        <v>879</v>
      </c>
      <c r="C73" s="4" t="s">
        <v>926</v>
      </c>
      <c r="D73" s="4">
        <v>970</v>
      </c>
      <c r="E73" s="4">
        <v>1</v>
      </c>
      <c r="F73" s="4" t="s">
        <v>35</v>
      </c>
      <c r="G73" s="4" t="s">
        <v>161</v>
      </c>
      <c r="H73" s="5">
        <v>401.01</v>
      </c>
      <c r="I73" s="4"/>
    </row>
    <row r="74" spans="1:9" ht="15.9" x14ac:dyDescent="0.4">
      <c r="A74" s="3">
        <v>45680</v>
      </c>
      <c r="B74" s="4" t="s">
        <v>927</v>
      </c>
      <c r="C74" s="4" t="s">
        <v>928</v>
      </c>
      <c r="D74" s="4">
        <v>1470</v>
      </c>
      <c r="E74" s="4">
        <v>2</v>
      </c>
      <c r="F74" s="4" t="s">
        <v>35</v>
      </c>
      <c r="G74" s="4" t="s">
        <v>161</v>
      </c>
      <c r="H74" s="5">
        <v>529.67999999999995</v>
      </c>
      <c r="I74" s="4"/>
    </row>
    <row r="75" spans="1:9" ht="15.9" x14ac:dyDescent="0.4">
      <c r="A75" s="3">
        <v>45680</v>
      </c>
      <c r="B75" s="4" t="s">
        <v>781</v>
      </c>
      <c r="C75" s="4" t="s">
        <v>929</v>
      </c>
      <c r="D75" s="4">
        <v>1542</v>
      </c>
      <c r="E75" s="4">
        <v>2</v>
      </c>
      <c r="F75" s="4" t="s">
        <v>35</v>
      </c>
      <c r="G75" s="4" t="s">
        <v>161</v>
      </c>
      <c r="H75" s="5">
        <v>634.65</v>
      </c>
      <c r="I75" s="4"/>
    </row>
    <row r="76" spans="1:9" ht="15.9" x14ac:dyDescent="0.4">
      <c r="A76" s="3">
        <v>45680</v>
      </c>
      <c r="B76" s="4" t="s">
        <v>193</v>
      </c>
      <c r="C76" s="4" t="s">
        <v>930</v>
      </c>
      <c r="D76" s="4">
        <v>34545</v>
      </c>
      <c r="E76" s="4">
        <v>47</v>
      </c>
      <c r="F76" s="4" t="s">
        <v>756</v>
      </c>
      <c r="G76" s="4" t="s">
        <v>19</v>
      </c>
      <c r="H76" s="5">
        <v>2200</v>
      </c>
      <c r="I76" s="4"/>
    </row>
    <row r="77" spans="1:9" ht="15.9" x14ac:dyDescent="0.4">
      <c r="A77" s="3">
        <v>45681</v>
      </c>
      <c r="B77" s="4" t="s">
        <v>931</v>
      </c>
      <c r="C77" s="4" t="s">
        <v>932</v>
      </c>
      <c r="D77" s="4">
        <v>34860</v>
      </c>
      <c r="E77" s="4">
        <v>42</v>
      </c>
      <c r="F77" s="4" t="s">
        <v>11</v>
      </c>
      <c r="G77" s="4" t="s">
        <v>25</v>
      </c>
      <c r="H77" s="5">
        <v>3250</v>
      </c>
      <c r="I77" s="4"/>
    </row>
    <row r="78" spans="1:9" ht="15.9" x14ac:dyDescent="0.4">
      <c r="A78" s="3">
        <v>45681</v>
      </c>
      <c r="B78" s="4" t="s">
        <v>931</v>
      </c>
      <c r="C78" s="4" t="s">
        <v>933</v>
      </c>
      <c r="D78" s="4">
        <v>41800</v>
      </c>
      <c r="E78" s="4">
        <v>44</v>
      </c>
      <c r="F78" s="4" t="s">
        <v>11</v>
      </c>
      <c r="G78" s="4" t="s">
        <v>25</v>
      </c>
      <c r="H78" s="5">
        <v>3250</v>
      </c>
      <c r="I78" s="4"/>
    </row>
    <row r="79" spans="1:9" ht="15.9" x14ac:dyDescent="0.4">
      <c r="A79" s="3">
        <v>45681</v>
      </c>
      <c r="B79" s="4" t="s">
        <v>931</v>
      </c>
      <c r="C79" s="4" t="s">
        <v>934</v>
      </c>
      <c r="D79" s="4">
        <v>34860</v>
      </c>
      <c r="E79" s="4">
        <v>44</v>
      </c>
      <c r="F79" s="4" t="s">
        <v>11</v>
      </c>
      <c r="G79" s="4" t="s">
        <v>25</v>
      </c>
      <c r="H79" s="5">
        <v>3250</v>
      </c>
      <c r="I79" s="4"/>
    </row>
    <row r="80" spans="1:9" ht="15.9" x14ac:dyDescent="0.4">
      <c r="A80" s="3">
        <v>45684</v>
      </c>
      <c r="B80" s="4" t="s">
        <v>931</v>
      </c>
      <c r="C80" s="4" t="s">
        <v>935</v>
      </c>
      <c r="D80" s="4">
        <v>41800</v>
      </c>
      <c r="E80" s="4">
        <v>44</v>
      </c>
      <c r="F80" s="4" t="s">
        <v>11</v>
      </c>
      <c r="G80" s="4" t="s">
        <v>25</v>
      </c>
      <c r="H80" s="5">
        <v>3250</v>
      </c>
      <c r="I80" s="4"/>
    </row>
    <row r="81" spans="1:9" ht="15.9" x14ac:dyDescent="0.4">
      <c r="A81" s="3">
        <v>45684</v>
      </c>
      <c r="B81" s="4" t="s">
        <v>931</v>
      </c>
      <c r="C81" s="4" t="s">
        <v>936</v>
      </c>
      <c r="D81" s="4">
        <v>41800</v>
      </c>
      <c r="E81" s="4">
        <v>44</v>
      </c>
      <c r="F81" s="4" t="s">
        <v>11</v>
      </c>
      <c r="G81" s="4" t="s">
        <v>25</v>
      </c>
      <c r="H81" s="5">
        <v>3250</v>
      </c>
      <c r="I81" s="4"/>
    </row>
    <row r="82" spans="1:9" ht="15.9" x14ac:dyDescent="0.4">
      <c r="A82" s="3">
        <v>45684</v>
      </c>
      <c r="B82" s="4" t="s">
        <v>931</v>
      </c>
      <c r="C82" s="4" t="s">
        <v>937</v>
      </c>
      <c r="D82" s="4">
        <v>41800</v>
      </c>
      <c r="E82" s="4">
        <v>44</v>
      </c>
      <c r="F82" s="4" t="s">
        <v>11</v>
      </c>
      <c r="G82" s="4" t="s">
        <v>25</v>
      </c>
      <c r="H82" s="5">
        <v>3250</v>
      </c>
      <c r="I82" s="4"/>
    </row>
    <row r="83" spans="1:9" ht="15.9" x14ac:dyDescent="0.4">
      <c r="A83" s="3">
        <v>45684</v>
      </c>
      <c r="B83" s="4" t="s">
        <v>931</v>
      </c>
      <c r="C83" s="4" t="s">
        <v>938</v>
      </c>
      <c r="D83" s="4">
        <v>41800</v>
      </c>
      <c r="E83" s="4">
        <v>44</v>
      </c>
      <c r="F83" s="4" t="s">
        <v>11</v>
      </c>
      <c r="G83" s="4" t="s">
        <v>25</v>
      </c>
      <c r="H83" s="5">
        <v>3250</v>
      </c>
      <c r="I83" s="4"/>
    </row>
    <row r="84" spans="1:9" ht="15.9" x14ac:dyDescent="0.4">
      <c r="A84" s="3">
        <v>45684</v>
      </c>
      <c r="B84" s="4" t="s">
        <v>931</v>
      </c>
      <c r="C84" s="4" t="s">
        <v>939</v>
      </c>
      <c r="D84" s="4">
        <v>41800</v>
      </c>
      <c r="E84" s="4">
        <v>44</v>
      </c>
      <c r="F84" s="4" t="s">
        <v>11</v>
      </c>
      <c r="G84" s="4" t="s">
        <v>25</v>
      </c>
      <c r="H84" s="5">
        <v>3250</v>
      </c>
      <c r="I84" s="4"/>
    </row>
    <row r="85" spans="1:9" ht="15.9" x14ac:dyDescent="0.4">
      <c r="A85" s="3">
        <v>45684</v>
      </c>
      <c r="B85" s="4" t="s">
        <v>931</v>
      </c>
      <c r="C85" s="4" t="s">
        <v>940</v>
      </c>
      <c r="D85" s="4">
        <v>34860</v>
      </c>
      <c r="E85" s="4">
        <v>44</v>
      </c>
      <c r="F85" s="4" t="s">
        <v>11</v>
      </c>
      <c r="G85" s="4" t="s">
        <v>25</v>
      </c>
      <c r="H85" s="5">
        <v>3250</v>
      </c>
      <c r="I85" s="4"/>
    </row>
    <row r="86" spans="1:9" ht="15.9" x14ac:dyDescent="0.4">
      <c r="A86" s="3">
        <v>45684</v>
      </c>
      <c r="B86" s="4" t="s">
        <v>75</v>
      </c>
      <c r="C86" s="4" t="s">
        <v>941</v>
      </c>
      <c r="D86" s="4">
        <v>41184</v>
      </c>
      <c r="E86" s="4">
        <v>32</v>
      </c>
      <c r="F86" s="4" t="s">
        <v>11</v>
      </c>
      <c r="G86" s="4" t="s">
        <v>12</v>
      </c>
      <c r="H86" s="5"/>
      <c r="I86" s="4"/>
    </row>
    <row r="87" spans="1:9" ht="15.9" x14ac:dyDescent="0.4">
      <c r="A87" s="3">
        <v>45684</v>
      </c>
      <c r="B87" s="4" t="s">
        <v>75</v>
      </c>
      <c r="C87" s="4" t="s">
        <v>942</v>
      </c>
      <c r="D87" s="4">
        <v>41184</v>
      </c>
      <c r="E87" s="4">
        <v>32</v>
      </c>
      <c r="F87" s="4" t="s">
        <v>11</v>
      </c>
      <c r="G87" s="4" t="s">
        <v>12</v>
      </c>
      <c r="H87" s="5"/>
      <c r="I87" s="4"/>
    </row>
    <row r="88" spans="1:9" ht="15.9" x14ac:dyDescent="0.4">
      <c r="A88" s="3">
        <v>45684</v>
      </c>
      <c r="B88" s="4" t="s">
        <v>75</v>
      </c>
      <c r="C88" s="4" t="s">
        <v>943</v>
      </c>
      <c r="D88" s="4">
        <v>41184</v>
      </c>
      <c r="E88" s="4">
        <v>32</v>
      </c>
      <c r="F88" s="4" t="s">
        <v>11</v>
      </c>
      <c r="G88" s="4" t="s">
        <v>12</v>
      </c>
      <c r="H88" s="5"/>
      <c r="I88" s="4"/>
    </row>
    <row r="89" spans="1:9" ht="15.9" x14ac:dyDescent="0.4">
      <c r="A89" s="3">
        <v>45684</v>
      </c>
      <c r="B89" s="4" t="s">
        <v>75</v>
      </c>
      <c r="C89" s="4" t="s">
        <v>944</v>
      </c>
      <c r="D89" s="4">
        <v>3861</v>
      </c>
      <c r="E89" s="4">
        <v>3</v>
      </c>
      <c r="F89" s="4" t="s">
        <v>11</v>
      </c>
      <c r="G89" s="4" t="s">
        <v>12</v>
      </c>
      <c r="H89" s="5"/>
      <c r="I89" s="4"/>
    </row>
    <row r="90" spans="1:9" ht="15.9" x14ac:dyDescent="0.4">
      <c r="A90" s="3">
        <v>45684</v>
      </c>
      <c r="B90" s="4" t="s">
        <v>945</v>
      </c>
      <c r="C90" s="4" t="s">
        <v>946</v>
      </c>
      <c r="D90" s="4">
        <v>41184</v>
      </c>
      <c r="E90" s="4">
        <v>32</v>
      </c>
      <c r="F90" s="4" t="s">
        <v>11</v>
      </c>
      <c r="G90" s="4" t="s">
        <v>12</v>
      </c>
      <c r="H90" s="5"/>
      <c r="I90" s="4"/>
    </row>
    <row r="91" spans="1:9" ht="15.9" x14ac:dyDescent="0.4">
      <c r="A91" s="3">
        <v>45684</v>
      </c>
      <c r="B91" s="4" t="s">
        <v>945</v>
      </c>
      <c r="C91" s="4" t="s">
        <v>947</v>
      </c>
      <c r="D91" s="4">
        <v>30888</v>
      </c>
      <c r="E91" s="4">
        <v>24</v>
      </c>
      <c r="F91" s="4" t="s">
        <v>11</v>
      </c>
      <c r="G91" s="4" t="s">
        <v>12</v>
      </c>
      <c r="H91" s="5"/>
      <c r="I91" s="4"/>
    </row>
    <row r="92" spans="1:9" ht="15.9" x14ac:dyDescent="0.4">
      <c r="A92" s="3">
        <v>45685</v>
      </c>
      <c r="B92" s="4" t="s">
        <v>922</v>
      </c>
      <c r="C92" s="4" t="s">
        <v>948</v>
      </c>
      <c r="D92" s="4">
        <v>41760</v>
      </c>
      <c r="E92" s="4">
        <v>48</v>
      </c>
      <c r="F92" s="4" t="s">
        <v>11</v>
      </c>
      <c r="G92" s="4" t="s">
        <v>19</v>
      </c>
      <c r="H92" s="5">
        <v>1950</v>
      </c>
      <c r="I92" s="4"/>
    </row>
    <row r="93" spans="1:9" ht="15.9" x14ac:dyDescent="0.4">
      <c r="A93" s="3">
        <v>45685</v>
      </c>
      <c r="B93" s="4" t="s">
        <v>922</v>
      </c>
      <c r="C93" s="4" t="s">
        <v>949</v>
      </c>
      <c r="D93" s="4">
        <v>41760</v>
      </c>
      <c r="E93" s="4">
        <v>48</v>
      </c>
      <c r="F93" s="4" t="s">
        <v>11</v>
      </c>
      <c r="G93" s="4" t="s">
        <v>19</v>
      </c>
      <c r="H93" s="5">
        <v>1950</v>
      </c>
      <c r="I93" s="4"/>
    </row>
    <row r="94" spans="1:9" ht="15.9" x14ac:dyDescent="0.4">
      <c r="A94" s="3">
        <v>45685</v>
      </c>
      <c r="B94" s="4" t="s">
        <v>560</v>
      </c>
      <c r="C94" s="4" t="s">
        <v>950</v>
      </c>
      <c r="D94" s="4">
        <v>950</v>
      </c>
      <c r="E94" s="4">
        <v>1</v>
      </c>
      <c r="F94" s="4" t="s">
        <v>35</v>
      </c>
      <c r="G94" s="4" t="s">
        <v>161</v>
      </c>
      <c r="H94" s="5">
        <v>230.9</v>
      </c>
      <c r="I94" s="4"/>
    </row>
    <row r="95" spans="1:9" ht="15.9" x14ac:dyDescent="0.4">
      <c r="A95" s="3">
        <v>45685</v>
      </c>
      <c r="B95" s="4" t="s">
        <v>897</v>
      </c>
      <c r="C95" s="4" t="s">
        <v>951</v>
      </c>
      <c r="D95" s="4">
        <v>9133</v>
      </c>
      <c r="E95" s="4">
        <v>11</v>
      </c>
      <c r="F95" s="4" t="s">
        <v>35</v>
      </c>
      <c r="G95" s="4" t="s">
        <v>12</v>
      </c>
      <c r="H95" s="5"/>
      <c r="I95" s="4"/>
    </row>
    <row r="96" spans="1:9" ht="15.9" x14ac:dyDescent="0.4">
      <c r="A96" s="3">
        <v>45686</v>
      </c>
      <c r="B96" s="4" t="s">
        <v>139</v>
      </c>
      <c r="C96" s="4" t="s">
        <v>952</v>
      </c>
      <c r="D96" s="4">
        <v>6536</v>
      </c>
      <c r="E96" s="4">
        <v>8</v>
      </c>
      <c r="F96" s="4" t="s">
        <v>35</v>
      </c>
      <c r="G96" s="4" t="s">
        <v>161</v>
      </c>
      <c r="H96" s="5">
        <v>898.1</v>
      </c>
      <c r="I96" s="4"/>
    </row>
    <row r="97" spans="1:9" ht="15.9" x14ac:dyDescent="0.4">
      <c r="A97" s="3">
        <v>45686</v>
      </c>
      <c r="B97" s="4" t="s">
        <v>560</v>
      </c>
      <c r="C97" s="4" t="s">
        <v>950</v>
      </c>
      <c r="D97" s="4">
        <v>1740</v>
      </c>
      <c r="E97" s="4">
        <v>2</v>
      </c>
      <c r="F97" s="4" t="s">
        <v>35</v>
      </c>
      <c r="G97" s="4" t="s">
        <v>161</v>
      </c>
      <c r="H97" s="5">
        <v>264.10000000000002</v>
      </c>
      <c r="I97" s="4"/>
    </row>
    <row r="98" spans="1:9" ht="15.9" x14ac:dyDescent="0.4">
      <c r="A98" s="3">
        <v>45686</v>
      </c>
      <c r="B98" s="4" t="s">
        <v>826</v>
      </c>
      <c r="C98" s="4" t="s">
        <v>953</v>
      </c>
      <c r="D98" s="4">
        <v>41800</v>
      </c>
      <c r="E98" s="4">
        <v>44</v>
      </c>
      <c r="F98" s="4" t="s">
        <v>756</v>
      </c>
      <c r="G98" s="4" t="s">
        <v>25</v>
      </c>
      <c r="H98" s="5">
        <v>2950</v>
      </c>
      <c r="I98" s="4"/>
    </row>
    <row r="99" spans="1:9" ht="15.9" x14ac:dyDescent="0.4">
      <c r="A99" s="3">
        <v>45686</v>
      </c>
      <c r="B99" s="4" t="s">
        <v>826</v>
      </c>
      <c r="C99" s="4" t="s">
        <v>954</v>
      </c>
      <c r="D99" s="4">
        <v>41800</v>
      </c>
      <c r="E99" s="4">
        <v>44</v>
      </c>
      <c r="F99" s="4" t="s">
        <v>756</v>
      </c>
      <c r="G99" s="4" t="s">
        <v>25</v>
      </c>
      <c r="H99" s="5">
        <v>2950</v>
      </c>
      <c r="I99" s="4"/>
    </row>
    <row r="100" spans="1:9" ht="15.9" x14ac:dyDescent="0.4">
      <c r="A100" s="3">
        <v>45686</v>
      </c>
      <c r="B100" s="4" t="s">
        <v>826</v>
      </c>
      <c r="C100" s="4" t="s">
        <v>955</v>
      </c>
      <c r="D100" s="4">
        <v>37050</v>
      </c>
      <c r="E100" s="4">
        <v>39</v>
      </c>
      <c r="F100" s="4" t="s">
        <v>756</v>
      </c>
      <c r="G100" s="4" t="s">
        <v>25</v>
      </c>
      <c r="H100" s="5">
        <v>2950</v>
      </c>
      <c r="I100" s="4"/>
    </row>
    <row r="101" spans="1:9" ht="15.9" x14ac:dyDescent="0.4">
      <c r="A101" s="3">
        <v>45686</v>
      </c>
      <c r="B101" s="4" t="s">
        <v>826</v>
      </c>
      <c r="C101" s="4" t="s">
        <v>956</v>
      </c>
      <c r="D101" s="4">
        <v>31350</v>
      </c>
      <c r="E101" s="4">
        <v>33</v>
      </c>
      <c r="F101" s="4" t="s">
        <v>756</v>
      </c>
      <c r="G101" s="4" t="s">
        <v>25</v>
      </c>
      <c r="H101" s="5">
        <v>2950</v>
      </c>
      <c r="I101" s="4"/>
    </row>
    <row r="102" spans="1:9" ht="15.9" x14ac:dyDescent="0.4">
      <c r="A102" s="3">
        <v>45686</v>
      </c>
      <c r="B102" s="4" t="s">
        <v>17</v>
      </c>
      <c r="C102" s="4" t="s">
        <v>957</v>
      </c>
      <c r="D102" s="4">
        <v>2850</v>
      </c>
      <c r="E102" s="4">
        <v>3</v>
      </c>
      <c r="F102" s="4" t="s">
        <v>35</v>
      </c>
      <c r="G102" s="4" t="s">
        <v>161</v>
      </c>
      <c r="H102" s="5">
        <v>489.45</v>
      </c>
      <c r="I102" s="4"/>
    </row>
    <row r="103" spans="1:9" ht="15.9" x14ac:dyDescent="0.4">
      <c r="A103" s="3">
        <v>45686</v>
      </c>
      <c r="B103" s="4" t="s">
        <v>268</v>
      </c>
      <c r="C103" s="4" t="s">
        <v>958</v>
      </c>
      <c r="D103" s="4">
        <v>35280</v>
      </c>
      <c r="E103" s="4">
        <v>48</v>
      </c>
      <c r="F103" s="4" t="s">
        <v>756</v>
      </c>
      <c r="G103" s="4" t="s">
        <v>832</v>
      </c>
      <c r="H103" s="5">
        <v>2100</v>
      </c>
      <c r="I103" s="4"/>
    </row>
    <row r="104" spans="1:9" ht="15.9" x14ac:dyDescent="0.4">
      <c r="A104" s="3">
        <v>45686</v>
      </c>
      <c r="B104" s="4" t="s">
        <v>268</v>
      </c>
      <c r="C104" s="4" t="s">
        <v>959</v>
      </c>
      <c r="D104" s="4">
        <v>36882</v>
      </c>
      <c r="E104" s="4">
        <v>40</v>
      </c>
      <c r="F104" s="4" t="s">
        <v>756</v>
      </c>
      <c r="G104" s="4" t="s">
        <v>832</v>
      </c>
      <c r="H104" s="5">
        <v>1700</v>
      </c>
      <c r="I104" s="4"/>
    </row>
    <row r="105" spans="1:9" ht="15.9" x14ac:dyDescent="0.4">
      <c r="A105" s="3">
        <v>45686</v>
      </c>
      <c r="B105" s="4" t="s">
        <v>960</v>
      </c>
      <c r="C105" s="4" t="s">
        <v>961</v>
      </c>
      <c r="D105" s="4">
        <v>9500</v>
      </c>
      <c r="E105" s="4">
        <v>10</v>
      </c>
      <c r="F105" s="4" t="s">
        <v>35</v>
      </c>
      <c r="G105" s="4" t="s">
        <v>12</v>
      </c>
      <c r="H105" s="4"/>
      <c r="I105" s="4"/>
    </row>
    <row r="106" spans="1:9" ht="15.9" x14ac:dyDescent="0.4">
      <c r="A106" s="3">
        <v>45686</v>
      </c>
      <c r="B106" s="4" t="s">
        <v>671</v>
      </c>
      <c r="C106" s="4" t="s">
        <v>962</v>
      </c>
      <c r="D106" s="4">
        <v>5700</v>
      </c>
      <c r="E106" s="4">
        <v>6</v>
      </c>
      <c r="F106" s="4" t="s">
        <v>35</v>
      </c>
      <c r="G106" s="4" t="s">
        <v>161</v>
      </c>
      <c r="H106" s="5">
        <v>1604.31</v>
      </c>
      <c r="I106" s="4"/>
    </row>
    <row r="107" spans="1:9" ht="15.9" x14ac:dyDescent="0.4">
      <c r="A107" s="3">
        <v>45687</v>
      </c>
      <c r="B107" s="4" t="s">
        <v>879</v>
      </c>
      <c r="C107" s="4" t="s">
        <v>963</v>
      </c>
      <c r="D107" s="4">
        <v>42240</v>
      </c>
      <c r="E107" s="4">
        <v>44</v>
      </c>
      <c r="F107" s="4" t="s">
        <v>11</v>
      </c>
      <c r="G107" s="4" t="s">
        <v>25</v>
      </c>
      <c r="H107" s="5">
        <v>4800</v>
      </c>
      <c r="I107" s="4" t="s">
        <v>849</v>
      </c>
    </row>
    <row r="108" spans="1:9" ht="15.9" x14ac:dyDescent="0.4">
      <c r="A108" s="3">
        <v>45687</v>
      </c>
      <c r="B108" s="4" t="s">
        <v>877</v>
      </c>
      <c r="C108" s="4" t="s">
        <v>848</v>
      </c>
      <c r="D108" s="4">
        <v>34560</v>
      </c>
      <c r="E108" s="4">
        <v>36</v>
      </c>
      <c r="F108" s="4" t="s">
        <v>11</v>
      </c>
      <c r="G108" s="4" t="s">
        <v>25</v>
      </c>
      <c r="H108" s="5">
        <v>4800</v>
      </c>
      <c r="I108" s="4"/>
    </row>
    <row r="109" spans="1:9" ht="15.9" x14ac:dyDescent="0.4">
      <c r="A109" s="3">
        <v>45687</v>
      </c>
      <c r="B109" s="4" t="s">
        <v>879</v>
      </c>
      <c r="C109" s="4" t="s">
        <v>964</v>
      </c>
      <c r="D109" s="4">
        <v>19200</v>
      </c>
      <c r="E109" s="4">
        <v>20</v>
      </c>
      <c r="F109" s="4" t="s">
        <v>11</v>
      </c>
      <c r="G109" s="4" t="s">
        <v>25</v>
      </c>
      <c r="H109" s="5">
        <v>4800</v>
      </c>
      <c r="I109" s="4" t="s">
        <v>849</v>
      </c>
    </row>
    <row r="110" spans="1:9" ht="15.9" x14ac:dyDescent="0.4">
      <c r="A110" s="3">
        <v>45687</v>
      </c>
      <c r="B110" s="4" t="s">
        <v>897</v>
      </c>
      <c r="C110" s="4" t="s">
        <v>965</v>
      </c>
      <c r="D110" s="4">
        <v>6720</v>
      </c>
      <c r="E110" s="4">
        <v>7</v>
      </c>
      <c r="F110" s="4" t="s">
        <v>35</v>
      </c>
      <c r="G110" s="4" t="s">
        <v>161</v>
      </c>
      <c r="H110" s="5">
        <v>2236.5300000000002</v>
      </c>
      <c r="I110" s="4"/>
    </row>
    <row r="111" spans="1:9" ht="15.9" x14ac:dyDescent="0.4">
      <c r="A111" s="3">
        <v>45687</v>
      </c>
      <c r="B111" s="4" t="s">
        <v>897</v>
      </c>
      <c r="C111" s="4" t="s">
        <v>966</v>
      </c>
      <c r="D111" s="4">
        <v>5760</v>
      </c>
      <c r="E111" s="4">
        <v>6</v>
      </c>
      <c r="F111" s="4" t="s">
        <v>35</v>
      </c>
      <c r="G111" s="4" t="s">
        <v>161</v>
      </c>
      <c r="H111" s="5">
        <v>1917.03</v>
      </c>
      <c r="I111" s="4"/>
    </row>
    <row r="112" spans="1:9" ht="15.9" x14ac:dyDescent="0.4">
      <c r="A112" s="3">
        <v>45687</v>
      </c>
      <c r="B112" s="4" t="s">
        <v>967</v>
      </c>
      <c r="C112" s="4" t="s">
        <v>968</v>
      </c>
      <c r="D112" s="4">
        <v>32340</v>
      </c>
      <c r="E112" s="4">
        <v>44</v>
      </c>
      <c r="F112" s="4" t="s">
        <v>756</v>
      </c>
      <c r="G112" s="4" t="s">
        <v>832</v>
      </c>
      <c r="H112" s="5">
        <v>1700</v>
      </c>
      <c r="I112" s="4"/>
    </row>
    <row r="113" spans="1:9" ht="15.9" x14ac:dyDescent="0.4">
      <c r="A113" s="3">
        <v>45687</v>
      </c>
      <c r="B113" s="4" t="s">
        <v>17</v>
      </c>
      <c r="C113" s="4" t="s">
        <v>969</v>
      </c>
      <c r="D113" s="4">
        <v>4750</v>
      </c>
      <c r="E113" s="4">
        <v>5</v>
      </c>
      <c r="F113" s="4" t="s">
        <v>35</v>
      </c>
      <c r="G113" s="4" t="s">
        <v>161</v>
      </c>
      <c r="H113" s="5">
        <v>702.81</v>
      </c>
      <c r="I113" s="4"/>
    </row>
    <row r="114" spans="1:9" ht="15.9" x14ac:dyDescent="0.4">
      <c r="A114" s="3">
        <v>45687</v>
      </c>
      <c r="B114" s="4" t="s">
        <v>191</v>
      </c>
      <c r="C114" s="4" t="s">
        <v>970</v>
      </c>
      <c r="D114" s="4">
        <v>13162</v>
      </c>
      <c r="E114" s="4">
        <v>16</v>
      </c>
      <c r="F114" s="4" t="s">
        <v>756</v>
      </c>
      <c r="G114" s="4" t="s">
        <v>832</v>
      </c>
      <c r="H114" s="5">
        <v>1700</v>
      </c>
      <c r="I114" s="4"/>
    </row>
    <row r="115" spans="1:9" ht="15.9" x14ac:dyDescent="0.4">
      <c r="A115" s="3">
        <v>45687</v>
      </c>
      <c r="B115" s="4" t="s">
        <v>967</v>
      </c>
      <c r="C115" s="4" t="s">
        <v>971</v>
      </c>
      <c r="D115" s="4">
        <v>19110</v>
      </c>
      <c r="E115" s="4">
        <v>26</v>
      </c>
      <c r="F115" s="4" t="s">
        <v>756</v>
      </c>
      <c r="G115" s="4" t="s">
        <v>832</v>
      </c>
      <c r="H115" s="5">
        <v>1700</v>
      </c>
      <c r="I115" s="4"/>
    </row>
    <row r="116" spans="1:9" ht="15.9" x14ac:dyDescent="0.4">
      <c r="A116" s="3">
        <v>45687</v>
      </c>
      <c r="B116" s="4" t="s">
        <v>168</v>
      </c>
      <c r="C116" s="4" t="s">
        <v>972</v>
      </c>
      <c r="D116" s="4">
        <v>12920</v>
      </c>
      <c r="E116" s="4">
        <v>16</v>
      </c>
      <c r="F116" s="4" t="s">
        <v>756</v>
      </c>
      <c r="G116" s="4" t="s">
        <v>19</v>
      </c>
      <c r="H116" s="5">
        <v>2100</v>
      </c>
      <c r="I116" s="4"/>
    </row>
    <row r="117" spans="1:9" ht="15.9" x14ac:dyDescent="0.4">
      <c r="A117" s="3">
        <v>45687</v>
      </c>
      <c r="B117" s="4" t="s">
        <v>973</v>
      </c>
      <c r="C117" s="4" t="s">
        <v>974</v>
      </c>
      <c r="D117" s="4">
        <v>2830</v>
      </c>
      <c r="E117" s="4">
        <v>3</v>
      </c>
      <c r="F117" s="4" t="s">
        <v>35</v>
      </c>
      <c r="G117" s="4" t="s">
        <v>161</v>
      </c>
      <c r="H117" s="5">
        <v>881.46</v>
      </c>
      <c r="I117" s="4"/>
    </row>
    <row r="118" spans="1:9" ht="15.9" x14ac:dyDescent="0.4">
      <c r="A118" s="3">
        <v>45687</v>
      </c>
      <c r="B118" s="4" t="s">
        <v>139</v>
      </c>
      <c r="C118" s="4" t="s">
        <v>952</v>
      </c>
      <c r="D118" s="4">
        <v>8820</v>
      </c>
      <c r="E118" s="4">
        <v>12</v>
      </c>
      <c r="F118" s="4" t="s">
        <v>35</v>
      </c>
      <c r="G118" s="4" t="s">
        <v>161</v>
      </c>
      <c r="H118" s="5">
        <v>1206.78</v>
      </c>
      <c r="I118" s="4"/>
    </row>
    <row r="119" spans="1:9" ht="15.9" x14ac:dyDescent="0.4">
      <c r="A119" s="3">
        <v>45687</v>
      </c>
      <c r="B119" s="4" t="s">
        <v>975</v>
      </c>
      <c r="C119" s="4" t="s">
        <v>976</v>
      </c>
      <c r="D119" s="4">
        <v>38815</v>
      </c>
      <c r="E119" s="4">
        <v>41</v>
      </c>
      <c r="F119" s="4" t="s">
        <v>11</v>
      </c>
      <c r="G119" s="4" t="s">
        <v>19</v>
      </c>
      <c r="H119" s="5">
        <v>5400</v>
      </c>
      <c r="I119" s="4"/>
    </row>
    <row r="120" spans="1:9" ht="15.9" x14ac:dyDescent="0.4">
      <c r="A120" s="3">
        <v>45687</v>
      </c>
      <c r="B120" s="4" t="s">
        <v>153</v>
      </c>
      <c r="C120" s="4" t="s">
        <v>977</v>
      </c>
      <c r="D120" s="4">
        <v>20580</v>
      </c>
      <c r="E120" s="4">
        <v>28</v>
      </c>
      <c r="F120" s="4" t="s">
        <v>756</v>
      </c>
      <c r="G120" s="4" t="s">
        <v>832</v>
      </c>
      <c r="H120" s="5">
        <v>950</v>
      </c>
      <c r="I120" s="4"/>
    </row>
    <row r="121" spans="1:9" ht="15.9" x14ac:dyDescent="0.4">
      <c r="A121" s="3">
        <v>45688</v>
      </c>
      <c r="B121" s="4" t="s">
        <v>978</v>
      </c>
      <c r="C121" s="4" t="s">
        <v>979</v>
      </c>
      <c r="D121" s="4">
        <v>40656</v>
      </c>
      <c r="E121" s="4">
        <v>33</v>
      </c>
      <c r="F121" s="4" t="s">
        <v>11</v>
      </c>
      <c r="G121" s="4" t="s">
        <v>25</v>
      </c>
      <c r="H121" s="5">
        <v>3500</v>
      </c>
      <c r="I121" s="4"/>
    </row>
    <row r="122" spans="1:9" ht="15.9" x14ac:dyDescent="0.4">
      <c r="A122" s="3">
        <v>45688</v>
      </c>
      <c r="B122" s="4" t="s">
        <v>879</v>
      </c>
      <c r="C122" s="4" t="s">
        <v>980</v>
      </c>
      <c r="D122" s="4">
        <v>42240</v>
      </c>
      <c r="E122" s="4">
        <v>44</v>
      </c>
      <c r="F122" s="4" t="s">
        <v>11</v>
      </c>
      <c r="G122" s="4" t="s">
        <v>25</v>
      </c>
      <c r="H122" s="5">
        <v>4800</v>
      </c>
      <c r="I122" s="4" t="s">
        <v>849</v>
      </c>
    </row>
    <row r="123" spans="1:9" ht="15.9" x14ac:dyDescent="0.4">
      <c r="A123" s="3">
        <v>45688</v>
      </c>
      <c r="B123" s="4" t="s">
        <v>847</v>
      </c>
      <c r="C123" s="4" t="s">
        <v>981</v>
      </c>
      <c r="D123" s="4">
        <v>42240</v>
      </c>
      <c r="E123" s="4">
        <v>44</v>
      </c>
      <c r="F123" s="4" t="s">
        <v>11</v>
      </c>
      <c r="G123" s="4" t="s">
        <v>25</v>
      </c>
      <c r="H123" s="5">
        <v>4800</v>
      </c>
      <c r="I123" s="4" t="s">
        <v>849</v>
      </c>
    </row>
    <row r="124" spans="1:9" ht="15.9" x14ac:dyDescent="0.4">
      <c r="A124" s="3">
        <v>45688</v>
      </c>
      <c r="B124" s="4" t="s">
        <v>847</v>
      </c>
      <c r="C124" s="4" t="s">
        <v>982</v>
      </c>
      <c r="D124" s="4">
        <v>42240</v>
      </c>
      <c r="E124" s="4">
        <v>44</v>
      </c>
      <c r="F124" s="4" t="s">
        <v>11</v>
      </c>
      <c r="G124" s="4" t="s">
        <v>25</v>
      </c>
      <c r="H124" s="5">
        <v>4800</v>
      </c>
      <c r="I124" s="4" t="s">
        <v>849</v>
      </c>
    </row>
    <row r="125" spans="1:9" ht="15.9" x14ac:dyDescent="0.4">
      <c r="A125" s="3">
        <v>45688</v>
      </c>
      <c r="B125" s="4" t="s">
        <v>826</v>
      </c>
      <c r="C125" s="4" t="s">
        <v>983</v>
      </c>
      <c r="D125" s="4">
        <v>35690</v>
      </c>
      <c r="E125" s="4">
        <v>39</v>
      </c>
      <c r="F125" s="4" t="s">
        <v>756</v>
      </c>
      <c r="G125" s="4" t="s">
        <v>25</v>
      </c>
      <c r="H125" s="5">
        <v>2950</v>
      </c>
      <c r="I125" s="4"/>
    </row>
    <row r="126" spans="1:9" ht="15.9" x14ac:dyDescent="0.4">
      <c r="A126" s="3">
        <v>45688</v>
      </c>
      <c r="B126" s="4" t="s">
        <v>207</v>
      </c>
      <c r="C126" s="4" t="s">
        <v>984</v>
      </c>
      <c r="D126" s="4">
        <v>35280</v>
      </c>
      <c r="E126" s="4">
        <v>48</v>
      </c>
      <c r="F126" s="4" t="s">
        <v>11</v>
      </c>
      <c r="G126" s="4" t="s">
        <v>19</v>
      </c>
      <c r="H126" s="5">
        <v>1250</v>
      </c>
      <c r="I126" s="4"/>
    </row>
    <row r="127" spans="1:9" ht="15.9" x14ac:dyDescent="0.4">
      <c r="A127" s="3">
        <v>45688</v>
      </c>
      <c r="B127" s="4" t="s">
        <v>207</v>
      </c>
      <c r="C127" s="4" t="s">
        <v>985</v>
      </c>
      <c r="D127" s="4">
        <v>3840</v>
      </c>
      <c r="E127" s="4">
        <v>4</v>
      </c>
      <c r="F127" s="4" t="s">
        <v>35</v>
      </c>
      <c r="G127" s="4" t="s">
        <v>161</v>
      </c>
      <c r="H127" s="5">
        <v>263.83</v>
      </c>
      <c r="I127" s="4"/>
    </row>
    <row r="128" spans="1:9" ht="15.9" x14ac:dyDescent="0.4">
      <c r="A128" s="3">
        <v>45688</v>
      </c>
      <c r="B128" s="4" t="s">
        <v>207</v>
      </c>
      <c r="C128" s="4" t="s">
        <v>986</v>
      </c>
      <c r="D128" s="4">
        <v>1920</v>
      </c>
      <c r="E128" s="4">
        <v>2</v>
      </c>
      <c r="F128" s="4" t="s">
        <v>35</v>
      </c>
      <c r="G128" s="4" t="s">
        <v>161</v>
      </c>
      <c r="H128" s="5">
        <v>277.94</v>
      </c>
      <c r="I128" s="4"/>
    </row>
    <row r="129" spans="1:9" ht="15.9" x14ac:dyDescent="0.4">
      <c r="A129" s="4"/>
      <c r="B129" s="4"/>
      <c r="C129" s="4"/>
      <c r="D129" s="4"/>
      <c r="E129" s="4"/>
      <c r="F129" s="4"/>
      <c r="G129" s="4"/>
      <c r="H129" s="4"/>
      <c r="I129" s="4"/>
    </row>
    <row r="130" spans="1:9" ht="15.9" x14ac:dyDescent="0.4">
      <c r="A130" s="4"/>
      <c r="B130" s="4"/>
      <c r="C130" s="4"/>
      <c r="D130" s="4"/>
      <c r="E130" s="4"/>
      <c r="F130" s="4"/>
      <c r="G130" s="4"/>
      <c r="H130" s="4"/>
      <c r="I130" s="4"/>
    </row>
    <row r="131" spans="1:9" ht="15.9" x14ac:dyDescent="0.4">
      <c r="A131" s="4"/>
      <c r="B131" s="4"/>
      <c r="C131" s="4"/>
      <c r="D131" s="4"/>
      <c r="E131" s="4"/>
      <c r="F131" s="4"/>
      <c r="G131" s="4"/>
      <c r="H131" s="4"/>
      <c r="I131" s="4"/>
    </row>
    <row r="132" spans="1:9" ht="15.9" x14ac:dyDescent="0.4">
      <c r="A132" s="4"/>
      <c r="B132" s="4"/>
      <c r="C132" s="4"/>
      <c r="D132" s="4"/>
      <c r="E132" s="4"/>
      <c r="F132" s="4"/>
      <c r="G132" s="4"/>
      <c r="H132" s="4"/>
      <c r="I132" s="4"/>
    </row>
    <row r="133" spans="1:9" ht="15.9" x14ac:dyDescent="0.4">
      <c r="A133" s="4"/>
      <c r="B133" s="4"/>
      <c r="C133" s="4"/>
      <c r="D133" s="4"/>
      <c r="E133" s="4"/>
      <c r="F133" s="4"/>
      <c r="G133" s="4"/>
      <c r="H133" s="4"/>
      <c r="I133" s="4"/>
    </row>
    <row r="134" spans="1:9" ht="15.9" x14ac:dyDescent="0.4">
      <c r="A134" s="4"/>
      <c r="B134" s="4"/>
      <c r="C134" s="4"/>
      <c r="D134" s="4"/>
      <c r="E134" s="4"/>
      <c r="F134" s="4"/>
      <c r="G134" s="4"/>
      <c r="H134" s="4"/>
      <c r="I134" s="4"/>
    </row>
    <row r="135" spans="1:9" ht="15.9" x14ac:dyDescent="0.4">
      <c r="A135" s="4"/>
      <c r="B135" s="4"/>
      <c r="C135" s="4"/>
      <c r="D135" s="4"/>
      <c r="E135" s="4"/>
      <c r="F135" s="4"/>
      <c r="G135" s="4"/>
      <c r="H135" s="4"/>
      <c r="I135" s="4"/>
    </row>
    <row r="136" spans="1:9" ht="15.9" x14ac:dyDescent="0.4">
      <c r="A136" s="4"/>
      <c r="B136" s="4"/>
      <c r="C136" s="4"/>
      <c r="D136" s="4"/>
      <c r="E136" s="4"/>
      <c r="F136" s="4"/>
      <c r="G136" s="4"/>
      <c r="H136" s="4"/>
      <c r="I136" s="4"/>
    </row>
    <row r="137" spans="1:9" ht="15.9" x14ac:dyDescent="0.4">
      <c r="A137" s="4"/>
      <c r="B137" s="4"/>
      <c r="C137" s="4"/>
      <c r="D137" s="4"/>
      <c r="E137" s="4"/>
      <c r="F137" s="4"/>
      <c r="G137" s="4"/>
      <c r="H137" s="4"/>
      <c r="I137" s="4"/>
    </row>
    <row r="138" spans="1:9" ht="15.9" x14ac:dyDescent="0.4">
      <c r="A138" s="4"/>
      <c r="B138" s="4"/>
      <c r="C138" s="4"/>
      <c r="D138" s="4"/>
      <c r="E138" s="4"/>
      <c r="F138" s="4"/>
      <c r="G138" s="4"/>
      <c r="H138" s="4"/>
      <c r="I138" s="4"/>
    </row>
    <row r="139" spans="1:9" ht="15.9" x14ac:dyDescent="0.4">
      <c r="A139" s="4"/>
      <c r="B139" s="4"/>
      <c r="C139" s="4"/>
      <c r="D139" s="4"/>
      <c r="E139" s="4"/>
      <c r="F139" s="4"/>
      <c r="G139" s="4"/>
      <c r="H139" s="4"/>
      <c r="I139" s="4"/>
    </row>
    <row r="140" spans="1:9" ht="15.9" x14ac:dyDescent="0.4">
      <c r="A140" s="4"/>
      <c r="B140" s="4"/>
      <c r="C140" s="4"/>
      <c r="D140" s="4"/>
      <c r="E140" s="4"/>
      <c r="F140" s="4"/>
      <c r="G140" s="4"/>
      <c r="H140" s="4"/>
      <c r="I140" s="4"/>
    </row>
    <row r="141" spans="1:9" ht="15.9" x14ac:dyDescent="0.4">
      <c r="A141" s="4"/>
      <c r="B141" s="4"/>
      <c r="C141" s="4"/>
      <c r="D141" s="4"/>
      <c r="E141" s="4"/>
      <c r="F141" s="4"/>
      <c r="G141" s="4"/>
      <c r="H141" s="4"/>
      <c r="I141" s="4"/>
    </row>
    <row r="142" spans="1:9" ht="15.9" x14ac:dyDescent="0.4">
      <c r="A142" s="4"/>
      <c r="B142" s="4"/>
      <c r="C142" s="4"/>
      <c r="D142" s="4"/>
      <c r="E142" s="4"/>
      <c r="F142" s="4"/>
      <c r="G142" s="4"/>
      <c r="H142" s="4"/>
      <c r="I142" s="4"/>
    </row>
    <row r="143" spans="1:9" ht="15.9" x14ac:dyDescent="0.4">
      <c r="A143" s="4"/>
      <c r="B143" s="4"/>
      <c r="C143" s="4"/>
      <c r="D143" s="4"/>
      <c r="E143" s="4"/>
      <c r="F143" s="4"/>
      <c r="G143" s="4"/>
      <c r="H143" s="4"/>
      <c r="I143" s="4"/>
    </row>
    <row r="144" spans="1:9" ht="15.9" x14ac:dyDescent="0.4">
      <c r="A144" s="4"/>
      <c r="B144" s="4"/>
      <c r="C144" s="4"/>
      <c r="D144" s="4"/>
      <c r="E144" s="4"/>
      <c r="F144" s="4"/>
      <c r="G144" s="4"/>
      <c r="H144" s="4"/>
      <c r="I144" s="4"/>
    </row>
    <row r="145" spans="1:9" ht="15.9" x14ac:dyDescent="0.4">
      <c r="A145" s="4"/>
      <c r="B145" s="4"/>
      <c r="C145" s="4"/>
      <c r="D145" s="4"/>
      <c r="E145" s="4"/>
      <c r="F145" s="4"/>
      <c r="G145" s="4"/>
      <c r="H145" s="4"/>
      <c r="I145" s="4"/>
    </row>
    <row r="146" spans="1:9" ht="15.9" x14ac:dyDescent="0.4">
      <c r="A146" s="4"/>
      <c r="B146" s="4"/>
      <c r="C146" s="4"/>
      <c r="D146" s="4"/>
      <c r="E146" s="4"/>
      <c r="F146" s="4"/>
      <c r="G146" s="4"/>
      <c r="H146" s="4"/>
      <c r="I146" s="4"/>
    </row>
    <row r="147" spans="1:9" ht="15.9" x14ac:dyDescent="0.4">
      <c r="A147" s="4"/>
      <c r="B147" s="4"/>
      <c r="C147" s="4"/>
      <c r="D147" s="4"/>
      <c r="E147" s="4"/>
      <c r="F147" s="4"/>
      <c r="G147" s="4"/>
      <c r="H147" s="4"/>
      <c r="I147" s="4"/>
    </row>
    <row r="148" spans="1:9" ht="15.9" x14ac:dyDescent="0.4">
      <c r="A148" s="4"/>
      <c r="B148" s="4"/>
      <c r="C148" s="4"/>
      <c r="D148" s="4"/>
      <c r="E148" s="4"/>
      <c r="F148" s="4"/>
      <c r="G148" s="4"/>
      <c r="H148" s="4"/>
      <c r="I148" s="4"/>
    </row>
    <row r="149" spans="1:9" ht="15.9" x14ac:dyDescent="0.4">
      <c r="A149" s="4"/>
      <c r="B149" s="4"/>
      <c r="C149" s="4"/>
      <c r="D149" s="4"/>
      <c r="E149" s="4"/>
      <c r="F149" s="4"/>
      <c r="G149" s="4"/>
      <c r="H149" s="4"/>
      <c r="I149" s="4"/>
    </row>
    <row r="150" spans="1:9" ht="15.9" x14ac:dyDescent="0.4">
      <c r="A150" s="4"/>
      <c r="B150" s="4"/>
      <c r="C150" s="4"/>
      <c r="D150" s="4"/>
      <c r="E150" s="4"/>
      <c r="F150" s="4"/>
      <c r="G150" s="4"/>
      <c r="H150" s="4"/>
      <c r="I150" s="4"/>
    </row>
    <row r="151" spans="1:9" ht="15.9" x14ac:dyDescent="0.4">
      <c r="A151" s="4"/>
      <c r="B151" s="4"/>
      <c r="C151" s="4"/>
      <c r="D151" s="4"/>
      <c r="E151" s="4"/>
      <c r="F151" s="4"/>
      <c r="G151" s="4"/>
      <c r="H151" s="4"/>
      <c r="I151" s="4"/>
    </row>
    <row r="152" spans="1:9" ht="15.9" x14ac:dyDescent="0.4">
      <c r="A152" s="4"/>
      <c r="B152" s="4"/>
      <c r="C152" s="4"/>
      <c r="D152" s="4"/>
      <c r="E152" s="4"/>
      <c r="F152" s="4"/>
      <c r="G152" s="4"/>
      <c r="H152" s="4"/>
      <c r="I152" s="4"/>
    </row>
    <row r="153" spans="1:9" ht="15.9" x14ac:dyDescent="0.4">
      <c r="A153" s="4"/>
      <c r="B153" s="4"/>
      <c r="C153" s="4"/>
      <c r="D153" s="4"/>
      <c r="E153" s="4"/>
      <c r="F153" s="4"/>
      <c r="G153" s="4"/>
      <c r="H153" s="4"/>
      <c r="I153" s="4"/>
    </row>
    <row r="154" spans="1:9" ht="15.9" x14ac:dyDescent="0.4">
      <c r="A154" s="4"/>
      <c r="B154" s="4"/>
      <c r="C154" s="4"/>
      <c r="D154" s="4"/>
      <c r="E154" s="4"/>
      <c r="F154" s="4"/>
      <c r="G154" s="4"/>
      <c r="H154" s="4"/>
      <c r="I154" s="4"/>
    </row>
    <row r="155" spans="1:9" ht="15.9" x14ac:dyDescent="0.4">
      <c r="A155" s="4"/>
      <c r="B155" s="4"/>
      <c r="C155" s="4"/>
      <c r="D155" s="4"/>
      <c r="E155" s="4"/>
      <c r="F155" s="4"/>
      <c r="G155" s="4"/>
      <c r="H155" s="4"/>
      <c r="I155" s="4"/>
    </row>
    <row r="156" spans="1:9" ht="15.9" x14ac:dyDescent="0.4">
      <c r="A156" s="4"/>
      <c r="B156" s="4"/>
      <c r="C156" s="4"/>
      <c r="D156" s="4"/>
      <c r="E156" s="4"/>
      <c r="F156" s="4"/>
      <c r="G156" s="4"/>
      <c r="H156" s="4"/>
      <c r="I156" s="4"/>
    </row>
    <row r="157" spans="1:9" ht="15.9" x14ac:dyDescent="0.4">
      <c r="A157" s="4"/>
      <c r="B157" s="4"/>
      <c r="C157" s="4"/>
      <c r="D157" s="4"/>
      <c r="E157" s="4"/>
      <c r="F157" s="4"/>
      <c r="G157" s="4"/>
      <c r="H157" s="4"/>
      <c r="I157" s="4"/>
    </row>
    <row r="158" spans="1:9" ht="15.9" x14ac:dyDescent="0.4">
      <c r="A158" s="4"/>
      <c r="B158" s="4"/>
      <c r="C158" s="4"/>
      <c r="D158" s="4"/>
      <c r="E158" s="4"/>
      <c r="F158" s="4"/>
      <c r="G158" s="4"/>
      <c r="H158" s="4"/>
      <c r="I158" s="4"/>
    </row>
    <row r="159" spans="1:9" ht="15.9" x14ac:dyDescent="0.4">
      <c r="A159" s="4"/>
      <c r="B159" s="4"/>
      <c r="C159" s="4"/>
      <c r="D159" s="4"/>
      <c r="E159" s="4"/>
      <c r="F159" s="4"/>
      <c r="G159" s="4"/>
      <c r="H159" s="4"/>
      <c r="I159" s="4"/>
    </row>
    <row r="160" spans="1:9" ht="15.9" x14ac:dyDescent="0.4">
      <c r="A160" s="4"/>
      <c r="B160" s="4"/>
      <c r="C160" s="4"/>
      <c r="D160" s="4"/>
      <c r="E160" s="4"/>
      <c r="F160" s="4"/>
      <c r="G160" s="4"/>
      <c r="H160" s="4"/>
      <c r="I160" s="4"/>
    </row>
    <row r="161" spans="1:9" ht="15.9" x14ac:dyDescent="0.4">
      <c r="A161" s="4"/>
      <c r="B161" s="4"/>
      <c r="C161" s="4"/>
      <c r="D161" s="4"/>
      <c r="E161" s="4"/>
      <c r="F161" s="4"/>
      <c r="G161" s="4"/>
      <c r="H161" s="4"/>
      <c r="I161" s="4"/>
    </row>
    <row r="162" spans="1:9" ht="15.9" x14ac:dyDescent="0.4">
      <c r="A162" s="4"/>
      <c r="B162" s="4"/>
      <c r="C162" s="4"/>
      <c r="D162" s="4"/>
      <c r="E162" s="4"/>
      <c r="F162" s="4"/>
      <c r="G162" s="4"/>
      <c r="H162" s="4"/>
      <c r="I162" s="4"/>
    </row>
    <row r="163" spans="1:9" ht="15.9" x14ac:dyDescent="0.4">
      <c r="A163" s="4"/>
      <c r="B163" s="4"/>
      <c r="C163" s="4"/>
      <c r="D163" s="4"/>
      <c r="E163" s="4"/>
      <c r="F163" s="4"/>
      <c r="G163" s="4"/>
      <c r="H163" s="4"/>
      <c r="I163" s="4"/>
    </row>
    <row r="164" spans="1:9" ht="15.9" x14ac:dyDescent="0.4">
      <c r="A164" s="4"/>
      <c r="B164" s="4"/>
      <c r="C164" s="4"/>
      <c r="D164" s="4"/>
      <c r="E164" s="4"/>
      <c r="F164" s="4"/>
      <c r="G164" s="4"/>
      <c r="H164" s="4"/>
      <c r="I164" s="4"/>
    </row>
    <row r="165" spans="1:9" ht="15.9" x14ac:dyDescent="0.4">
      <c r="A165" s="4"/>
      <c r="B165" s="4"/>
      <c r="C165" s="4"/>
      <c r="D165" s="4"/>
      <c r="E165" s="4"/>
      <c r="F165" s="4"/>
      <c r="G165" s="4"/>
      <c r="H165" s="4"/>
      <c r="I165" s="4"/>
    </row>
    <row r="166" spans="1:9" ht="15.9" x14ac:dyDescent="0.4">
      <c r="A166" s="4"/>
      <c r="B166" s="4"/>
      <c r="C166" s="4"/>
      <c r="D166" s="4"/>
      <c r="E166" s="4"/>
      <c r="F166" s="4"/>
      <c r="G166" s="4"/>
      <c r="H166" s="4"/>
      <c r="I166" s="4"/>
    </row>
    <row r="167" spans="1:9" ht="15.9" x14ac:dyDescent="0.4">
      <c r="A167" s="4"/>
      <c r="B167" s="4"/>
      <c r="C167" s="4"/>
      <c r="D167" s="4"/>
      <c r="E167" s="4"/>
      <c r="F167" s="4"/>
      <c r="G167" s="4"/>
      <c r="H167" s="4"/>
      <c r="I167" s="4"/>
    </row>
    <row r="168" spans="1:9" ht="15.9" x14ac:dyDescent="0.4">
      <c r="A168" s="4"/>
      <c r="B168" s="4"/>
      <c r="C168" s="4"/>
      <c r="D168" s="4"/>
      <c r="E168" s="4"/>
      <c r="F168" s="4"/>
      <c r="G168" s="4"/>
      <c r="H168" s="4"/>
      <c r="I168" s="4"/>
    </row>
    <row r="169" spans="1:9" ht="15.9" x14ac:dyDescent="0.4">
      <c r="A169" s="4"/>
      <c r="B169" s="4"/>
      <c r="C169" s="4"/>
      <c r="D169" s="4"/>
      <c r="E169" s="4"/>
      <c r="F169" s="4"/>
      <c r="G169" s="4"/>
      <c r="H169" s="4"/>
      <c r="I169" s="4"/>
    </row>
    <row r="170" spans="1:9" ht="15.9" x14ac:dyDescent="0.4">
      <c r="A170" s="4"/>
      <c r="B170" s="4"/>
      <c r="C170" s="4"/>
      <c r="D170" s="4"/>
      <c r="E170" s="4"/>
      <c r="F170" s="4"/>
      <c r="G170" s="4"/>
      <c r="H170" s="4"/>
      <c r="I170" s="4"/>
    </row>
    <row r="171" spans="1:9" ht="15.9" x14ac:dyDescent="0.4">
      <c r="A171" s="4"/>
      <c r="B171" s="4"/>
      <c r="C171" s="4"/>
      <c r="D171" s="4"/>
      <c r="E171" s="4"/>
      <c r="F171" s="4"/>
      <c r="G171" s="4"/>
      <c r="H171" s="4"/>
      <c r="I171" s="4"/>
    </row>
    <row r="172" spans="1:9" ht="15.9" x14ac:dyDescent="0.4">
      <c r="A172" s="4"/>
      <c r="B172" s="4"/>
      <c r="C172" s="4"/>
      <c r="D172" s="4"/>
      <c r="E172" s="4"/>
      <c r="F172" s="4"/>
      <c r="G172" s="4"/>
      <c r="H172" s="4"/>
      <c r="I172" s="4"/>
    </row>
    <row r="173" spans="1:9" ht="15.9" x14ac:dyDescent="0.4">
      <c r="A173" s="4"/>
      <c r="B173" s="4"/>
      <c r="C173" s="4"/>
      <c r="D173" s="4"/>
      <c r="E173" s="4"/>
      <c r="F173" s="4"/>
      <c r="G173" s="4"/>
      <c r="H173" s="4"/>
      <c r="I173" s="4"/>
    </row>
    <row r="174" spans="1:9" ht="15.9" x14ac:dyDescent="0.4">
      <c r="A174" s="4"/>
      <c r="B174" s="4"/>
      <c r="C174" s="4"/>
      <c r="D174" s="4"/>
      <c r="E174" s="4"/>
      <c r="F174" s="4"/>
      <c r="G174" s="4"/>
      <c r="H174" s="4"/>
      <c r="I174" s="4"/>
    </row>
    <row r="175" spans="1:9" ht="15.9" x14ac:dyDescent="0.4">
      <c r="A175" s="4"/>
      <c r="B175" s="4"/>
      <c r="C175" s="4"/>
      <c r="D175" s="4"/>
      <c r="E175" s="4"/>
      <c r="F175" s="4"/>
      <c r="G175" s="4"/>
      <c r="H175" s="4"/>
      <c r="I175" s="4"/>
    </row>
    <row r="176" spans="1:9" ht="15.9" x14ac:dyDescent="0.4">
      <c r="A176" s="4"/>
      <c r="B176" s="4"/>
      <c r="C176" s="4"/>
      <c r="D176" s="4"/>
      <c r="E176" s="4"/>
      <c r="F176" s="4"/>
      <c r="G176" s="4"/>
      <c r="H176" s="4"/>
      <c r="I176" s="4"/>
    </row>
    <row r="177" spans="1:9" ht="15.9" x14ac:dyDescent="0.4">
      <c r="A177" s="4"/>
      <c r="B177" s="4"/>
      <c r="C177" s="4"/>
      <c r="D177" s="4"/>
      <c r="E177" s="4"/>
      <c r="F177" s="4"/>
      <c r="G177" s="4"/>
      <c r="H177" s="4"/>
      <c r="I177" s="4"/>
    </row>
    <row r="178" spans="1:9" ht="15.9" x14ac:dyDescent="0.4">
      <c r="A178" s="4"/>
      <c r="B178" s="4"/>
      <c r="C178" s="4"/>
      <c r="D178" s="4"/>
      <c r="E178" s="4"/>
      <c r="F178" s="4"/>
      <c r="G178" s="4"/>
      <c r="H178" s="4"/>
      <c r="I178" s="4"/>
    </row>
    <row r="179" spans="1:9" ht="15.9" x14ac:dyDescent="0.4">
      <c r="A179" s="4"/>
      <c r="B179" s="4"/>
      <c r="C179" s="4"/>
      <c r="D179" s="4"/>
      <c r="E179" s="4"/>
      <c r="F179" s="4"/>
      <c r="G179" s="4"/>
      <c r="H179" s="4"/>
      <c r="I179" s="4"/>
    </row>
    <row r="180" spans="1:9" ht="15.9" x14ac:dyDescent="0.4">
      <c r="A180" s="4"/>
      <c r="B180" s="4"/>
      <c r="C180" s="4"/>
      <c r="D180" s="4"/>
      <c r="E180" s="4"/>
      <c r="F180" s="4"/>
      <c r="G180" s="4"/>
      <c r="H180" s="4"/>
      <c r="I180" s="4"/>
    </row>
    <row r="181" spans="1:9" ht="15.9" x14ac:dyDescent="0.4">
      <c r="A181" s="4"/>
      <c r="B181" s="4"/>
      <c r="C181" s="4"/>
      <c r="D181" s="4"/>
      <c r="E181" s="4"/>
      <c r="F181" s="4"/>
      <c r="G181" s="4"/>
      <c r="H181" s="4"/>
      <c r="I181" s="4"/>
    </row>
    <row r="182" spans="1:9" ht="15.9" x14ac:dyDescent="0.4">
      <c r="A182" s="4"/>
      <c r="B182" s="4"/>
      <c r="C182" s="4"/>
      <c r="D182" s="4"/>
      <c r="E182" s="4"/>
      <c r="F182" s="4"/>
      <c r="G182" s="4"/>
      <c r="H182" s="4"/>
      <c r="I182" s="4"/>
    </row>
    <row r="183" spans="1:9" ht="15.9" x14ac:dyDescent="0.4">
      <c r="A183" s="4"/>
      <c r="B183" s="4"/>
      <c r="C183" s="4"/>
      <c r="D183" s="4"/>
      <c r="E183" s="4"/>
      <c r="F183" s="4"/>
      <c r="G183" s="4"/>
      <c r="H183" s="4"/>
      <c r="I183" s="4"/>
    </row>
    <row r="184" spans="1:9" ht="15.9" x14ac:dyDescent="0.4">
      <c r="A184" s="4"/>
      <c r="B184" s="4"/>
      <c r="C184" s="4"/>
      <c r="D184" s="4"/>
      <c r="E184" s="4"/>
      <c r="F184" s="4"/>
      <c r="G184" s="4"/>
      <c r="H184" s="4"/>
      <c r="I184" s="4"/>
    </row>
    <row r="185" spans="1:9" ht="15.9" x14ac:dyDescent="0.4">
      <c r="A185" s="4"/>
      <c r="B185" s="4"/>
      <c r="C185" s="4"/>
      <c r="D185" s="4"/>
      <c r="E185" s="4"/>
      <c r="F185" s="4"/>
      <c r="G185" s="4"/>
      <c r="H185" s="4"/>
      <c r="I185" s="4"/>
    </row>
    <row r="186" spans="1:9" ht="15.9" x14ac:dyDescent="0.4">
      <c r="A186" s="4"/>
      <c r="B186" s="4"/>
      <c r="C186" s="4"/>
      <c r="D186" s="4"/>
      <c r="E186" s="4"/>
      <c r="F186" s="4"/>
      <c r="G186" s="4"/>
      <c r="H186" s="4"/>
      <c r="I186" s="4"/>
    </row>
    <row r="187" spans="1:9" ht="15.9" x14ac:dyDescent="0.4">
      <c r="A187" s="4"/>
      <c r="B187" s="4"/>
      <c r="C187" s="4"/>
      <c r="D187" s="4"/>
      <c r="E187" s="4"/>
      <c r="F187" s="4"/>
      <c r="G187" s="4"/>
      <c r="H187" s="4"/>
      <c r="I187" s="4"/>
    </row>
    <row r="188" spans="1:9" ht="15.9" x14ac:dyDescent="0.4">
      <c r="A188" s="4"/>
      <c r="B188" s="4"/>
      <c r="C188" s="4"/>
      <c r="D188" s="4"/>
      <c r="E188" s="4"/>
      <c r="F188" s="4"/>
      <c r="G188" s="4"/>
      <c r="H188" s="4"/>
      <c r="I188" s="4"/>
    </row>
    <row r="189" spans="1:9" ht="15.9" x14ac:dyDescent="0.4">
      <c r="A189" s="4"/>
      <c r="B189" s="4"/>
      <c r="C189" s="4"/>
      <c r="D189" s="4"/>
      <c r="E189" s="4"/>
      <c r="F189" s="4"/>
      <c r="G189" s="4"/>
      <c r="H189" s="4"/>
      <c r="I189" s="4"/>
    </row>
    <row r="190" spans="1:9" ht="15.9" x14ac:dyDescent="0.4">
      <c r="A190" s="4"/>
      <c r="B190" s="4"/>
      <c r="C190" s="4"/>
      <c r="D190" s="4"/>
      <c r="E190" s="4"/>
      <c r="F190" s="4"/>
      <c r="G190" s="4"/>
      <c r="H190" s="4"/>
      <c r="I190" s="4"/>
    </row>
    <row r="191" spans="1:9" ht="15.9" x14ac:dyDescent="0.4">
      <c r="A191" s="4"/>
      <c r="B191" s="4"/>
      <c r="C191" s="4"/>
      <c r="D191" s="4"/>
      <c r="E191" s="4"/>
      <c r="F191" s="4"/>
      <c r="G191" s="4"/>
      <c r="H191" s="4"/>
      <c r="I191" s="4"/>
    </row>
    <row r="192" spans="1:9" ht="15.9" x14ac:dyDescent="0.4">
      <c r="A192" s="4"/>
      <c r="B192" s="4"/>
      <c r="C192" s="4"/>
      <c r="D192" s="4"/>
      <c r="E192" s="4"/>
      <c r="F192" s="4"/>
      <c r="G192" s="4"/>
      <c r="H192" s="4"/>
      <c r="I192" s="4"/>
    </row>
    <row r="193" spans="1:9" ht="15.9" x14ac:dyDescent="0.4">
      <c r="A193" s="4"/>
      <c r="B193" s="4"/>
      <c r="C193" s="4"/>
      <c r="D193" s="4"/>
      <c r="E193" s="4"/>
      <c r="F193" s="4"/>
      <c r="G193" s="4"/>
      <c r="H193" s="4"/>
      <c r="I193" s="4"/>
    </row>
    <row r="194" spans="1:9" ht="15.9" x14ac:dyDescent="0.4">
      <c r="A194" s="4"/>
      <c r="B194" s="4"/>
      <c r="C194" s="4"/>
      <c r="D194" s="4"/>
      <c r="E194" s="4"/>
      <c r="F194" s="4"/>
      <c r="G194" s="4"/>
      <c r="H194" s="4"/>
      <c r="I194" s="4"/>
    </row>
    <row r="195" spans="1:9" ht="15.9" x14ac:dyDescent="0.4">
      <c r="A195" s="4"/>
      <c r="B195" s="4"/>
      <c r="C195" s="4"/>
      <c r="D195" s="4"/>
      <c r="E195" s="4"/>
      <c r="F195" s="4"/>
      <c r="G195" s="4"/>
      <c r="H195" s="4"/>
      <c r="I195" s="4"/>
    </row>
    <row r="196" spans="1:9" ht="15.9" x14ac:dyDescent="0.4">
      <c r="A196" s="4"/>
      <c r="B196" s="4"/>
      <c r="C196" s="4"/>
      <c r="D196" s="4"/>
      <c r="E196" s="4"/>
      <c r="F196" s="4"/>
      <c r="G196" s="4"/>
      <c r="H196" s="4"/>
      <c r="I196" s="4"/>
    </row>
    <row r="197" spans="1:9" ht="15.9" x14ac:dyDescent="0.4">
      <c r="A197" s="4"/>
      <c r="B197" s="4"/>
      <c r="C197" s="4"/>
      <c r="D197" s="4"/>
      <c r="E197" s="4"/>
      <c r="F197" s="4"/>
      <c r="G197" s="4"/>
      <c r="H197" s="4"/>
      <c r="I197" s="4"/>
    </row>
    <row r="198" spans="1:9" ht="15.9" x14ac:dyDescent="0.4">
      <c r="A198" s="4"/>
      <c r="B198" s="4"/>
      <c r="C198" s="4"/>
      <c r="D198" s="4"/>
      <c r="E198" s="4"/>
      <c r="F198" s="4"/>
      <c r="G198" s="4"/>
      <c r="H198" s="4"/>
      <c r="I198" s="4"/>
    </row>
    <row r="199" spans="1:9" ht="15.9" x14ac:dyDescent="0.4">
      <c r="A199" s="4"/>
      <c r="B199" s="4"/>
      <c r="C199" s="4"/>
      <c r="D199" s="4"/>
      <c r="E199" s="4"/>
      <c r="F199" s="4"/>
      <c r="G199" s="4"/>
      <c r="H199" s="4"/>
      <c r="I199" s="4"/>
    </row>
    <row r="200" spans="1:9" ht="15.9" x14ac:dyDescent="0.4">
      <c r="A200" s="4"/>
      <c r="B200" s="4"/>
      <c r="C200" s="4"/>
      <c r="D200" s="4"/>
      <c r="E200" s="4"/>
      <c r="F200" s="4"/>
      <c r="G200" s="4"/>
      <c r="H200" s="4"/>
      <c r="I200" s="4"/>
    </row>
    <row r="201" spans="1:9" ht="15.9" x14ac:dyDescent="0.4">
      <c r="A201" s="4"/>
      <c r="B201" s="4"/>
      <c r="C201" s="4"/>
      <c r="D201" s="4"/>
      <c r="E201" s="4"/>
      <c r="F201" s="4"/>
      <c r="G201" s="4"/>
      <c r="H201" s="4"/>
      <c r="I201" s="4"/>
    </row>
    <row r="202" spans="1:9" ht="15.9" x14ac:dyDescent="0.4">
      <c r="A202" s="4"/>
      <c r="B202" s="4"/>
      <c r="C202" s="4"/>
      <c r="D202" s="4"/>
      <c r="E202" s="4"/>
      <c r="F202" s="4"/>
      <c r="G202" s="4"/>
      <c r="H202" s="4"/>
      <c r="I202" s="4"/>
    </row>
    <row r="203" spans="1:9" ht="15.9" x14ac:dyDescent="0.4">
      <c r="A203" s="4"/>
      <c r="B203" s="4"/>
      <c r="C203" s="4"/>
      <c r="D203" s="4"/>
      <c r="E203" s="4"/>
      <c r="F203" s="4"/>
      <c r="G203" s="4"/>
      <c r="H203" s="4"/>
      <c r="I203" s="4"/>
    </row>
    <row r="204" spans="1:9" ht="15.9" x14ac:dyDescent="0.4">
      <c r="A204" s="4"/>
      <c r="B204" s="4"/>
      <c r="C204" s="4"/>
      <c r="D204" s="4"/>
      <c r="E204" s="4"/>
      <c r="F204" s="4"/>
      <c r="G204" s="4"/>
      <c r="H204" s="4"/>
      <c r="I204" s="4"/>
    </row>
    <row r="205" spans="1:9" ht="15.9" x14ac:dyDescent="0.4">
      <c r="A205" s="4"/>
      <c r="B205" s="4"/>
      <c r="C205" s="4"/>
      <c r="D205" s="4"/>
      <c r="E205" s="4"/>
      <c r="F205" s="4"/>
      <c r="G205" s="4"/>
      <c r="H205" s="4"/>
      <c r="I205" s="4"/>
    </row>
    <row r="206" spans="1:9" ht="15.9" x14ac:dyDescent="0.4">
      <c r="A206" s="4"/>
      <c r="B206" s="4"/>
      <c r="C206" s="4"/>
      <c r="D206" s="4"/>
      <c r="E206" s="4"/>
      <c r="F206" s="4"/>
      <c r="G206" s="4"/>
      <c r="H206" s="4"/>
      <c r="I206" s="4"/>
    </row>
    <row r="207" spans="1:9" ht="15.9" x14ac:dyDescent="0.4">
      <c r="A207" s="4"/>
      <c r="B207" s="4"/>
      <c r="C207" s="4"/>
      <c r="D207" s="4"/>
      <c r="E207" s="4"/>
      <c r="F207" s="4"/>
      <c r="G207" s="4"/>
      <c r="H207" s="4"/>
      <c r="I207" s="4"/>
    </row>
    <row r="208" spans="1:9" ht="15.9" x14ac:dyDescent="0.4">
      <c r="A208" s="4"/>
      <c r="B208" s="4"/>
      <c r="C208" s="4"/>
      <c r="D208" s="4"/>
      <c r="E208" s="4"/>
      <c r="F208" s="4"/>
      <c r="G208" s="4"/>
      <c r="H208" s="4"/>
      <c r="I208" s="4"/>
    </row>
    <row r="209" spans="1:9" ht="15.9" x14ac:dyDescent="0.4">
      <c r="A209" s="4"/>
      <c r="B209" s="4"/>
      <c r="C209" s="4"/>
      <c r="D209" s="4"/>
      <c r="E209" s="4"/>
      <c r="F209" s="4"/>
      <c r="G209" s="4"/>
      <c r="H209" s="4"/>
      <c r="I209" s="4"/>
    </row>
    <row r="210" spans="1:9" ht="15.9" x14ac:dyDescent="0.4">
      <c r="A210" s="4"/>
      <c r="B210" s="4"/>
      <c r="C210" s="4"/>
      <c r="D210" s="4"/>
      <c r="E210" s="4"/>
      <c r="F210" s="4"/>
      <c r="G210" s="4"/>
      <c r="H210" s="4"/>
      <c r="I210" s="4"/>
    </row>
    <row r="211" spans="1:9" ht="15.9" x14ac:dyDescent="0.4">
      <c r="A211" s="4"/>
      <c r="B211" s="4"/>
      <c r="C211" s="4"/>
      <c r="D211" s="4"/>
      <c r="E211" s="4"/>
      <c r="F211" s="4"/>
      <c r="G211" s="4"/>
      <c r="H211" s="4"/>
      <c r="I211" s="4"/>
    </row>
    <row r="212" spans="1:9" ht="15.9" x14ac:dyDescent="0.4">
      <c r="A212" s="4"/>
      <c r="B212" s="4"/>
      <c r="C212" s="4"/>
      <c r="D212" s="4"/>
      <c r="E212" s="4"/>
      <c r="F212" s="4"/>
      <c r="G212" s="4"/>
      <c r="H212" s="4"/>
      <c r="I212" s="4"/>
    </row>
    <row r="213" spans="1:9" ht="15.9" x14ac:dyDescent="0.4">
      <c r="A213" s="4"/>
      <c r="B213" s="4"/>
      <c r="C213" s="4"/>
      <c r="D213" s="4"/>
      <c r="E213" s="4"/>
      <c r="F213" s="4"/>
      <c r="G213" s="4"/>
      <c r="H213" s="4"/>
      <c r="I213" s="4"/>
    </row>
    <row r="214" spans="1:9" ht="15.9" x14ac:dyDescent="0.4">
      <c r="A214" s="4"/>
      <c r="B214" s="4"/>
      <c r="C214" s="4"/>
      <c r="D214" s="4"/>
      <c r="E214" s="4"/>
      <c r="F214" s="4"/>
      <c r="G214" s="4"/>
      <c r="H214" s="4"/>
      <c r="I214" s="4"/>
    </row>
    <row r="215" spans="1:9" ht="15.9" x14ac:dyDescent="0.4">
      <c r="A215" s="4"/>
      <c r="B215" s="4"/>
      <c r="C215" s="4"/>
      <c r="D215" s="4"/>
      <c r="E215" s="4"/>
      <c r="F215" s="4"/>
      <c r="G215" s="4"/>
      <c r="H215" s="4"/>
      <c r="I215" s="4"/>
    </row>
    <row r="216" spans="1:9" ht="15.9" x14ac:dyDescent="0.4">
      <c r="A216" s="4"/>
      <c r="B216" s="4"/>
      <c r="C216" s="4"/>
      <c r="D216" s="4"/>
      <c r="E216" s="4"/>
      <c r="F216" s="4"/>
      <c r="G216" s="4"/>
      <c r="H216" s="4"/>
      <c r="I216" s="4"/>
    </row>
    <row r="217" spans="1:9" ht="15.9" x14ac:dyDescent="0.4">
      <c r="A217" s="4"/>
      <c r="B217" s="4"/>
      <c r="C217" s="4"/>
      <c r="D217" s="4"/>
      <c r="E217" s="4"/>
      <c r="F217" s="4"/>
      <c r="G217" s="4"/>
      <c r="H217" s="4"/>
      <c r="I217" s="4"/>
    </row>
    <row r="218" spans="1:9" ht="15.9" x14ac:dyDescent="0.4">
      <c r="A218" s="4"/>
      <c r="B218" s="4"/>
      <c r="C218" s="4"/>
      <c r="D218" s="4"/>
      <c r="E218" s="4"/>
      <c r="F218" s="4"/>
      <c r="G218" s="4"/>
      <c r="H218" s="4"/>
      <c r="I218" s="4"/>
    </row>
    <row r="219" spans="1:9" ht="15.9" x14ac:dyDescent="0.4">
      <c r="A219" s="4"/>
      <c r="B219" s="4"/>
      <c r="C219" s="4"/>
      <c r="D219" s="4"/>
      <c r="E219" s="4"/>
      <c r="F219" s="4"/>
      <c r="G219" s="4"/>
      <c r="H219" s="4"/>
      <c r="I219" s="4"/>
    </row>
    <row r="220" spans="1:9" ht="15.9" x14ac:dyDescent="0.4">
      <c r="A220" s="4"/>
      <c r="B220" s="4"/>
      <c r="C220" s="4"/>
      <c r="D220" s="4"/>
      <c r="E220" s="4"/>
      <c r="F220" s="4"/>
      <c r="G220" s="4"/>
      <c r="H220" s="4"/>
      <c r="I220" s="4"/>
    </row>
    <row r="221" spans="1:9" ht="15.9" x14ac:dyDescent="0.4">
      <c r="A221" s="4"/>
      <c r="B221" s="4"/>
      <c r="C221" s="4"/>
      <c r="D221" s="4"/>
      <c r="E221" s="4"/>
      <c r="F221" s="4"/>
      <c r="G221" s="4"/>
      <c r="H221" s="4"/>
      <c r="I221" s="4"/>
    </row>
    <row r="222" spans="1:9" ht="15.9" x14ac:dyDescent="0.4">
      <c r="A222" s="4"/>
      <c r="B222" s="4"/>
      <c r="C222" s="4"/>
      <c r="D222" s="4"/>
      <c r="E222" s="4"/>
      <c r="F222" s="4"/>
      <c r="G222" s="4"/>
      <c r="H222" s="4"/>
      <c r="I222" s="4"/>
    </row>
    <row r="223" spans="1:9" ht="15.9" x14ac:dyDescent="0.4">
      <c r="A223" s="4"/>
      <c r="B223" s="4"/>
      <c r="C223" s="4"/>
      <c r="D223" s="4"/>
      <c r="E223" s="4"/>
      <c r="F223" s="4"/>
      <c r="G223" s="4"/>
      <c r="H223" s="4"/>
      <c r="I223" s="4"/>
    </row>
    <row r="224" spans="1:9" ht="15.9" x14ac:dyDescent="0.4">
      <c r="A224" s="4"/>
      <c r="B224" s="4"/>
      <c r="C224" s="4"/>
      <c r="D224" s="4"/>
      <c r="E224" s="4"/>
      <c r="F224" s="4"/>
      <c r="G224" s="4"/>
      <c r="H224" s="4"/>
      <c r="I224" s="4"/>
    </row>
    <row r="225" spans="1:9" ht="15.9" x14ac:dyDescent="0.4">
      <c r="A225" s="4"/>
      <c r="B225" s="4"/>
      <c r="C225" s="4"/>
      <c r="D225" s="4"/>
      <c r="E225" s="4"/>
      <c r="F225" s="4"/>
      <c r="G225" s="4"/>
      <c r="H225" s="4"/>
      <c r="I225" s="4"/>
    </row>
    <row r="226" spans="1:9" ht="15.9" x14ac:dyDescent="0.4">
      <c r="A226" s="4"/>
      <c r="B226" s="4"/>
      <c r="C226" s="4"/>
      <c r="D226" s="4"/>
      <c r="E226" s="4"/>
      <c r="F226" s="4"/>
      <c r="G226" s="4"/>
      <c r="H226" s="4"/>
      <c r="I226" s="4"/>
    </row>
    <row r="227" spans="1:9" ht="15.9" x14ac:dyDescent="0.4">
      <c r="A227" s="4"/>
      <c r="B227" s="4"/>
      <c r="C227" s="4"/>
      <c r="D227" s="4"/>
      <c r="E227" s="4"/>
      <c r="F227" s="4"/>
      <c r="G227" s="4"/>
      <c r="H227" s="4"/>
      <c r="I227" s="4"/>
    </row>
    <row r="228" spans="1:9" ht="15.9" x14ac:dyDescent="0.4">
      <c r="A228" s="4"/>
      <c r="B228" s="4"/>
      <c r="C228" s="4"/>
      <c r="D228" s="4"/>
      <c r="E228" s="4"/>
      <c r="F228" s="4"/>
      <c r="G228" s="4"/>
      <c r="H228" s="4"/>
      <c r="I228" s="4"/>
    </row>
    <row r="229" spans="1:9" ht="15.9" x14ac:dyDescent="0.4">
      <c r="A229" s="4"/>
      <c r="B229" s="4"/>
      <c r="C229" s="4"/>
      <c r="D229" s="4"/>
      <c r="E229" s="4"/>
      <c r="F229" s="4"/>
      <c r="G229" s="4"/>
      <c r="H229" s="4"/>
      <c r="I229" s="4"/>
    </row>
    <row r="230" spans="1:9" ht="15.9" x14ac:dyDescent="0.4">
      <c r="A230" s="4"/>
      <c r="B230" s="4"/>
      <c r="C230" s="4"/>
      <c r="D230" s="4"/>
      <c r="E230" s="4"/>
      <c r="F230" s="4"/>
      <c r="G230" s="4"/>
      <c r="H230" s="4"/>
      <c r="I230" s="4"/>
    </row>
    <row r="231" spans="1:9" ht="15.9" x14ac:dyDescent="0.4">
      <c r="A231" s="4"/>
      <c r="B231" s="4"/>
      <c r="C231" s="4"/>
      <c r="D231" s="4"/>
      <c r="E231" s="4"/>
      <c r="F231" s="4"/>
      <c r="G231" s="4"/>
      <c r="H231" s="4"/>
      <c r="I231" s="4"/>
    </row>
    <row r="232" spans="1:9" ht="15.9" x14ac:dyDescent="0.4">
      <c r="A232" s="4"/>
      <c r="B232" s="4"/>
      <c r="C232" s="4"/>
      <c r="D232" s="4"/>
      <c r="E232" s="4"/>
      <c r="F232" s="4"/>
      <c r="G232" s="4"/>
      <c r="H232" s="4"/>
      <c r="I232" s="4"/>
    </row>
    <row r="233" spans="1:9" ht="15.9" x14ac:dyDescent="0.4">
      <c r="A233" s="4"/>
      <c r="B233" s="4"/>
      <c r="C233" s="4"/>
      <c r="D233" s="4"/>
      <c r="E233" s="4"/>
      <c r="F233" s="4"/>
      <c r="G233" s="4"/>
      <c r="H233" s="4"/>
      <c r="I233" s="4"/>
    </row>
    <row r="234" spans="1:9" ht="15.9" x14ac:dyDescent="0.4">
      <c r="A234" s="4"/>
      <c r="B234" s="4"/>
      <c r="C234" s="4"/>
      <c r="D234" s="4"/>
      <c r="E234" s="4"/>
      <c r="F234" s="4"/>
      <c r="G234" s="4"/>
      <c r="H234" s="4"/>
      <c r="I234" s="4"/>
    </row>
    <row r="235" spans="1:9" ht="15.9" x14ac:dyDescent="0.4">
      <c r="A235" s="4"/>
      <c r="B235" s="4"/>
      <c r="C235" s="4"/>
      <c r="D235" s="4"/>
      <c r="E235" s="4"/>
      <c r="F235" s="4"/>
      <c r="G235" s="4"/>
      <c r="H235" s="4"/>
      <c r="I235" s="4"/>
    </row>
    <row r="236" spans="1:9" ht="15.9" x14ac:dyDescent="0.4">
      <c r="A236" s="4"/>
      <c r="B236" s="4"/>
      <c r="C236" s="4"/>
      <c r="D236" s="4"/>
      <c r="E236" s="4"/>
      <c r="F236" s="4"/>
      <c r="G236" s="4"/>
      <c r="H236" s="4"/>
      <c r="I236" s="4"/>
    </row>
    <row r="237" spans="1:9" ht="15.9" x14ac:dyDescent="0.4">
      <c r="A237" s="4"/>
      <c r="B237" s="4"/>
      <c r="C237" s="4"/>
      <c r="D237" s="4"/>
      <c r="E237" s="4"/>
      <c r="F237" s="4"/>
      <c r="G237" s="4"/>
      <c r="H237" s="4"/>
      <c r="I237" s="4"/>
    </row>
    <row r="238" spans="1:9" ht="15.9" x14ac:dyDescent="0.4">
      <c r="A238" s="4"/>
      <c r="B238" s="4"/>
      <c r="C238" s="4"/>
      <c r="D238" s="4"/>
      <c r="E238" s="4"/>
      <c r="F238" s="4"/>
      <c r="G238" s="4"/>
      <c r="H238" s="4"/>
      <c r="I238" s="4"/>
    </row>
    <row r="239" spans="1:9" ht="15.9" x14ac:dyDescent="0.4">
      <c r="A239" s="4"/>
      <c r="B239" s="4"/>
      <c r="C239" s="4"/>
      <c r="D239" s="4"/>
      <c r="E239" s="4"/>
      <c r="F239" s="4"/>
      <c r="G239" s="4"/>
      <c r="H239" s="4"/>
      <c r="I239" s="4"/>
    </row>
    <row r="240" spans="1:9" ht="15.9" x14ac:dyDescent="0.4">
      <c r="A240" s="4"/>
      <c r="B240" s="4"/>
      <c r="C240" s="4"/>
      <c r="D240" s="4"/>
      <c r="E240" s="4"/>
      <c r="F240" s="4"/>
      <c r="G240" s="4"/>
      <c r="H240" s="4"/>
      <c r="I240" s="4"/>
    </row>
    <row r="241" spans="1:9" ht="15.9" x14ac:dyDescent="0.4">
      <c r="A241" s="4"/>
      <c r="B241" s="4"/>
      <c r="C241" s="4"/>
      <c r="D241" s="4"/>
      <c r="E241" s="4"/>
      <c r="F241" s="4"/>
      <c r="G241" s="4"/>
      <c r="H241" s="4"/>
      <c r="I241" s="4"/>
    </row>
    <row r="242" spans="1:9" ht="15.9" x14ac:dyDescent="0.4">
      <c r="A242" s="4"/>
      <c r="B242" s="4"/>
      <c r="C242" s="4"/>
      <c r="D242" s="4"/>
      <c r="E242" s="4"/>
      <c r="F242" s="4"/>
      <c r="G242" s="4"/>
      <c r="H242" s="4"/>
      <c r="I242" s="4"/>
    </row>
    <row r="243" spans="1:9" ht="15.9" x14ac:dyDescent="0.4">
      <c r="A243" s="4"/>
      <c r="B243" s="4"/>
      <c r="C243" s="4"/>
      <c r="D243" s="4"/>
      <c r="E243" s="4"/>
      <c r="F243" s="4"/>
      <c r="G243" s="4"/>
      <c r="H243" s="4"/>
      <c r="I243" s="4"/>
    </row>
    <row r="244" spans="1:9" ht="15.9" x14ac:dyDescent="0.4">
      <c r="A244" s="4"/>
      <c r="B244" s="4"/>
      <c r="C244" s="4"/>
      <c r="D244" s="4"/>
      <c r="E244" s="4"/>
      <c r="F244" s="4"/>
      <c r="G244" s="4"/>
      <c r="H244" s="4"/>
      <c r="I244" s="4"/>
    </row>
    <row r="245" spans="1:9" ht="15.9" x14ac:dyDescent="0.4">
      <c r="A245" s="4"/>
      <c r="B245" s="4"/>
      <c r="C245" s="4"/>
      <c r="D245" s="4"/>
      <c r="E245" s="4"/>
      <c r="F245" s="4"/>
      <c r="G245" s="4"/>
      <c r="H245" s="4"/>
      <c r="I245" s="4"/>
    </row>
    <row r="246" spans="1:9" ht="15.9" x14ac:dyDescent="0.4">
      <c r="A246" s="4"/>
      <c r="B246" s="4"/>
      <c r="C246" s="4"/>
      <c r="D246" s="4"/>
      <c r="E246" s="4"/>
      <c r="F246" s="4"/>
      <c r="G246" s="4"/>
      <c r="H246" s="4"/>
      <c r="I246" s="4"/>
    </row>
    <row r="247" spans="1:9" ht="15.9" x14ac:dyDescent="0.4">
      <c r="A247" s="4"/>
      <c r="B247" s="4"/>
      <c r="C247" s="4"/>
      <c r="D247" s="4"/>
      <c r="E247" s="4"/>
      <c r="F247" s="4"/>
      <c r="G247" s="4"/>
      <c r="H247" s="4"/>
      <c r="I247" s="4"/>
    </row>
    <row r="248" spans="1:9" ht="15.9" x14ac:dyDescent="0.4">
      <c r="A248" s="4"/>
      <c r="B248" s="4"/>
      <c r="C248" s="4"/>
      <c r="D248" s="4"/>
      <c r="E248" s="4"/>
      <c r="F248" s="4"/>
      <c r="G248" s="4"/>
      <c r="H248" s="4"/>
      <c r="I248" s="4"/>
    </row>
    <row r="249" spans="1:9" ht="15.9" x14ac:dyDescent="0.4">
      <c r="A249" s="4"/>
      <c r="B249" s="4"/>
      <c r="C249" s="4"/>
      <c r="D249" s="4"/>
      <c r="E249" s="4"/>
      <c r="F249" s="4"/>
      <c r="G249" s="4"/>
      <c r="H249" s="4"/>
      <c r="I249" s="4"/>
    </row>
    <row r="250" spans="1:9" ht="15.9" x14ac:dyDescent="0.4">
      <c r="A250" s="4"/>
      <c r="B250" s="4"/>
      <c r="C250" s="4"/>
      <c r="D250" s="4"/>
      <c r="E250" s="4"/>
      <c r="F250" s="4"/>
      <c r="G250" s="4"/>
      <c r="H250" s="4"/>
      <c r="I250" s="4"/>
    </row>
    <row r="251" spans="1:9" ht="15.9" x14ac:dyDescent="0.4">
      <c r="A251" s="4"/>
      <c r="B251" s="4"/>
      <c r="C251" s="4"/>
      <c r="D251" s="4"/>
      <c r="E251" s="4"/>
      <c r="F251" s="4"/>
      <c r="G251" s="4"/>
      <c r="H251" s="4"/>
      <c r="I251" s="4"/>
    </row>
    <row r="252" spans="1:9" ht="15.9" x14ac:dyDescent="0.4">
      <c r="A252" s="4"/>
      <c r="B252" s="4"/>
      <c r="C252" s="4"/>
      <c r="D252" s="4"/>
      <c r="E252" s="4"/>
      <c r="F252" s="4"/>
      <c r="G252" s="4"/>
      <c r="H252" s="4"/>
      <c r="I252" s="4"/>
    </row>
    <row r="253" spans="1:9" ht="15.9" x14ac:dyDescent="0.4">
      <c r="A253" s="4"/>
      <c r="B253" s="4"/>
      <c r="C253" s="4"/>
      <c r="D253" s="4"/>
      <c r="E253" s="4"/>
      <c r="F253" s="4"/>
      <c r="G253" s="4"/>
      <c r="H253" s="4"/>
      <c r="I253" s="4"/>
    </row>
    <row r="254" spans="1:9" ht="15.9" x14ac:dyDescent="0.4">
      <c r="A254" s="4"/>
      <c r="B254" s="4"/>
      <c r="C254" s="4"/>
      <c r="D254" s="4"/>
      <c r="E254" s="4"/>
      <c r="F254" s="4"/>
      <c r="G254" s="4"/>
      <c r="H254" s="4"/>
      <c r="I254" s="4"/>
    </row>
    <row r="255" spans="1:9" ht="15.9" x14ac:dyDescent="0.4">
      <c r="A255" s="4"/>
      <c r="B255" s="4"/>
      <c r="C255" s="4"/>
      <c r="D255" s="4"/>
      <c r="E255" s="4"/>
      <c r="F255" s="4"/>
      <c r="G255" s="4"/>
      <c r="H255" s="4"/>
      <c r="I255" s="4"/>
    </row>
    <row r="256" spans="1:9" ht="15.9" x14ac:dyDescent="0.4">
      <c r="A256" s="4"/>
      <c r="B256" s="4"/>
      <c r="C256" s="4"/>
      <c r="D256" s="4"/>
      <c r="E256" s="4"/>
      <c r="F256" s="4"/>
      <c r="G256" s="4"/>
      <c r="H256" s="4"/>
      <c r="I256" s="4"/>
    </row>
    <row r="257" spans="1:9" ht="15.9" x14ac:dyDescent="0.4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5.9" x14ac:dyDescent="0.4">
      <c r="A258" s="4"/>
      <c r="B258" s="4"/>
      <c r="C258" s="4"/>
      <c r="D258" s="4"/>
      <c r="E258" s="4"/>
      <c r="F258" s="4"/>
      <c r="G258" s="4"/>
      <c r="H258" s="4"/>
      <c r="I258" s="4"/>
    </row>
    <row r="259" spans="1:9" ht="15.9" x14ac:dyDescent="0.4">
      <c r="A259" s="4"/>
      <c r="B259" s="4"/>
      <c r="C259" s="4"/>
      <c r="D259" s="4"/>
      <c r="E259" s="4"/>
      <c r="F259" s="4"/>
      <c r="G259" s="4"/>
      <c r="H259" s="4"/>
      <c r="I259" s="4"/>
    </row>
    <row r="260" spans="1:9" ht="15.9" x14ac:dyDescent="0.4">
      <c r="A260" s="4"/>
      <c r="B260" s="4"/>
      <c r="C260" s="4"/>
      <c r="D260" s="4"/>
      <c r="E260" s="4"/>
      <c r="F260" s="4"/>
      <c r="G260" s="4"/>
      <c r="H260" s="4"/>
      <c r="I260" s="4"/>
    </row>
    <row r="261" spans="1:9" ht="15.9" x14ac:dyDescent="0.4">
      <c r="A261" s="4"/>
      <c r="B261" s="4"/>
      <c r="C261" s="4"/>
      <c r="D261" s="4"/>
      <c r="E261" s="4"/>
      <c r="F261" s="4"/>
      <c r="G261" s="4"/>
      <c r="H261" s="4"/>
      <c r="I261" s="4"/>
    </row>
    <row r="262" spans="1:9" ht="15.9" x14ac:dyDescent="0.4">
      <c r="A262" s="4"/>
      <c r="B262" s="4"/>
      <c r="C262" s="4"/>
      <c r="D262" s="4"/>
      <c r="E262" s="4"/>
      <c r="F262" s="4"/>
      <c r="G262" s="4"/>
      <c r="H262" s="4"/>
      <c r="I262" s="4"/>
    </row>
    <row r="263" spans="1:9" ht="15.9" x14ac:dyDescent="0.4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5.9" x14ac:dyDescent="0.4">
      <c r="A264" s="4"/>
      <c r="B264" s="4"/>
      <c r="C264" s="4"/>
      <c r="D264" s="4"/>
      <c r="E264" s="4"/>
      <c r="F264" s="4"/>
      <c r="G264" s="4"/>
      <c r="H264" s="4"/>
      <c r="I264" s="4"/>
    </row>
    <row r="265" spans="1:9" ht="15.9" x14ac:dyDescent="0.4">
      <c r="A265" s="4"/>
      <c r="B265" s="4"/>
      <c r="C265" s="4"/>
      <c r="D265" s="4"/>
      <c r="E265" s="4"/>
      <c r="F265" s="4"/>
      <c r="G265" s="4"/>
      <c r="H265" s="4"/>
      <c r="I265" s="4"/>
    </row>
    <row r="266" spans="1:9" ht="15.9" x14ac:dyDescent="0.4">
      <c r="A266" s="4"/>
      <c r="B266" s="4"/>
      <c r="C266" s="4"/>
      <c r="D266" s="4"/>
      <c r="E266" s="4"/>
      <c r="F266" s="4"/>
      <c r="G266" s="4"/>
      <c r="H266" s="4"/>
      <c r="I266" s="4"/>
    </row>
    <row r="267" spans="1:9" ht="15.9" x14ac:dyDescent="0.4">
      <c r="A267" s="4"/>
      <c r="B267" s="4"/>
      <c r="C267" s="4"/>
      <c r="D267" s="4"/>
      <c r="E267" s="4"/>
      <c r="F267" s="4"/>
      <c r="G267" s="4"/>
      <c r="H267" s="4"/>
      <c r="I267" s="4"/>
    </row>
    <row r="268" spans="1:9" ht="15.9" x14ac:dyDescent="0.4">
      <c r="A268" s="4"/>
      <c r="B268" s="4"/>
      <c r="C268" s="4"/>
      <c r="D268" s="4"/>
      <c r="E268" s="4"/>
      <c r="F268" s="4"/>
      <c r="G268" s="4"/>
      <c r="H268" s="4"/>
      <c r="I268" s="4"/>
    </row>
    <row r="269" spans="1:9" ht="15.9" x14ac:dyDescent="0.4">
      <c r="A269" s="4"/>
      <c r="B269" s="4"/>
      <c r="C269" s="4"/>
      <c r="D269" s="4"/>
      <c r="E269" s="4"/>
      <c r="F269" s="4"/>
      <c r="G269" s="4"/>
      <c r="H269" s="4"/>
      <c r="I269" s="4"/>
    </row>
    <row r="270" spans="1:9" ht="15.9" x14ac:dyDescent="0.4">
      <c r="A270" s="4"/>
      <c r="B270" s="4"/>
      <c r="C270" s="4"/>
      <c r="D270" s="4"/>
      <c r="E270" s="4"/>
      <c r="F270" s="4"/>
      <c r="G270" s="4"/>
      <c r="H270" s="4"/>
      <c r="I270" s="4"/>
    </row>
    <row r="271" spans="1:9" ht="15.9" x14ac:dyDescent="0.4">
      <c r="A271" s="4"/>
      <c r="B271" s="4"/>
      <c r="C271" s="4"/>
      <c r="D271" s="4"/>
      <c r="E271" s="4"/>
      <c r="F271" s="4"/>
      <c r="G271" s="4"/>
      <c r="H271" s="4"/>
      <c r="I271" s="4"/>
    </row>
    <row r="272" spans="1:9" ht="15.9" x14ac:dyDescent="0.4">
      <c r="A272" s="4"/>
      <c r="B272" s="4"/>
      <c r="C272" s="4"/>
      <c r="D272" s="4"/>
      <c r="E272" s="4"/>
      <c r="F272" s="4"/>
      <c r="G272" s="4"/>
      <c r="H272" s="4"/>
      <c r="I272" s="4"/>
    </row>
    <row r="273" spans="1:9" ht="15.9" x14ac:dyDescent="0.4">
      <c r="A273" s="4"/>
      <c r="B273" s="4"/>
      <c r="C273" s="4"/>
      <c r="D273" s="4"/>
      <c r="E273" s="4"/>
      <c r="F273" s="4"/>
      <c r="G273" s="4"/>
      <c r="H273" s="4"/>
      <c r="I273" s="4"/>
    </row>
    <row r="274" spans="1:9" ht="15.9" x14ac:dyDescent="0.4">
      <c r="A274" s="4"/>
      <c r="B274" s="4"/>
      <c r="C274" s="4"/>
      <c r="D274" s="4"/>
      <c r="E274" s="4"/>
      <c r="F274" s="4"/>
      <c r="G274" s="4"/>
      <c r="H274" s="4"/>
      <c r="I274" s="4"/>
    </row>
    <row r="275" spans="1:9" ht="15.9" x14ac:dyDescent="0.4">
      <c r="A275" s="4"/>
      <c r="B275" s="4"/>
      <c r="C275" s="4"/>
      <c r="D275" s="4"/>
      <c r="E275" s="4"/>
      <c r="F275" s="4"/>
      <c r="G275" s="4"/>
      <c r="H275" s="4"/>
      <c r="I275" s="4"/>
    </row>
    <row r="276" spans="1:9" ht="15.9" x14ac:dyDescent="0.4">
      <c r="A276" s="4"/>
      <c r="B276" s="4"/>
      <c r="C276" s="4"/>
      <c r="D276" s="4"/>
      <c r="E276" s="4"/>
      <c r="F276" s="4"/>
      <c r="G276" s="4"/>
      <c r="H276" s="4"/>
      <c r="I276" s="4"/>
    </row>
    <row r="277" spans="1:9" ht="15.9" x14ac:dyDescent="0.4">
      <c r="A277" s="4"/>
      <c r="B277" s="4"/>
      <c r="C277" s="4"/>
      <c r="D277" s="4"/>
      <c r="E277" s="4"/>
      <c r="F277" s="4"/>
      <c r="G277" s="4"/>
      <c r="H277" s="4"/>
      <c r="I277" s="4"/>
    </row>
    <row r="278" spans="1:9" ht="15.9" x14ac:dyDescent="0.4">
      <c r="A278" s="4"/>
      <c r="B278" s="4"/>
      <c r="C278" s="4"/>
      <c r="D278" s="4"/>
      <c r="E278" s="4"/>
      <c r="F278" s="4"/>
      <c r="G278" s="4"/>
      <c r="H278" s="4"/>
      <c r="I278" s="4"/>
    </row>
    <row r="279" spans="1:9" ht="15.9" x14ac:dyDescent="0.4">
      <c r="A279" s="4"/>
      <c r="B279" s="4"/>
      <c r="C279" s="4"/>
      <c r="D279" s="4"/>
      <c r="E279" s="4"/>
      <c r="F279" s="4"/>
      <c r="G279" s="4"/>
      <c r="H279" s="4"/>
      <c r="I279" s="4"/>
    </row>
    <row r="280" spans="1:9" ht="15.9" x14ac:dyDescent="0.4">
      <c r="A280" s="4"/>
      <c r="B280" s="4"/>
      <c r="C280" s="4"/>
      <c r="D280" s="4"/>
      <c r="E280" s="4"/>
      <c r="F280" s="4"/>
      <c r="G280" s="4"/>
      <c r="H280" s="4"/>
      <c r="I280" s="4"/>
    </row>
    <row r="281" spans="1:9" ht="15.9" x14ac:dyDescent="0.4">
      <c r="A281" s="4"/>
      <c r="B281" s="4"/>
      <c r="C281" s="4"/>
      <c r="D281" s="4"/>
      <c r="E281" s="4"/>
      <c r="F281" s="4"/>
      <c r="G281" s="4"/>
      <c r="H281" s="4"/>
      <c r="I281" s="4"/>
    </row>
    <row r="282" spans="1:9" ht="15.9" x14ac:dyDescent="0.4">
      <c r="A282" s="4"/>
      <c r="B282" s="4"/>
      <c r="C282" s="4"/>
      <c r="D282" s="4"/>
      <c r="E282" s="4"/>
      <c r="F282" s="4"/>
      <c r="G282" s="4"/>
      <c r="H282" s="4"/>
      <c r="I282" s="4"/>
    </row>
    <row r="283" spans="1:9" ht="15.9" x14ac:dyDescent="0.4">
      <c r="A283" s="4"/>
      <c r="B283" s="4"/>
      <c r="C283" s="4"/>
      <c r="D283" s="4"/>
      <c r="E283" s="4"/>
      <c r="F283" s="4"/>
      <c r="G283" s="4"/>
      <c r="H283" s="4"/>
      <c r="I283" s="4"/>
    </row>
    <row r="284" spans="1:9" ht="15.9" x14ac:dyDescent="0.4">
      <c r="A284" s="4"/>
      <c r="B284" s="4"/>
      <c r="C284" s="4"/>
      <c r="D284" s="4"/>
      <c r="E284" s="4"/>
      <c r="F284" s="4"/>
      <c r="G284" s="4"/>
      <c r="H284" s="4"/>
      <c r="I284" s="4"/>
    </row>
    <row r="285" spans="1:9" ht="15.9" x14ac:dyDescent="0.4">
      <c r="A285" s="4"/>
      <c r="B285" s="4"/>
      <c r="C285" s="4"/>
      <c r="D285" s="4"/>
      <c r="E285" s="4"/>
      <c r="F285" s="4"/>
      <c r="G285" s="4"/>
      <c r="H285" s="4"/>
      <c r="I285" s="4"/>
    </row>
    <row r="286" spans="1:9" ht="15.9" x14ac:dyDescent="0.4">
      <c r="A286" s="4"/>
      <c r="B286" s="4"/>
      <c r="C286" s="4"/>
      <c r="D286" s="4"/>
      <c r="E286" s="4"/>
      <c r="F286" s="4"/>
      <c r="G286" s="4"/>
      <c r="H286" s="4"/>
      <c r="I286" s="4"/>
    </row>
    <row r="287" spans="1:9" ht="15.9" x14ac:dyDescent="0.4">
      <c r="A287" s="4"/>
      <c r="B287" s="4"/>
      <c r="C287" s="4"/>
      <c r="D287" s="4"/>
      <c r="E287" s="4"/>
      <c r="F287" s="4"/>
      <c r="G287" s="4"/>
      <c r="H287" s="4"/>
      <c r="I287" s="4"/>
    </row>
    <row r="288" spans="1:9" ht="15.9" x14ac:dyDescent="0.4">
      <c r="A288" s="4"/>
      <c r="B288" s="4"/>
      <c r="C288" s="4"/>
      <c r="D288" s="4"/>
      <c r="E288" s="4"/>
      <c r="F288" s="4"/>
      <c r="G288" s="4"/>
      <c r="H288" s="4"/>
      <c r="I288" s="4"/>
    </row>
    <row r="289" spans="1:9" ht="15.9" x14ac:dyDescent="0.4">
      <c r="A289" s="4"/>
      <c r="B289" s="4"/>
      <c r="C289" s="4"/>
      <c r="D289" s="4"/>
      <c r="E289" s="4"/>
      <c r="F289" s="4"/>
      <c r="G289" s="4"/>
      <c r="H289" s="4"/>
      <c r="I289" s="4"/>
    </row>
    <row r="290" spans="1:9" ht="15.9" x14ac:dyDescent="0.4">
      <c r="A290" s="4"/>
      <c r="B290" s="4"/>
      <c r="C290" s="4"/>
      <c r="D290" s="4"/>
      <c r="E290" s="4"/>
      <c r="F290" s="4"/>
      <c r="G290" s="4"/>
      <c r="H290" s="4"/>
      <c r="I290" s="4"/>
    </row>
    <row r="291" spans="1:9" ht="15.9" x14ac:dyDescent="0.4">
      <c r="A291" s="4"/>
      <c r="B291" s="4"/>
      <c r="C291" s="4"/>
      <c r="D291" s="4"/>
      <c r="E291" s="4"/>
      <c r="F291" s="4"/>
      <c r="G291" s="4"/>
      <c r="H291" s="4"/>
      <c r="I291" s="4"/>
    </row>
    <row r="292" spans="1:9" ht="15.9" x14ac:dyDescent="0.4">
      <c r="A292" s="4"/>
      <c r="B292" s="4"/>
      <c r="C292" s="4"/>
      <c r="D292" s="4"/>
      <c r="E292" s="4"/>
      <c r="F292" s="4"/>
      <c r="G292" s="4"/>
      <c r="H292" s="4"/>
      <c r="I292" s="4"/>
    </row>
    <row r="293" spans="1:9" ht="15.9" x14ac:dyDescent="0.4">
      <c r="A293" s="4"/>
      <c r="B293" s="4"/>
      <c r="C293" s="4"/>
      <c r="D293" s="4"/>
      <c r="E293" s="4"/>
      <c r="F293" s="4"/>
      <c r="G293" s="4"/>
      <c r="H293" s="4"/>
      <c r="I293" s="4"/>
    </row>
    <row r="294" spans="1:9" ht="15.9" x14ac:dyDescent="0.4">
      <c r="A294" s="4"/>
      <c r="B294" s="4"/>
      <c r="C294" s="4"/>
      <c r="D294" s="4"/>
      <c r="E294" s="4"/>
      <c r="F294" s="4"/>
      <c r="G294" s="4"/>
      <c r="H294" s="4"/>
      <c r="I294" s="4"/>
    </row>
    <row r="295" spans="1:9" ht="15.9" x14ac:dyDescent="0.4">
      <c r="A295" s="4"/>
      <c r="B295" s="4"/>
      <c r="C295" s="4"/>
      <c r="D295" s="4"/>
      <c r="E295" s="4"/>
      <c r="F295" s="4"/>
      <c r="G295" s="4"/>
      <c r="H295" s="4"/>
      <c r="I295" s="4"/>
    </row>
    <row r="296" spans="1:9" ht="15.9" x14ac:dyDescent="0.4">
      <c r="A296" s="4"/>
      <c r="B296" s="4"/>
      <c r="C296" s="4"/>
      <c r="D296" s="4"/>
      <c r="E296" s="4"/>
      <c r="F296" s="4"/>
      <c r="G296" s="4"/>
      <c r="H296" s="4"/>
      <c r="I296" s="4"/>
    </row>
    <row r="297" spans="1:9" ht="15.9" x14ac:dyDescent="0.4">
      <c r="A297" s="4"/>
      <c r="B297" s="4"/>
      <c r="C297" s="4"/>
      <c r="D297" s="4"/>
      <c r="E297" s="4"/>
      <c r="F297" s="4"/>
      <c r="G297" s="4"/>
      <c r="H297" s="4"/>
      <c r="I297" s="4"/>
    </row>
    <row r="298" spans="1:9" ht="15.9" x14ac:dyDescent="0.4">
      <c r="A298" s="4"/>
      <c r="B298" s="4"/>
      <c r="C298" s="4"/>
      <c r="D298" s="4"/>
      <c r="E298" s="4"/>
      <c r="F298" s="4"/>
      <c r="G298" s="4"/>
      <c r="H298" s="4"/>
      <c r="I298" s="4"/>
    </row>
    <row r="299" spans="1:9" ht="15.9" x14ac:dyDescent="0.4">
      <c r="A299" s="4"/>
      <c r="B299" s="4"/>
      <c r="C299" s="4"/>
      <c r="D299" s="4"/>
      <c r="E299" s="4"/>
      <c r="F299" s="4"/>
      <c r="G299" s="4"/>
      <c r="H299" s="4"/>
      <c r="I299" s="4"/>
    </row>
    <row r="300" spans="1:9" ht="15.9" x14ac:dyDescent="0.4">
      <c r="A300" s="4"/>
      <c r="B300" s="4"/>
      <c r="C300" s="4"/>
      <c r="D300" s="4"/>
      <c r="E300" s="4"/>
      <c r="F300" s="4"/>
      <c r="G300" s="4"/>
      <c r="H300" s="4"/>
      <c r="I300" s="4"/>
    </row>
  </sheetData>
  <autoFilter ref="A1:I110" xr:uid="{0249E235-5587-4CD3-9DE0-CB1F98F754B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5E00E-4DC4-446C-933B-CFD3321B20A5}">
  <dimension ref="A1:I311"/>
  <sheetViews>
    <sheetView topLeftCell="A36" workbookViewId="0">
      <selection activeCell="A50" sqref="A50:XFD50"/>
    </sheetView>
  </sheetViews>
  <sheetFormatPr defaultRowHeight="14.6" x14ac:dyDescent="0.4"/>
  <cols>
    <col min="1" max="1" width="16.53515625" customWidth="1"/>
    <col min="2" max="2" width="37.84375" customWidth="1"/>
    <col min="3" max="3" width="35.53515625" customWidth="1"/>
    <col min="4" max="4" width="14" customWidth="1"/>
    <col min="5" max="5" width="17.15234375" customWidth="1"/>
    <col min="6" max="6" width="26" customWidth="1"/>
    <col min="7" max="7" width="41.3828125" customWidth="1"/>
    <col min="8" max="8" width="13.53515625" customWidth="1"/>
    <col min="9" max="9" width="37.3828125" customWidth="1"/>
  </cols>
  <sheetData>
    <row r="1" spans="1:9" s="2" customFormat="1" ht="18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9" x14ac:dyDescent="0.4">
      <c r="A2" s="3">
        <v>45691</v>
      </c>
      <c r="B2" s="4" t="s">
        <v>987</v>
      </c>
      <c r="C2" s="4" t="s">
        <v>988</v>
      </c>
      <c r="D2" s="4">
        <v>6880</v>
      </c>
      <c r="E2" s="4">
        <v>8</v>
      </c>
      <c r="F2" s="4" t="s">
        <v>15</v>
      </c>
      <c r="G2" s="4" t="s">
        <v>12</v>
      </c>
      <c r="H2" s="5"/>
      <c r="I2" s="4"/>
    </row>
    <row r="3" spans="1:9" ht="15.9" x14ac:dyDescent="0.4">
      <c r="A3" s="3">
        <v>45691</v>
      </c>
      <c r="B3" s="4" t="s">
        <v>17</v>
      </c>
      <c r="C3" s="4" t="s">
        <v>989</v>
      </c>
      <c r="D3" s="4">
        <v>31605</v>
      </c>
      <c r="E3" s="4">
        <v>43</v>
      </c>
      <c r="F3" s="4" t="s">
        <v>15</v>
      </c>
      <c r="G3" s="4" t="s">
        <v>19</v>
      </c>
      <c r="H3" s="5">
        <v>1675</v>
      </c>
      <c r="I3" s="4"/>
    </row>
    <row r="4" spans="1:9" ht="15.9" x14ac:dyDescent="0.4">
      <c r="A4" s="3">
        <v>45691</v>
      </c>
      <c r="B4" s="4" t="s">
        <v>990</v>
      </c>
      <c r="C4" s="4" t="s">
        <v>991</v>
      </c>
      <c r="D4" s="4">
        <v>24640</v>
      </c>
      <c r="E4" s="4">
        <v>20</v>
      </c>
      <c r="F4" s="4" t="s">
        <v>15</v>
      </c>
      <c r="G4" s="4" t="s">
        <v>832</v>
      </c>
      <c r="H4" s="5">
        <v>2150</v>
      </c>
      <c r="I4" s="4"/>
    </row>
    <row r="5" spans="1:9" ht="15.9" x14ac:dyDescent="0.4">
      <c r="A5" s="3">
        <v>45691</v>
      </c>
      <c r="B5" s="4" t="s">
        <v>207</v>
      </c>
      <c r="C5" s="4" t="s">
        <v>992</v>
      </c>
      <c r="D5" s="4">
        <v>1415</v>
      </c>
      <c r="E5" s="4">
        <v>2</v>
      </c>
      <c r="F5" s="4" t="s">
        <v>35</v>
      </c>
      <c r="G5" s="4" t="s">
        <v>161</v>
      </c>
      <c r="H5" s="5">
        <v>227.94</v>
      </c>
      <c r="I5" s="4"/>
    </row>
    <row r="6" spans="1:9" ht="15.9" x14ac:dyDescent="0.4">
      <c r="A6" s="3">
        <v>45691</v>
      </c>
      <c r="B6" s="4" t="s">
        <v>168</v>
      </c>
      <c r="C6" s="4" t="s">
        <v>993</v>
      </c>
      <c r="D6" s="4">
        <v>10320</v>
      </c>
      <c r="E6" s="4">
        <v>12</v>
      </c>
      <c r="F6" s="4" t="s">
        <v>35</v>
      </c>
      <c r="G6" s="4" t="s">
        <v>161</v>
      </c>
      <c r="H6" s="5">
        <v>1356.11</v>
      </c>
      <c r="I6" s="4"/>
    </row>
    <row r="7" spans="1:9" ht="15.9" x14ac:dyDescent="0.4">
      <c r="A7" s="3">
        <v>45691</v>
      </c>
      <c r="B7" s="4" t="s">
        <v>994</v>
      </c>
      <c r="C7" s="4" t="s">
        <v>995</v>
      </c>
      <c r="D7" s="4">
        <v>4400</v>
      </c>
      <c r="E7" s="4">
        <v>5</v>
      </c>
      <c r="F7" s="4" t="s">
        <v>35</v>
      </c>
      <c r="G7" s="4" t="s">
        <v>12</v>
      </c>
      <c r="H7" s="5"/>
      <c r="I7" s="4"/>
    </row>
    <row r="8" spans="1:9" ht="15.9" x14ac:dyDescent="0.4">
      <c r="A8" s="3">
        <v>45691</v>
      </c>
      <c r="B8" s="4" t="s">
        <v>847</v>
      </c>
      <c r="C8" s="4" t="s">
        <v>996</v>
      </c>
      <c r="D8" s="4">
        <v>16131</v>
      </c>
      <c r="E8" s="4">
        <v>19</v>
      </c>
      <c r="F8" s="4" t="s">
        <v>11</v>
      </c>
      <c r="G8" s="4" t="s">
        <v>25</v>
      </c>
      <c r="H8" s="5">
        <v>4800</v>
      </c>
      <c r="I8" s="4" t="s">
        <v>997</v>
      </c>
    </row>
    <row r="9" spans="1:9" ht="15.9" x14ac:dyDescent="0.4">
      <c r="A9" s="3">
        <v>45693</v>
      </c>
      <c r="B9" s="4" t="s">
        <v>286</v>
      </c>
      <c r="C9" s="4" t="s">
        <v>998</v>
      </c>
      <c r="D9" s="4">
        <v>6640</v>
      </c>
      <c r="E9" s="4">
        <v>8</v>
      </c>
      <c r="F9" s="4" t="s">
        <v>35</v>
      </c>
      <c r="G9" s="4" t="s">
        <v>161</v>
      </c>
      <c r="H9" s="5">
        <v>863.23</v>
      </c>
      <c r="I9" s="4"/>
    </row>
    <row r="10" spans="1:9" ht="15.9" x14ac:dyDescent="0.4">
      <c r="A10" s="3">
        <v>45693</v>
      </c>
      <c r="B10" s="4" t="s">
        <v>52</v>
      </c>
      <c r="C10" s="4" t="s">
        <v>999</v>
      </c>
      <c r="D10" s="4">
        <v>39216</v>
      </c>
      <c r="E10" s="4">
        <v>48</v>
      </c>
      <c r="F10" s="4" t="s">
        <v>15</v>
      </c>
      <c r="G10" s="4" t="s">
        <v>25</v>
      </c>
      <c r="H10" s="5">
        <v>2950</v>
      </c>
      <c r="I10" s="4"/>
    </row>
    <row r="11" spans="1:9" ht="15.9" x14ac:dyDescent="0.4">
      <c r="A11" s="3">
        <v>45693</v>
      </c>
      <c r="B11" s="4" t="s">
        <v>52</v>
      </c>
      <c r="C11" s="4" t="s">
        <v>1000</v>
      </c>
      <c r="D11" s="4">
        <v>39840</v>
      </c>
      <c r="E11" s="4">
        <v>48</v>
      </c>
      <c r="F11" s="4" t="s">
        <v>15</v>
      </c>
      <c r="G11" s="4" t="s">
        <v>25</v>
      </c>
      <c r="H11" s="5">
        <v>2950</v>
      </c>
      <c r="I11" s="4"/>
    </row>
    <row r="12" spans="1:9" ht="15.9" x14ac:dyDescent="0.4">
      <c r="A12" s="3">
        <v>45693</v>
      </c>
      <c r="B12" s="4" t="s">
        <v>922</v>
      </c>
      <c r="C12" s="4" t="s">
        <v>1001</v>
      </c>
      <c r="D12" s="4">
        <v>40850</v>
      </c>
      <c r="E12" s="4">
        <v>50</v>
      </c>
      <c r="F12" s="4" t="s">
        <v>11</v>
      </c>
      <c r="G12" s="4" t="s">
        <v>19</v>
      </c>
      <c r="H12" s="5">
        <v>1950</v>
      </c>
      <c r="I12" s="4"/>
    </row>
    <row r="13" spans="1:9" ht="15.9" x14ac:dyDescent="0.4">
      <c r="A13" s="3">
        <v>45693</v>
      </c>
      <c r="B13" s="4" t="s">
        <v>922</v>
      </c>
      <c r="C13" s="4" t="s">
        <v>1002</v>
      </c>
      <c r="D13" s="4">
        <v>40033</v>
      </c>
      <c r="E13" s="4">
        <v>49</v>
      </c>
      <c r="F13" s="4" t="s">
        <v>11</v>
      </c>
      <c r="G13" s="4" t="s">
        <v>19</v>
      </c>
      <c r="H13" s="5">
        <v>1950</v>
      </c>
      <c r="I13" s="4"/>
    </row>
    <row r="14" spans="1:9" ht="15.9" x14ac:dyDescent="0.4">
      <c r="A14" s="3">
        <v>45693</v>
      </c>
      <c r="B14" s="4" t="s">
        <v>17</v>
      </c>
      <c r="C14" s="4" t="s">
        <v>969</v>
      </c>
      <c r="D14" s="4">
        <v>35948</v>
      </c>
      <c r="E14" s="4">
        <v>44</v>
      </c>
      <c r="F14" s="4" t="s">
        <v>15</v>
      </c>
      <c r="G14" s="4" t="s">
        <v>25</v>
      </c>
      <c r="H14" s="5">
        <v>1850</v>
      </c>
      <c r="I14" s="4"/>
    </row>
    <row r="15" spans="1:9" ht="15.9" x14ac:dyDescent="0.4">
      <c r="A15" s="3">
        <v>45693</v>
      </c>
      <c r="B15" s="4" t="s">
        <v>1003</v>
      </c>
      <c r="C15" s="4" t="s">
        <v>1004</v>
      </c>
      <c r="D15" s="4">
        <v>15360</v>
      </c>
      <c r="E15" s="4">
        <v>16</v>
      </c>
      <c r="F15" s="4" t="s">
        <v>15</v>
      </c>
      <c r="G15" s="4" t="s">
        <v>832</v>
      </c>
      <c r="H15" s="5">
        <v>1550</v>
      </c>
      <c r="I15" s="4"/>
    </row>
    <row r="16" spans="1:9" ht="15.9" x14ac:dyDescent="0.4">
      <c r="A16" s="3">
        <v>45693</v>
      </c>
      <c r="B16" s="4" t="s">
        <v>60</v>
      </c>
      <c r="C16" s="4" t="s">
        <v>1005</v>
      </c>
      <c r="D16" s="4">
        <v>12450</v>
      </c>
      <c r="E16" s="4">
        <v>15</v>
      </c>
      <c r="F16" s="4" t="s">
        <v>15</v>
      </c>
      <c r="G16" s="4" t="s">
        <v>832</v>
      </c>
      <c r="H16" s="5">
        <v>2000</v>
      </c>
      <c r="I16" s="4"/>
    </row>
    <row r="17" spans="1:9" ht="15.9" x14ac:dyDescent="0.4">
      <c r="A17" s="3">
        <v>45693</v>
      </c>
      <c r="B17" s="4" t="s">
        <v>918</v>
      </c>
      <c r="C17" s="4" t="s">
        <v>1006</v>
      </c>
      <c r="D17" s="4">
        <v>70</v>
      </c>
      <c r="E17" s="4">
        <v>1</v>
      </c>
      <c r="F17" s="4" t="s">
        <v>35</v>
      </c>
      <c r="G17" s="4" t="s">
        <v>161</v>
      </c>
      <c r="H17" s="5">
        <v>297.43</v>
      </c>
      <c r="I17" s="4"/>
    </row>
    <row r="18" spans="1:9" ht="15.9" x14ac:dyDescent="0.4">
      <c r="A18" s="3">
        <v>45693</v>
      </c>
      <c r="B18" s="4" t="s">
        <v>255</v>
      </c>
      <c r="C18" s="4" t="s">
        <v>1007</v>
      </c>
      <c r="D18" s="4">
        <v>14110</v>
      </c>
      <c r="E18" s="4">
        <v>17</v>
      </c>
      <c r="F18" s="4" t="s">
        <v>15</v>
      </c>
      <c r="G18" s="4" t="s">
        <v>832</v>
      </c>
      <c r="H18" s="5">
        <v>1950</v>
      </c>
      <c r="I18" s="4"/>
    </row>
    <row r="19" spans="1:9" ht="15.9" x14ac:dyDescent="0.4">
      <c r="A19" s="3">
        <v>45693</v>
      </c>
      <c r="B19" s="4" t="s">
        <v>375</v>
      </c>
      <c r="C19" s="4" t="s">
        <v>1008</v>
      </c>
      <c r="D19" s="4">
        <v>5145</v>
      </c>
      <c r="E19" s="4">
        <v>7</v>
      </c>
      <c r="F19" s="4" t="s">
        <v>35</v>
      </c>
      <c r="G19" s="4" t="s">
        <v>161</v>
      </c>
      <c r="H19" s="5">
        <v>539.86</v>
      </c>
      <c r="I19" s="4"/>
    </row>
    <row r="20" spans="1:9" ht="15.9" x14ac:dyDescent="0.4">
      <c r="A20" s="3">
        <v>45694</v>
      </c>
      <c r="B20" s="4" t="s">
        <v>52</v>
      </c>
      <c r="C20" s="4" t="s">
        <v>1009</v>
      </c>
      <c r="D20" s="4">
        <v>31340</v>
      </c>
      <c r="E20" s="4">
        <v>34</v>
      </c>
      <c r="F20" s="4" t="s">
        <v>15</v>
      </c>
      <c r="G20" s="4" t="s">
        <v>25</v>
      </c>
      <c r="H20" s="5">
        <v>2950</v>
      </c>
      <c r="I20" s="4"/>
    </row>
    <row r="21" spans="1:9" ht="15.9" x14ac:dyDescent="0.4">
      <c r="A21" s="3">
        <v>45694</v>
      </c>
      <c r="B21" s="4" t="s">
        <v>191</v>
      </c>
      <c r="C21" s="4" t="s">
        <v>1010</v>
      </c>
      <c r="D21" s="4">
        <v>35948</v>
      </c>
      <c r="E21" s="4">
        <v>44</v>
      </c>
      <c r="F21" s="4" t="s">
        <v>15</v>
      </c>
      <c r="G21" s="4" t="s">
        <v>25</v>
      </c>
      <c r="H21" s="5">
        <v>2400</v>
      </c>
      <c r="I21" s="4"/>
    </row>
    <row r="22" spans="1:9" ht="15.9" x14ac:dyDescent="0.4">
      <c r="A22" s="3">
        <v>45694</v>
      </c>
      <c r="B22" s="4" t="s">
        <v>1011</v>
      </c>
      <c r="C22" s="4" t="s">
        <v>1012</v>
      </c>
      <c r="D22" s="4">
        <v>12735</v>
      </c>
      <c r="E22" s="4">
        <v>15</v>
      </c>
      <c r="F22" s="4" t="s">
        <v>15</v>
      </c>
      <c r="G22" s="4" t="s">
        <v>25</v>
      </c>
      <c r="H22" s="5">
        <v>4500</v>
      </c>
      <c r="I22" s="4"/>
    </row>
    <row r="23" spans="1:9" ht="15.9" x14ac:dyDescent="0.4">
      <c r="A23" s="3">
        <v>45694</v>
      </c>
      <c r="B23" s="4" t="s">
        <v>183</v>
      </c>
      <c r="C23" s="4" t="s">
        <v>1013</v>
      </c>
      <c r="D23" s="4">
        <v>41631</v>
      </c>
      <c r="E23" s="4">
        <v>45</v>
      </c>
      <c r="F23" s="4" t="s">
        <v>15</v>
      </c>
      <c r="G23" s="4" t="s">
        <v>19</v>
      </c>
      <c r="H23" s="5">
        <v>1150</v>
      </c>
      <c r="I23" s="4"/>
    </row>
    <row r="24" spans="1:9" ht="15.9" x14ac:dyDescent="0.4">
      <c r="A24" s="3">
        <v>45694</v>
      </c>
      <c r="B24" s="4" t="s">
        <v>1014</v>
      </c>
      <c r="C24" s="4" t="s">
        <v>1015</v>
      </c>
      <c r="D24" s="4">
        <v>21619</v>
      </c>
      <c r="E24" s="4">
        <v>18</v>
      </c>
      <c r="F24" s="4" t="s">
        <v>11</v>
      </c>
      <c r="G24" s="4" t="s">
        <v>12</v>
      </c>
      <c r="H24" s="5"/>
      <c r="I24" s="4"/>
    </row>
    <row r="25" spans="1:9" ht="15.9" x14ac:dyDescent="0.4">
      <c r="A25" s="3">
        <v>45694</v>
      </c>
      <c r="B25" s="4" t="s">
        <v>129</v>
      </c>
      <c r="C25" s="4" t="s">
        <v>1016</v>
      </c>
      <c r="D25" s="4">
        <v>33200</v>
      </c>
      <c r="E25" s="4">
        <v>40</v>
      </c>
      <c r="F25" s="4" t="s">
        <v>15</v>
      </c>
      <c r="G25" s="4" t="s">
        <v>832</v>
      </c>
      <c r="H25" s="5">
        <v>2400</v>
      </c>
      <c r="I25" s="4"/>
    </row>
    <row r="26" spans="1:9" ht="15.9" x14ac:dyDescent="0.4">
      <c r="A26" s="3">
        <v>45694</v>
      </c>
      <c r="B26" s="4" t="s">
        <v>168</v>
      </c>
      <c r="C26" s="4" t="s">
        <v>1017</v>
      </c>
      <c r="D26" s="4">
        <v>24990</v>
      </c>
      <c r="E26" s="4">
        <v>34</v>
      </c>
      <c r="F26" s="4" t="s">
        <v>15</v>
      </c>
      <c r="G26" s="4" t="s">
        <v>25</v>
      </c>
      <c r="H26" s="5">
        <v>2500</v>
      </c>
      <c r="I26" s="4"/>
    </row>
    <row r="27" spans="1:9" ht="15.9" x14ac:dyDescent="0.4">
      <c r="A27" s="3">
        <v>45694</v>
      </c>
      <c r="B27" s="4" t="s">
        <v>1018</v>
      </c>
      <c r="C27" s="4" t="s">
        <v>1019</v>
      </c>
      <c r="D27" s="4">
        <v>4920</v>
      </c>
      <c r="E27" s="4">
        <v>6</v>
      </c>
      <c r="F27" s="4" t="s">
        <v>11</v>
      </c>
      <c r="G27" s="4" t="s">
        <v>19</v>
      </c>
      <c r="H27" s="5">
        <v>2430</v>
      </c>
      <c r="I27" s="4"/>
    </row>
    <row r="28" spans="1:9" ht="15.9" x14ac:dyDescent="0.4">
      <c r="A28" s="3">
        <v>45694</v>
      </c>
      <c r="B28" s="4" t="s">
        <v>1020</v>
      </c>
      <c r="C28" s="4" t="s">
        <v>1021</v>
      </c>
      <c r="D28" s="4">
        <v>32340</v>
      </c>
      <c r="E28" s="4">
        <v>44</v>
      </c>
      <c r="F28" s="4" t="s">
        <v>11</v>
      </c>
      <c r="G28" s="4" t="s">
        <v>19</v>
      </c>
      <c r="H28" s="5">
        <v>4600</v>
      </c>
      <c r="I28" s="4"/>
    </row>
    <row r="29" spans="1:9" ht="15.9" x14ac:dyDescent="0.4">
      <c r="A29" s="3">
        <v>45694</v>
      </c>
      <c r="B29" s="4" t="s">
        <v>168</v>
      </c>
      <c r="C29" s="6" t="s">
        <v>1022</v>
      </c>
      <c r="D29" s="4">
        <v>35200</v>
      </c>
      <c r="E29" s="4">
        <v>40</v>
      </c>
      <c r="F29" s="4" t="s">
        <v>15</v>
      </c>
      <c r="G29" s="4" t="s">
        <v>25</v>
      </c>
      <c r="H29" s="5">
        <v>2500</v>
      </c>
      <c r="I29" s="4"/>
    </row>
    <row r="30" spans="1:9" ht="15.9" x14ac:dyDescent="0.4">
      <c r="A30" s="3">
        <v>45694</v>
      </c>
      <c r="B30" s="4" t="s">
        <v>52</v>
      </c>
      <c r="C30" s="4" t="s">
        <v>1023</v>
      </c>
      <c r="D30" s="4">
        <v>20495</v>
      </c>
      <c r="E30" s="4">
        <v>24</v>
      </c>
      <c r="F30" s="4" t="s">
        <v>15</v>
      </c>
      <c r="G30" s="4" t="s">
        <v>25</v>
      </c>
      <c r="H30" s="5">
        <v>2950</v>
      </c>
      <c r="I30" s="4"/>
    </row>
    <row r="31" spans="1:9" ht="15.9" x14ac:dyDescent="0.4">
      <c r="A31" s="3">
        <v>45695</v>
      </c>
      <c r="B31" s="4" t="s">
        <v>1020</v>
      </c>
      <c r="C31" s="4" t="s">
        <v>1021</v>
      </c>
      <c r="D31" s="4">
        <v>32340</v>
      </c>
      <c r="E31" s="4">
        <v>44</v>
      </c>
      <c r="F31" s="4" t="s">
        <v>11</v>
      </c>
      <c r="G31" s="4" t="s">
        <v>19</v>
      </c>
      <c r="H31" s="5">
        <v>4600</v>
      </c>
      <c r="I31" s="4"/>
    </row>
    <row r="32" spans="1:9" ht="15.9" x14ac:dyDescent="0.4">
      <c r="A32" s="3">
        <v>45695</v>
      </c>
      <c r="B32" s="4" t="s">
        <v>1020</v>
      </c>
      <c r="C32" s="4" t="s">
        <v>1025</v>
      </c>
      <c r="D32" s="4">
        <v>18734</v>
      </c>
      <c r="E32" s="4">
        <v>25</v>
      </c>
      <c r="F32" s="4" t="s">
        <v>11</v>
      </c>
      <c r="G32" s="4" t="s">
        <v>19</v>
      </c>
      <c r="H32" s="5">
        <v>4600</v>
      </c>
      <c r="I32" s="4"/>
    </row>
    <row r="33" spans="1:9" ht="15.9" x14ac:dyDescent="0.4">
      <c r="A33" s="3">
        <v>45698</v>
      </c>
      <c r="B33" s="4" t="s">
        <v>183</v>
      </c>
      <c r="C33" s="4" t="s">
        <v>1024</v>
      </c>
      <c r="D33" s="4">
        <v>12350</v>
      </c>
      <c r="E33" s="4">
        <v>13</v>
      </c>
      <c r="F33" s="4" t="s">
        <v>35</v>
      </c>
      <c r="G33" s="4" t="s">
        <v>161</v>
      </c>
      <c r="H33" s="5">
        <v>897.64</v>
      </c>
      <c r="I33" s="4"/>
    </row>
    <row r="34" spans="1:9" ht="15.9" x14ac:dyDescent="0.4">
      <c r="A34" s="3">
        <v>45699</v>
      </c>
      <c r="B34" s="4" t="s">
        <v>193</v>
      </c>
      <c r="C34" s="4" t="s">
        <v>1026</v>
      </c>
      <c r="D34" s="4">
        <v>30135</v>
      </c>
      <c r="E34" s="4">
        <v>41</v>
      </c>
      <c r="F34" s="4" t="s">
        <v>15</v>
      </c>
      <c r="G34" s="4" t="s">
        <v>25</v>
      </c>
      <c r="H34" s="5">
        <v>2550</v>
      </c>
      <c r="I34" s="4"/>
    </row>
    <row r="35" spans="1:9" ht="15.9" x14ac:dyDescent="0.4">
      <c r="A35" s="3">
        <v>45699</v>
      </c>
      <c r="B35" s="4" t="s">
        <v>193</v>
      </c>
      <c r="C35" s="6" t="s">
        <v>1027</v>
      </c>
      <c r="D35" s="4">
        <v>41850</v>
      </c>
      <c r="E35" s="4">
        <v>45</v>
      </c>
      <c r="F35" s="4" t="s">
        <v>15</v>
      </c>
      <c r="G35" s="4" t="s">
        <v>25</v>
      </c>
      <c r="H35" s="5">
        <v>2550</v>
      </c>
      <c r="I35" s="4"/>
    </row>
    <row r="36" spans="1:9" ht="15.9" x14ac:dyDescent="0.4">
      <c r="A36" s="3">
        <v>45699</v>
      </c>
      <c r="B36" s="4" t="s">
        <v>1028</v>
      </c>
      <c r="C36" s="4" t="s">
        <v>1029</v>
      </c>
      <c r="D36" s="4">
        <v>3590</v>
      </c>
      <c r="E36" s="4">
        <v>4</v>
      </c>
      <c r="F36" s="4" t="s">
        <v>35</v>
      </c>
      <c r="G36" s="4" t="s">
        <v>161</v>
      </c>
      <c r="H36" s="5">
        <v>615.55999999999995</v>
      </c>
      <c r="I36" s="4"/>
    </row>
    <row r="37" spans="1:9" ht="15.9" x14ac:dyDescent="0.4">
      <c r="A37" s="3">
        <v>45699</v>
      </c>
      <c r="B37" s="4" t="s">
        <v>1030</v>
      </c>
      <c r="C37" s="4" t="s">
        <v>1031</v>
      </c>
      <c r="D37" s="4">
        <v>16223</v>
      </c>
      <c r="E37" s="4">
        <v>18</v>
      </c>
      <c r="F37" s="4" t="s">
        <v>15</v>
      </c>
      <c r="G37" s="4" t="s">
        <v>19</v>
      </c>
      <c r="H37" s="5">
        <v>2480</v>
      </c>
      <c r="I37" s="4"/>
    </row>
    <row r="38" spans="1:9" ht="15.9" x14ac:dyDescent="0.4">
      <c r="A38" s="3">
        <v>45700</v>
      </c>
      <c r="B38" s="4" t="s">
        <v>33</v>
      </c>
      <c r="C38" s="4" t="s">
        <v>1032</v>
      </c>
      <c r="D38" s="4">
        <v>4902</v>
      </c>
      <c r="E38" s="4">
        <v>6</v>
      </c>
      <c r="F38" s="4" t="s">
        <v>35</v>
      </c>
      <c r="G38" s="4" t="s">
        <v>161</v>
      </c>
      <c r="H38" s="5">
        <v>521.38</v>
      </c>
      <c r="I38" s="4"/>
    </row>
    <row r="39" spans="1:9" ht="15.9" x14ac:dyDescent="0.4">
      <c r="A39" s="3">
        <v>45700</v>
      </c>
      <c r="B39" s="4" t="s">
        <v>52</v>
      </c>
      <c r="C39" s="4" t="s">
        <v>1033</v>
      </c>
      <c r="D39" s="4">
        <v>32144</v>
      </c>
      <c r="E39" s="4">
        <v>41</v>
      </c>
      <c r="F39" s="4" t="s">
        <v>15</v>
      </c>
      <c r="G39" s="4" t="s">
        <v>25</v>
      </c>
      <c r="H39" s="5">
        <v>2950</v>
      </c>
      <c r="I39" s="4"/>
    </row>
    <row r="40" spans="1:9" ht="15.9" x14ac:dyDescent="0.4">
      <c r="A40" s="3">
        <v>45700</v>
      </c>
      <c r="B40" s="4" t="s">
        <v>927</v>
      </c>
      <c r="C40" s="4" t="s">
        <v>1034</v>
      </c>
      <c r="D40" s="4">
        <v>9370</v>
      </c>
      <c r="E40" s="4">
        <v>12</v>
      </c>
      <c r="F40" s="4" t="s">
        <v>35</v>
      </c>
      <c r="G40" s="4" t="s">
        <v>161</v>
      </c>
      <c r="H40" s="5">
        <v>1225.02</v>
      </c>
      <c r="I40" s="4"/>
    </row>
    <row r="41" spans="1:9" ht="15.9" x14ac:dyDescent="0.4">
      <c r="A41" s="3">
        <v>45700</v>
      </c>
      <c r="B41" s="4" t="s">
        <v>1035</v>
      </c>
      <c r="C41" s="4" t="s">
        <v>1036</v>
      </c>
      <c r="D41" s="4">
        <v>26458</v>
      </c>
      <c r="E41" s="4">
        <v>27</v>
      </c>
      <c r="F41" s="4" t="s">
        <v>15</v>
      </c>
      <c r="G41" s="4" t="s">
        <v>25</v>
      </c>
      <c r="H41" s="5">
        <v>4500</v>
      </c>
      <c r="I41" s="4"/>
    </row>
    <row r="42" spans="1:9" ht="15.9" x14ac:dyDescent="0.4">
      <c r="A42" s="3">
        <v>45700</v>
      </c>
      <c r="B42" s="4" t="s">
        <v>1035</v>
      </c>
      <c r="C42" s="4" t="s">
        <v>1037</v>
      </c>
      <c r="D42" s="4">
        <v>40752</v>
      </c>
      <c r="E42" s="4">
        <v>48</v>
      </c>
      <c r="F42" s="4" t="s">
        <v>15</v>
      </c>
      <c r="G42" s="4" t="s">
        <v>25</v>
      </c>
      <c r="H42" s="5">
        <v>4500</v>
      </c>
      <c r="I42" s="4"/>
    </row>
    <row r="43" spans="1:9" ht="15.9" x14ac:dyDescent="0.4">
      <c r="A43" s="3">
        <v>45700</v>
      </c>
      <c r="B43" s="4" t="s">
        <v>38</v>
      </c>
      <c r="C43" s="4" t="s">
        <v>1038</v>
      </c>
      <c r="D43" s="4">
        <v>16600</v>
      </c>
      <c r="E43" s="4">
        <v>20</v>
      </c>
      <c r="F43" s="4" t="s">
        <v>15</v>
      </c>
      <c r="G43" s="4" t="s">
        <v>832</v>
      </c>
      <c r="H43" s="5">
        <v>3300</v>
      </c>
      <c r="I43" s="4"/>
    </row>
    <row r="44" spans="1:9" ht="15.9" x14ac:dyDescent="0.4">
      <c r="A44" s="3">
        <v>45700</v>
      </c>
      <c r="B44" s="4" t="s">
        <v>634</v>
      </c>
      <c r="C44" s="4" t="s">
        <v>1039</v>
      </c>
      <c r="D44" s="4">
        <v>27296</v>
      </c>
      <c r="E44" s="4">
        <v>48</v>
      </c>
      <c r="F44" s="4" t="s">
        <v>15</v>
      </c>
      <c r="G44" s="4" t="s">
        <v>25</v>
      </c>
      <c r="H44" s="5">
        <v>5500</v>
      </c>
      <c r="I44" s="4"/>
    </row>
    <row r="45" spans="1:9" ht="15.9" x14ac:dyDescent="0.4">
      <c r="A45" s="3">
        <v>45700</v>
      </c>
      <c r="B45" s="4" t="s">
        <v>193</v>
      </c>
      <c r="C45" s="4" t="s">
        <v>1040</v>
      </c>
      <c r="D45" s="4">
        <v>7470</v>
      </c>
      <c r="E45" s="4">
        <v>9</v>
      </c>
      <c r="F45" s="4" t="s">
        <v>35</v>
      </c>
      <c r="G45" s="4" t="s">
        <v>161</v>
      </c>
      <c r="H45" s="5">
        <v>971.73</v>
      </c>
      <c r="I45" s="4"/>
    </row>
    <row r="46" spans="1:9" ht="15.9" x14ac:dyDescent="0.4">
      <c r="A46" s="3">
        <v>45701</v>
      </c>
      <c r="B46" s="4" t="s">
        <v>1041</v>
      </c>
      <c r="C46" s="4" t="s">
        <v>848</v>
      </c>
      <c r="D46" s="4">
        <v>42240</v>
      </c>
      <c r="E46" s="4">
        <v>44</v>
      </c>
      <c r="F46" s="4" t="s">
        <v>11</v>
      </c>
      <c r="G46" s="4" t="s">
        <v>19</v>
      </c>
      <c r="H46" s="5">
        <v>4700</v>
      </c>
      <c r="I46" s="4"/>
    </row>
    <row r="47" spans="1:9" ht="15.9" x14ac:dyDescent="0.4">
      <c r="A47" s="3">
        <v>45701</v>
      </c>
      <c r="B47" s="4" t="s">
        <v>1041</v>
      </c>
      <c r="C47" s="4" t="s">
        <v>1042</v>
      </c>
      <c r="D47" s="4">
        <v>29232</v>
      </c>
      <c r="E47" s="4">
        <v>33</v>
      </c>
      <c r="F47" s="4" t="s">
        <v>11</v>
      </c>
      <c r="G47" s="4" t="s">
        <v>19</v>
      </c>
      <c r="H47" s="5">
        <v>4700</v>
      </c>
      <c r="I47" s="4"/>
    </row>
    <row r="48" spans="1:9" ht="15.9" x14ac:dyDescent="0.4">
      <c r="A48" s="3">
        <v>45701</v>
      </c>
      <c r="B48" s="4" t="s">
        <v>1043</v>
      </c>
      <c r="C48" s="4" t="s">
        <v>1044</v>
      </c>
      <c r="D48" s="4">
        <v>1470</v>
      </c>
      <c r="E48" s="4">
        <v>2</v>
      </c>
      <c r="F48" s="4" t="s">
        <v>35</v>
      </c>
      <c r="G48" s="4" t="s">
        <v>161</v>
      </c>
      <c r="H48" s="5">
        <v>461</v>
      </c>
      <c r="I48" s="4"/>
    </row>
    <row r="49" spans="1:9" ht="15.9" x14ac:dyDescent="0.4">
      <c r="A49" s="3">
        <v>45701</v>
      </c>
      <c r="B49" s="4" t="s">
        <v>1045</v>
      </c>
      <c r="C49" s="4" t="s">
        <v>1046</v>
      </c>
      <c r="D49" s="4">
        <v>860</v>
      </c>
      <c r="E49" s="4">
        <v>2</v>
      </c>
      <c r="F49" s="4" t="s">
        <v>35</v>
      </c>
      <c r="G49" s="4" t="s">
        <v>161</v>
      </c>
      <c r="H49" s="5">
        <v>293.08999999999997</v>
      </c>
      <c r="I49" s="4"/>
    </row>
    <row r="50" spans="1:9" ht="15.9" x14ac:dyDescent="0.4">
      <c r="A50" s="3">
        <v>45701</v>
      </c>
      <c r="B50" s="4" t="s">
        <v>1020</v>
      </c>
      <c r="C50" s="4" t="s">
        <v>1047</v>
      </c>
      <c r="D50" s="4">
        <v>245</v>
      </c>
      <c r="E50" s="4">
        <v>1</v>
      </c>
      <c r="F50" s="4" t="s">
        <v>35</v>
      </c>
      <c r="G50" s="4" t="s">
        <v>161</v>
      </c>
      <c r="H50" s="5">
        <v>290.89999999999998</v>
      </c>
      <c r="I50" s="4" t="s">
        <v>1048</v>
      </c>
    </row>
    <row r="51" spans="1:9" ht="15.9" x14ac:dyDescent="0.4">
      <c r="A51" s="3">
        <v>45702</v>
      </c>
      <c r="B51" s="4" t="s">
        <v>634</v>
      </c>
      <c r="C51" s="4" t="s">
        <v>1049</v>
      </c>
      <c r="D51" s="4">
        <v>20146</v>
      </c>
      <c r="E51" s="4">
        <v>28</v>
      </c>
      <c r="F51" s="4" t="s">
        <v>15</v>
      </c>
      <c r="G51" s="4" t="s">
        <v>25</v>
      </c>
      <c r="H51" s="5">
        <v>5500</v>
      </c>
      <c r="I51" s="4"/>
    </row>
    <row r="52" spans="1:9" ht="15.9" x14ac:dyDescent="0.4">
      <c r="A52" s="3">
        <v>45705</v>
      </c>
      <c r="B52" s="4" t="s">
        <v>1050</v>
      </c>
      <c r="C52" s="4" t="s">
        <v>1051</v>
      </c>
      <c r="D52" s="4">
        <v>29400</v>
      </c>
      <c r="E52" s="4">
        <v>40</v>
      </c>
      <c r="F52" s="4" t="s">
        <v>11</v>
      </c>
      <c r="G52" s="4" t="s">
        <v>19</v>
      </c>
      <c r="H52" s="5">
        <v>2600</v>
      </c>
      <c r="I52" s="4"/>
    </row>
    <row r="53" spans="1:9" ht="15.9" x14ac:dyDescent="0.4">
      <c r="A53" s="3">
        <v>45705</v>
      </c>
      <c r="B53" s="4" t="s">
        <v>153</v>
      </c>
      <c r="C53" s="4" t="s">
        <v>1052</v>
      </c>
      <c r="D53" s="4">
        <v>20580</v>
      </c>
      <c r="E53" s="4">
        <v>28</v>
      </c>
      <c r="F53" s="4" t="s">
        <v>15</v>
      </c>
      <c r="G53" s="4" t="s">
        <v>25</v>
      </c>
      <c r="H53" s="5">
        <v>1450</v>
      </c>
      <c r="I53" s="4"/>
    </row>
    <row r="54" spans="1:9" ht="15.9" x14ac:dyDescent="0.4">
      <c r="A54" s="3">
        <v>45712</v>
      </c>
      <c r="B54" s="4" t="s">
        <v>1053</v>
      </c>
      <c r="C54" s="4" t="s">
        <v>1054</v>
      </c>
      <c r="D54" s="4">
        <v>34270</v>
      </c>
      <c r="E54" s="4">
        <v>45</v>
      </c>
      <c r="F54" s="4" t="s">
        <v>11</v>
      </c>
      <c r="G54" s="4" t="s">
        <v>19</v>
      </c>
      <c r="H54" s="5">
        <v>3680</v>
      </c>
      <c r="I54" s="4"/>
    </row>
    <row r="55" spans="1:9" ht="15.9" x14ac:dyDescent="0.4">
      <c r="A55" s="3">
        <v>45712</v>
      </c>
      <c r="B55" s="4" t="s">
        <v>1053</v>
      </c>
      <c r="C55" s="4" t="s">
        <v>1055</v>
      </c>
      <c r="D55" s="4">
        <v>41800</v>
      </c>
      <c r="E55" s="4">
        <v>44</v>
      </c>
      <c r="F55" s="4" t="s">
        <v>11</v>
      </c>
      <c r="G55" s="4" t="s">
        <v>19</v>
      </c>
      <c r="H55" s="5">
        <v>3680</v>
      </c>
      <c r="I55" s="4"/>
    </row>
    <row r="56" spans="1:9" ht="15.9" x14ac:dyDescent="0.4">
      <c r="A56" s="3">
        <v>45712</v>
      </c>
      <c r="B56" s="4" t="s">
        <v>1053</v>
      </c>
      <c r="C56" s="4" t="s">
        <v>1056</v>
      </c>
      <c r="D56" s="4">
        <v>41800</v>
      </c>
      <c r="E56" s="4">
        <v>44</v>
      </c>
      <c r="F56" s="4" t="s">
        <v>11</v>
      </c>
      <c r="G56" s="4" t="s">
        <v>19</v>
      </c>
      <c r="H56" s="5">
        <v>3680</v>
      </c>
      <c r="I56" s="4"/>
    </row>
    <row r="57" spans="1:9" ht="15.9" x14ac:dyDescent="0.4">
      <c r="A57" s="3">
        <v>45712</v>
      </c>
      <c r="B57" s="4" t="s">
        <v>1053</v>
      </c>
      <c r="C57" s="4" t="s">
        <v>1057</v>
      </c>
      <c r="D57" s="4">
        <v>41800</v>
      </c>
      <c r="E57" s="4">
        <v>44</v>
      </c>
      <c r="F57" s="4" t="s">
        <v>11</v>
      </c>
      <c r="G57" s="4" t="s">
        <v>19</v>
      </c>
      <c r="H57" s="5">
        <v>3680</v>
      </c>
      <c r="I57" s="4"/>
    </row>
    <row r="58" spans="1:9" ht="15.9" x14ac:dyDescent="0.4">
      <c r="A58" s="3">
        <v>45712</v>
      </c>
      <c r="B58" s="4" t="s">
        <v>225</v>
      </c>
      <c r="C58" s="4" t="s">
        <v>1058</v>
      </c>
      <c r="D58" s="4">
        <v>9960</v>
      </c>
      <c r="E58" s="4">
        <v>12</v>
      </c>
      <c r="F58" s="4" t="s">
        <v>35</v>
      </c>
      <c r="G58" s="4" t="s">
        <v>161</v>
      </c>
      <c r="H58" s="5">
        <v>1990.95</v>
      </c>
      <c r="I58" s="4"/>
    </row>
    <row r="59" spans="1:9" ht="15.9" x14ac:dyDescent="0.4">
      <c r="A59" s="3">
        <v>45712</v>
      </c>
      <c r="B59" s="4" t="s">
        <v>268</v>
      </c>
      <c r="C59" s="4" t="s">
        <v>1059</v>
      </c>
      <c r="D59" s="4">
        <v>23250</v>
      </c>
      <c r="E59" s="4">
        <v>25</v>
      </c>
      <c r="F59" s="4" t="s">
        <v>15</v>
      </c>
      <c r="G59" s="4" t="s">
        <v>832</v>
      </c>
      <c r="H59" s="5">
        <v>2100</v>
      </c>
      <c r="I59" s="4"/>
    </row>
    <row r="60" spans="1:9" ht="15.9" x14ac:dyDescent="0.4">
      <c r="A60" s="3">
        <v>45712</v>
      </c>
      <c r="B60" s="4" t="s">
        <v>120</v>
      </c>
      <c r="C60" s="4" t="s">
        <v>1060</v>
      </c>
      <c r="D60" s="4">
        <v>36520</v>
      </c>
      <c r="E60" s="4">
        <v>44</v>
      </c>
      <c r="F60" s="4" t="s">
        <v>15</v>
      </c>
      <c r="G60" s="4" t="s">
        <v>832</v>
      </c>
      <c r="H60" s="5">
        <v>2400</v>
      </c>
      <c r="I60" s="4"/>
    </row>
    <row r="61" spans="1:9" ht="15.9" x14ac:dyDescent="0.4">
      <c r="A61" s="3">
        <v>45712</v>
      </c>
      <c r="B61" s="4" t="s">
        <v>193</v>
      </c>
      <c r="C61" s="4" t="s">
        <v>1061</v>
      </c>
      <c r="D61" s="4">
        <v>29394</v>
      </c>
      <c r="E61" s="4">
        <v>34</v>
      </c>
      <c r="F61" s="4" t="s">
        <v>15</v>
      </c>
      <c r="G61" s="4" t="s">
        <v>25</v>
      </c>
      <c r="H61" s="5">
        <v>2250</v>
      </c>
      <c r="I61" s="4"/>
    </row>
    <row r="62" spans="1:9" ht="15.9" x14ac:dyDescent="0.4">
      <c r="A62" s="3">
        <v>45712</v>
      </c>
      <c r="B62" s="4" t="s">
        <v>129</v>
      </c>
      <c r="C62" s="4" t="s">
        <v>1062</v>
      </c>
      <c r="D62" s="4">
        <v>17974</v>
      </c>
      <c r="E62" s="4">
        <v>22</v>
      </c>
      <c r="F62" s="4" t="s">
        <v>15</v>
      </c>
      <c r="G62" s="4" t="s">
        <v>25</v>
      </c>
      <c r="H62" s="5">
        <v>2900</v>
      </c>
      <c r="I62" s="4"/>
    </row>
    <row r="63" spans="1:9" ht="15.9" x14ac:dyDescent="0.4">
      <c r="A63" s="3">
        <v>45713</v>
      </c>
      <c r="B63" s="4" t="s">
        <v>191</v>
      </c>
      <c r="C63" s="4" t="s">
        <v>1063</v>
      </c>
      <c r="D63" s="4">
        <v>26440</v>
      </c>
      <c r="E63" s="4">
        <v>34</v>
      </c>
      <c r="F63" s="4" t="s">
        <v>15</v>
      </c>
      <c r="G63" s="4" t="s">
        <v>832</v>
      </c>
      <c r="H63" s="5">
        <v>1700</v>
      </c>
      <c r="I63" s="4"/>
    </row>
    <row r="64" spans="1:9" ht="15.9" x14ac:dyDescent="0.4">
      <c r="A64" s="3">
        <v>45713</v>
      </c>
      <c r="B64" s="4" t="s">
        <v>1064</v>
      </c>
      <c r="C64" s="4" t="s">
        <v>1065</v>
      </c>
      <c r="D64" s="4">
        <v>19608</v>
      </c>
      <c r="E64" s="4">
        <v>24</v>
      </c>
      <c r="F64" s="4" t="s">
        <v>11</v>
      </c>
      <c r="G64" s="4" t="s">
        <v>25</v>
      </c>
      <c r="H64" s="5">
        <v>19608</v>
      </c>
      <c r="I64" s="4"/>
    </row>
    <row r="65" spans="1:9" ht="15.9" x14ac:dyDescent="0.4">
      <c r="A65" s="3">
        <v>45714</v>
      </c>
      <c r="B65" s="4" t="s">
        <v>1053</v>
      </c>
      <c r="C65" s="4" t="s">
        <v>1057</v>
      </c>
      <c r="D65" s="4">
        <v>41800</v>
      </c>
      <c r="E65" s="4">
        <v>44</v>
      </c>
      <c r="F65" s="4" t="s">
        <v>11</v>
      </c>
      <c r="G65" s="4" t="s">
        <v>19</v>
      </c>
      <c r="H65" s="5">
        <v>3680</v>
      </c>
      <c r="I65" s="4"/>
    </row>
    <row r="66" spans="1:9" ht="15.9" x14ac:dyDescent="0.4">
      <c r="A66" s="3">
        <v>45714</v>
      </c>
      <c r="B66" s="4" t="s">
        <v>1053</v>
      </c>
      <c r="C66" s="4" t="s">
        <v>1066</v>
      </c>
      <c r="D66" s="4">
        <v>33250</v>
      </c>
      <c r="E66" s="4">
        <v>35</v>
      </c>
      <c r="F66" s="4" t="s">
        <v>11</v>
      </c>
      <c r="G66" s="4" t="s">
        <v>19</v>
      </c>
      <c r="H66" s="5">
        <v>3680</v>
      </c>
      <c r="I66" s="4"/>
    </row>
    <row r="67" spans="1:9" ht="15.9" x14ac:dyDescent="0.4">
      <c r="A67" s="3">
        <v>45714</v>
      </c>
      <c r="B67" s="4" t="s">
        <v>1053</v>
      </c>
      <c r="C67" s="4" t="s">
        <v>1067</v>
      </c>
      <c r="D67" s="4">
        <v>41800</v>
      </c>
      <c r="E67" s="4">
        <v>44</v>
      </c>
      <c r="F67" s="4" t="s">
        <v>11</v>
      </c>
      <c r="G67" s="4" t="s">
        <v>19</v>
      </c>
      <c r="H67" s="5">
        <v>3680</v>
      </c>
      <c r="I67" s="4"/>
    </row>
    <row r="68" spans="1:9" ht="15.9" x14ac:dyDescent="0.4">
      <c r="A68" s="3">
        <v>45714</v>
      </c>
      <c r="B68" s="4" t="s">
        <v>1068</v>
      </c>
      <c r="C68" s="4" t="s">
        <v>1069</v>
      </c>
      <c r="D68" s="4">
        <v>7600</v>
      </c>
      <c r="E68" s="4">
        <v>8</v>
      </c>
      <c r="F68" s="4" t="s">
        <v>35</v>
      </c>
      <c r="G68" s="4" t="s">
        <v>161</v>
      </c>
      <c r="H68" s="5">
        <v>1311.98</v>
      </c>
      <c r="I68" s="4"/>
    </row>
    <row r="69" spans="1:9" ht="15.9" x14ac:dyDescent="0.4">
      <c r="A69" s="3">
        <v>45714</v>
      </c>
      <c r="B69" s="4" t="s">
        <v>1070</v>
      </c>
      <c r="C69" s="4" t="s">
        <v>1071</v>
      </c>
      <c r="D69" s="4">
        <v>2313</v>
      </c>
      <c r="E69" s="4">
        <v>3</v>
      </c>
      <c r="F69" s="4" t="s">
        <v>35</v>
      </c>
      <c r="G69" s="4" t="s">
        <v>161</v>
      </c>
      <c r="H69" s="5">
        <v>379.81</v>
      </c>
      <c r="I69" s="4"/>
    </row>
    <row r="70" spans="1:9" ht="15.9" x14ac:dyDescent="0.4">
      <c r="A70" s="3">
        <v>45714</v>
      </c>
      <c r="B70" s="4" t="s">
        <v>795</v>
      </c>
      <c r="C70" s="4" t="s">
        <v>1072</v>
      </c>
      <c r="D70" s="4">
        <v>1900</v>
      </c>
      <c r="E70" s="4">
        <v>2</v>
      </c>
      <c r="F70" s="4" t="s">
        <v>35</v>
      </c>
      <c r="G70" s="4" t="s">
        <v>161</v>
      </c>
      <c r="H70" s="5">
        <v>302.12</v>
      </c>
      <c r="I70" s="4"/>
    </row>
    <row r="71" spans="1:9" ht="15.9" x14ac:dyDescent="0.4">
      <c r="A71" s="3">
        <v>45714</v>
      </c>
      <c r="B71" s="4" t="s">
        <v>52</v>
      </c>
      <c r="C71" s="4" t="s">
        <v>1073</v>
      </c>
      <c r="D71" s="4">
        <v>39216</v>
      </c>
      <c r="E71" s="4">
        <v>48</v>
      </c>
      <c r="F71" s="4" t="s">
        <v>15</v>
      </c>
      <c r="G71" s="4" t="s">
        <v>832</v>
      </c>
      <c r="H71" s="5">
        <v>2800</v>
      </c>
      <c r="I71" s="4"/>
    </row>
    <row r="72" spans="1:9" ht="15.9" x14ac:dyDescent="0.4">
      <c r="A72" s="3">
        <v>45714</v>
      </c>
      <c r="B72" s="4" t="s">
        <v>52</v>
      </c>
      <c r="C72" s="4" t="s">
        <v>1074</v>
      </c>
      <c r="D72" s="4">
        <v>39216</v>
      </c>
      <c r="E72" s="4">
        <v>48</v>
      </c>
      <c r="F72" s="4" t="s">
        <v>15</v>
      </c>
      <c r="G72" s="4" t="s">
        <v>832</v>
      </c>
      <c r="H72" s="5">
        <v>2800</v>
      </c>
      <c r="I72" s="4"/>
    </row>
    <row r="73" spans="1:9" ht="15.9" x14ac:dyDescent="0.4">
      <c r="A73" s="3">
        <v>45714</v>
      </c>
      <c r="B73" s="4" t="s">
        <v>52</v>
      </c>
      <c r="C73" s="4" t="s">
        <v>1075</v>
      </c>
      <c r="D73" s="4">
        <v>41800</v>
      </c>
      <c r="E73" s="4">
        <v>48</v>
      </c>
      <c r="F73" s="4" t="s">
        <v>15</v>
      </c>
      <c r="G73" s="4" t="s">
        <v>832</v>
      </c>
      <c r="H73" s="5">
        <v>2800</v>
      </c>
      <c r="I73" s="4"/>
    </row>
    <row r="74" spans="1:9" ht="15.9" x14ac:dyDescent="0.4">
      <c r="A74" s="3">
        <v>45714</v>
      </c>
      <c r="B74" s="4" t="s">
        <v>52</v>
      </c>
      <c r="C74" s="4" t="s">
        <v>1076</v>
      </c>
      <c r="D74" s="4">
        <v>41800</v>
      </c>
      <c r="E74" s="4">
        <v>48</v>
      </c>
      <c r="F74" s="4" t="s">
        <v>15</v>
      </c>
      <c r="G74" s="4" t="s">
        <v>832</v>
      </c>
      <c r="H74" s="5">
        <v>2800</v>
      </c>
      <c r="I74" s="4"/>
    </row>
    <row r="75" spans="1:9" ht="15.9" x14ac:dyDescent="0.4">
      <c r="A75" s="3">
        <v>45714</v>
      </c>
      <c r="B75" s="4" t="s">
        <v>1064</v>
      </c>
      <c r="C75" s="4" t="s">
        <v>1065</v>
      </c>
      <c r="D75" s="4">
        <v>36162</v>
      </c>
      <c r="E75" s="4">
        <v>44</v>
      </c>
      <c r="F75" s="4" t="s">
        <v>11</v>
      </c>
      <c r="G75" s="4" t="s">
        <v>25</v>
      </c>
      <c r="H75" s="5">
        <v>3300</v>
      </c>
      <c r="I75" s="4"/>
    </row>
    <row r="76" spans="1:9" ht="15.9" x14ac:dyDescent="0.4">
      <c r="A76" s="3">
        <v>45714</v>
      </c>
      <c r="B76" s="4" t="s">
        <v>1077</v>
      </c>
      <c r="C76" s="4" t="s">
        <v>1078</v>
      </c>
      <c r="D76" s="4">
        <v>41800</v>
      </c>
      <c r="E76" s="4">
        <v>44</v>
      </c>
      <c r="F76" s="4" t="s">
        <v>11</v>
      </c>
      <c r="G76" s="4" t="s">
        <v>25</v>
      </c>
      <c r="H76" s="5">
        <v>3900</v>
      </c>
      <c r="I76" s="4"/>
    </row>
    <row r="77" spans="1:9" ht="15.9" x14ac:dyDescent="0.4">
      <c r="A77" s="3">
        <v>45714</v>
      </c>
      <c r="B77" s="4" t="s">
        <v>875</v>
      </c>
      <c r="C77" s="4" t="s">
        <v>907</v>
      </c>
      <c r="D77" s="4">
        <v>35948</v>
      </c>
      <c r="E77" s="4">
        <v>44</v>
      </c>
      <c r="F77" s="4" t="s">
        <v>11</v>
      </c>
      <c r="G77" s="4" t="s">
        <v>19</v>
      </c>
      <c r="H77" s="5">
        <v>2100</v>
      </c>
      <c r="I77" s="4"/>
    </row>
    <row r="78" spans="1:9" ht="15.9" x14ac:dyDescent="0.4">
      <c r="A78" s="3">
        <v>45714</v>
      </c>
      <c r="B78" s="4" t="s">
        <v>886</v>
      </c>
      <c r="C78" s="4" t="s">
        <v>1079</v>
      </c>
      <c r="D78" s="4">
        <v>33924</v>
      </c>
      <c r="E78" s="4">
        <v>44</v>
      </c>
      <c r="F78" s="4" t="s">
        <v>15</v>
      </c>
      <c r="G78" s="4" t="s">
        <v>25</v>
      </c>
      <c r="H78" s="5">
        <v>5500</v>
      </c>
      <c r="I78" s="4"/>
    </row>
    <row r="79" spans="1:9" ht="15.9" x14ac:dyDescent="0.4">
      <c r="A79" s="3">
        <v>45714</v>
      </c>
      <c r="B79" s="4" t="s">
        <v>77</v>
      </c>
      <c r="C79" s="4" t="s">
        <v>1080</v>
      </c>
      <c r="D79" s="4">
        <v>924</v>
      </c>
      <c r="E79" s="4">
        <v>1</v>
      </c>
      <c r="F79" s="4" t="s">
        <v>35</v>
      </c>
      <c r="G79" s="4" t="s">
        <v>12</v>
      </c>
      <c r="H79" s="5"/>
      <c r="I79" s="4"/>
    </row>
    <row r="80" spans="1:9" ht="15.9" x14ac:dyDescent="0.4">
      <c r="A80" s="3">
        <v>45714</v>
      </c>
      <c r="B80" s="4" t="s">
        <v>1077</v>
      </c>
      <c r="C80" s="4" t="s">
        <v>1081</v>
      </c>
      <c r="D80" s="4">
        <v>41800</v>
      </c>
      <c r="E80" s="4">
        <v>44</v>
      </c>
      <c r="F80" s="4" t="s">
        <v>11</v>
      </c>
      <c r="G80" s="4" t="s">
        <v>25</v>
      </c>
      <c r="H80" s="5">
        <v>3900</v>
      </c>
      <c r="I80" s="4"/>
    </row>
    <row r="81" spans="1:9" ht="15.9" x14ac:dyDescent="0.4">
      <c r="A81" s="3">
        <v>45715</v>
      </c>
      <c r="B81" s="4" t="s">
        <v>75</v>
      </c>
      <c r="C81" s="4" t="s">
        <v>1082</v>
      </c>
      <c r="D81" s="4">
        <v>36800</v>
      </c>
      <c r="E81" s="4">
        <v>32</v>
      </c>
      <c r="F81" s="4" t="s">
        <v>11</v>
      </c>
      <c r="G81" s="4" t="s">
        <v>12</v>
      </c>
      <c r="H81" s="5"/>
      <c r="I81" s="4"/>
    </row>
    <row r="82" spans="1:9" ht="15.9" x14ac:dyDescent="0.4">
      <c r="A82" s="3">
        <v>45715</v>
      </c>
      <c r="B82" s="4" t="s">
        <v>1083</v>
      </c>
      <c r="C82" s="4" t="s">
        <v>1084</v>
      </c>
      <c r="D82" s="4">
        <v>22050</v>
      </c>
      <c r="E82" s="4">
        <v>30</v>
      </c>
      <c r="F82" s="4" t="s">
        <v>11</v>
      </c>
      <c r="G82" s="4" t="s">
        <v>19</v>
      </c>
      <c r="H82" s="5">
        <v>1150</v>
      </c>
      <c r="I82" s="4"/>
    </row>
    <row r="83" spans="1:9" ht="15.9" x14ac:dyDescent="0.4">
      <c r="A83" s="3">
        <v>45715</v>
      </c>
      <c r="B83" s="4" t="s">
        <v>1085</v>
      </c>
      <c r="C83" s="4" t="s">
        <v>1086</v>
      </c>
      <c r="D83" s="4">
        <v>11438</v>
      </c>
      <c r="E83" s="4">
        <v>14</v>
      </c>
      <c r="F83" s="4" t="s">
        <v>11</v>
      </c>
      <c r="G83" s="4" t="s">
        <v>25</v>
      </c>
      <c r="H83" s="5">
        <v>2500</v>
      </c>
      <c r="I83" s="4"/>
    </row>
    <row r="84" spans="1:9" ht="15.9" x14ac:dyDescent="0.4">
      <c r="A84" s="3">
        <v>45715</v>
      </c>
      <c r="B84" s="4" t="s">
        <v>1077</v>
      </c>
      <c r="C84" s="4" t="s">
        <v>1087</v>
      </c>
      <c r="D84" s="4">
        <v>30400</v>
      </c>
      <c r="E84" s="4">
        <v>32</v>
      </c>
      <c r="F84" s="4" t="s">
        <v>11</v>
      </c>
      <c r="G84" s="4" t="s">
        <v>25</v>
      </c>
      <c r="H84" s="5">
        <v>3900</v>
      </c>
      <c r="I84" s="4"/>
    </row>
    <row r="85" spans="1:9" ht="15.9" x14ac:dyDescent="0.4">
      <c r="A85" s="3">
        <v>45715</v>
      </c>
      <c r="B85" s="4" t="s">
        <v>556</v>
      </c>
      <c r="C85" s="4" t="s">
        <v>1088</v>
      </c>
      <c r="D85" s="4">
        <v>697</v>
      </c>
      <c r="E85" s="4">
        <v>1</v>
      </c>
      <c r="F85" s="4" t="s">
        <v>35</v>
      </c>
      <c r="G85" s="4" t="s">
        <v>12</v>
      </c>
      <c r="H85" s="5"/>
      <c r="I85" s="4"/>
    </row>
    <row r="86" spans="1:9" ht="15.9" x14ac:dyDescent="0.4">
      <c r="A86" s="3">
        <v>45715</v>
      </c>
      <c r="B86" s="4" t="s">
        <v>1089</v>
      </c>
      <c r="C86" s="4" t="s">
        <v>1090</v>
      </c>
      <c r="D86" s="4">
        <v>38205</v>
      </c>
      <c r="E86" s="4">
        <v>45</v>
      </c>
      <c r="F86" s="4" t="s">
        <v>11</v>
      </c>
      <c r="G86" s="4" t="s">
        <v>25</v>
      </c>
      <c r="H86" s="5">
        <v>4800</v>
      </c>
      <c r="I86" s="4"/>
    </row>
    <row r="87" spans="1:9" ht="15.9" x14ac:dyDescent="0.4">
      <c r="A87" s="3">
        <v>45715</v>
      </c>
      <c r="B87" s="4" t="s">
        <v>52</v>
      </c>
      <c r="C87" s="4" t="s">
        <v>1091</v>
      </c>
      <c r="D87" s="4">
        <v>27290</v>
      </c>
      <c r="E87" s="4">
        <v>31</v>
      </c>
      <c r="F87" s="4" t="s">
        <v>15</v>
      </c>
      <c r="G87" s="4" t="s">
        <v>832</v>
      </c>
      <c r="H87" s="5">
        <v>2800</v>
      </c>
      <c r="I87" s="4"/>
    </row>
    <row r="88" spans="1:9" ht="15.9" x14ac:dyDescent="0.4">
      <c r="A88" s="3">
        <v>45715</v>
      </c>
      <c r="B88" s="4" t="s">
        <v>1041</v>
      </c>
      <c r="C88" s="4" t="s">
        <v>1092</v>
      </c>
      <c r="D88" s="4">
        <v>26970</v>
      </c>
      <c r="E88" s="4">
        <v>29</v>
      </c>
      <c r="F88" s="4" t="s">
        <v>11</v>
      </c>
      <c r="G88" s="4" t="s">
        <v>19</v>
      </c>
      <c r="H88" s="5">
        <v>4700</v>
      </c>
      <c r="I88" s="4"/>
    </row>
    <row r="89" spans="1:9" ht="15.9" x14ac:dyDescent="0.4">
      <c r="A89" s="3">
        <v>45715</v>
      </c>
      <c r="B89" s="4" t="s">
        <v>1085</v>
      </c>
      <c r="C89" s="4" t="s">
        <v>1093</v>
      </c>
      <c r="D89" s="4">
        <v>39840</v>
      </c>
      <c r="E89" s="4">
        <v>48</v>
      </c>
      <c r="F89" s="4" t="s">
        <v>11</v>
      </c>
      <c r="G89" s="4" t="s">
        <v>25</v>
      </c>
      <c r="H89" s="5">
        <v>3700</v>
      </c>
      <c r="I89" s="4"/>
    </row>
    <row r="90" spans="1:9" ht="15.9" x14ac:dyDescent="0.4">
      <c r="A90" s="3">
        <v>45715</v>
      </c>
      <c r="B90" s="4" t="s">
        <v>1089</v>
      </c>
      <c r="C90" s="4" t="s">
        <v>1094</v>
      </c>
      <c r="D90" s="4">
        <v>38205</v>
      </c>
      <c r="E90" s="4">
        <v>45</v>
      </c>
      <c r="F90" s="4" t="s">
        <v>11</v>
      </c>
      <c r="G90" s="4" t="s">
        <v>25</v>
      </c>
      <c r="H90" s="5">
        <v>4800</v>
      </c>
      <c r="I90" s="4"/>
    </row>
    <row r="91" spans="1:9" ht="15.9" x14ac:dyDescent="0.4">
      <c r="A91" s="3">
        <v>45715</v>
      </c>
      <c r="B91" s="4" t="s">
        <v>163</v>
      </c>
      <c r="C91" s="4" t="s">
        <v>1095</v>
      </c>
      <c r="D91" s="4">
        <v>39216</v>
      </c>
      <c r="E91" s="4">
        <v>48</v>
      </c>
      <c r="F91" s="4" t="s">
        <v>15</v>
      </c>
      <c r="G91" s="4" t="s">
        <v>832</v>
      </c>
      <c r="H91" s="5">
        <v>1350</v>
      </c>
      <c r="I91" s="4"/>
    </row>
    <row r="92" spans="1:9" ht="15.9" x14ac:dyDescent="0.4">
      <c r="A92" s="3">
        <v>45715</v>
      </c>
      <c r="B92" s="4" t="s">
        <v>52</v>
      </c>
      <c r="C92" s="4" t="s">
        <v>1096</v>
      </c>
      <c r="D92" s="4">
        <v>41800</v>
      </c>
      <c r="E92" s="4">
        <v>44</v>
      </c>
      <c r="F92" s="4" t="s">
        <v>15</v>
      </c>
      <c r="G92" s="4" t="s">
        <v>832</v>
      </c>
      <c r="H92" s="5">
        <v>2800</v>
      </c>
      <c r="I92" s="4"/>
    </row>
    <row r="93" spans="1:9" ht="15.9" x14ac:dyDescent="0.4">
      <c r="A93" s="3">
        <v>45715</v>
      </c>
      <c r="B93" s="4" t="s">
        <v>886</v>
      </c>
      <c r="C93" s="4" t="s">
        <v>1097</v>
      </c>
      <c r="D93" s="4">
        <v>20046</v>
      </c>
      <c r="E93" s="4">
        <v>26</v>
      </c>
      <c r="F93" s="4" t="s">
        <v>15</v>
      </c>
      <c r="G93" s="4" t="s">
        <v>25</v>
      </c>
      <c r="H93" s="5">
        <v>5500</v>
      </c>
      <c r="I93" s="4"/>
    </row>
    <row r="94" spans="1:9" ht="15.9" x14ac:dyDescent="0.4">
      <c r="A94" s="3">
        <v>45715</v>
      </c>
      <c r="B94" s="4" t="s">
        <v>1041</v>
      </c>
      <c r="C94" s="4" t="s">
        <v>1098</v>
      </c>
      <c r="D94" s="4">
        <v>31620</v>
      </c>
      <c r="E94" s="4">
        <v>34</v>
      </c>
      <c r="F94" s="4" t="s">
        <v>11</v>
      </c>
      <c r="G94" s="4" t="s">
        <v>19</v>
      </c>
      <c r="H94" s="5">
        <v>4700</v>
      </c>
      <c r="I94" s="4"/>
    </row>
    <row r="95" spans="1:9" ht="15.9" x14ac:dyDescent="0.4">
      <c r="A95" s="3">
        <v>45715</v>
      </c>
      <c r="B95" s="4" t="s">
        <v>1041</v>
      </c>
      <c r="C95" s="4" t="s">
        <v>1099</v>
      </c>
      <c r="D95" s="4">
        <v>22320</v>
      </c>
      <c r="E95" s="4">
        <v>24</v>
      </c>
      <c r="F95" s="4" t="s">
        <v>11</v>
      </c>
      <c r="G95" s="4" t="s">
        <v>19</v>
      </c>
      <c r="H95" s="5">
        <v>4700</v>
      </c>
      <c r="I95" s="4"/>
    </row>
    <row r="96" spans="1:9" ht="15.9" x14ac:dyDescent="0.4">
      <c r="A96" s="3">
        <v>45715</v>
      </c>
      <c r="B96" s="4" t="s">
        <v>1041</v>
      </c>
      <c r="C96" s="4" t="s">
        <v>1100</v>
      </c>
      <c r="D96" s="4">
        <v>28830</v>
      </c>
      <c r="E96" s="4">
        <v>31</v>
      </c>
      <c r="F96" s="4" t="s">
        <v>11</v>
      </c>
      <c r="G96" s="4" t="s">
        <v>19</v>
      </c>
      <c r="H96" s="5">
        <v>4700</v>
      </c>
      <c r="I96" s="4"/>
    </row>
    <row r="97" spans="1:9" ht="15.9" x14ac:dyDescent="0.4">
      <c r="A97" s="3">
        <v>45715</v>
      </c>
      <c r="B97" s="4" t="s">
        <v>1041</v>
      </c>
      <c r="C97" s="4" t="s">
        <v>1101</v>
      </c>
      <c r="D97" s="4">
        <v>39990</v>
      </c>
      <c r="E97" s="4">
        <v>43</v>
      </c>
      <c r="F97" s="4" t="s">
        <v>11</v>
      </c>
      <c r="G97" s="4" t="s">
        <v>19</v>
      </c>
      <c r="H97" s="5">
        <v>4700</v>
      </c>
      <c r="I97" s="4"/>
    </row>
    <row r="98" spans="1:9" ht="15.9" x14ac:dyDescent="0.4">
      <c r="A98" s="3">
        <v>45716</v>
      </c>
      <c r="B98" s="4" t="s">
        <v>1041</v>
      </c>
      <c r="C98" s="4" t="s">
        <v>1102</v>
      </c>
      <c r="D98" s="4">
        <v>34410</v>
      </c>
      <c r="E98" s="4">
        <v>37</v>
      </c>
      <c r="F98" s="4" t="s">
        <v>11</v>
      </c>
      <c r="G98" s="4" t="s">
        <v>19</v>
      </c>
      <c r="H98" s="5">
        <v>4700</v>
      </c>
      <c r="I98" s="4"/>
    </row>
    <row r="99" spans="1:9" ht="15.9" x14ac:dyDescent="0.4">
      <c r="A99" s="3">
        <v>45716</v>
      </c>
      <c r="B99" s="4" t="s">
        <v>207</v>
      </c>
      <c r="C99" s="4" t="s">
        <v>1103</v>
      </c>
      <c r="D99" s="4">
        <v>35280</v>
      </c>
      <c r="E99" s="4">
        <v>48</v>
      </c>
      <c r="F99" s="4" t="s">
        <v>11</v>
      </c>
      <c r="G99" s="4" t="s">
        <v>19</v>
      </c>
      <c r="H99" s="5">
        <v>1250</v>
      </c>
      <c r="I99" s="4"/>
    </row>
    <row r="100" spans="1:9" ht="15.9" x14ac:dyDescent="0.4">
      <c r="A100" s="3">
        <v>45716</v>
      </c>
      <c r="B100" s="4" t="s">
        <v>75</v>
      </c>
      <c r="C100" s="4" t="s">
        <v>1104</v>
      </c>
      <c r="D100" s="4">
        <v>36800</v>
      </c>
      <c r="E100" s="4">
        <v>32</v>
      </c>
      <c r="F100" s="4" t="s">
        <v>11</v>
      </c>
      <c r="G100" s="4" t="s">
        <v>12</v>
      </c>
      <c r="H100" s="5"/>
      <c r="I100" s="4"/>
    </row>
    <row r="101" spans="1:9" ht="15.9" x14ac:dyDescent="0.4">
      <c r="A101" s="3">
        <v>45716</v>
      </c>
      <c r="B101" s="4" t="s">
        <v>75</v>
      </c>
      <c r="C101" s="4" t="s">
        <v>1105</v>
      </c>
      <c r="D101" s="4">
        <v>36800</v>
      </c>
      <c r="E101" s="4">
        <v>32</v>
      </c>
      <c r="F101" s="4" t="s">
        <v>11</v>
      </c>
      <c r="G101" s="4" t="s">
        <v>12</v>
      </c>
      <c r="H101" s="4"/>
      <c r="I101" s="4"/>
    </row>
    <row r="102" spans="1:9" ht="15.9" x14ac:dyDescent="0.4">
      <c r="A102" s="3">
        <v>45716</v>
      </c>
      <c r="B102" s="4" t="s">
        <v>1077</v>
      </c>
      <c r="C102" s="4" t="s">
        <v>1106</v>
      </c>
      <c r="D102" s="4">
        <v>41800</v>
      </c>
      <c r="E102" s="4">
        <v>44</v>
      </c>
      <c r="F102" s="4" t="s">
        <v>11</v>
      </c>
      <c r="G102" s="4" t="s">
        <v>25</v>
      </c>
      <c r="H102" s="5">
        <v>3900</v>
      </c>
      <c r="I102" s="4"/>
    </row>
    <row r="103" spans="1:9" ht="15.9" x14ac:dyDescent="0.4">
      <c r="A103" s="3">
        <v>45716</v>
      </c>
      <c r="B103" s="4" t="s">
        <v>207</v>
      </c>
      <c r="C103" s="4" t="s">
        <v>1107</v>
      </c>
      <c r="D103" s="4">
        <v>35280</v>
      </c>
      <c r="E103" s="4">
        <v>48</v>
      </c>
      <c r="F103" s="4" t="s">
        <v>11</v>
      </c>
      <c r="G103" s="4" t="s">
        <v>19</v>
      </c>
      <c r="H103" s="5">
        <v>1250</v>
      </c>
      <c r="I103" s="4"/>
    </row>
    <row r="104" spans="1:9" ht="15.9" x14ac:dyDescent="0.4">
      <c r="A104" s="3">
        <v>45716</v>
      </c>
      <c r="B104" s="4" t="s">
        <v>1041</v>
      </c>
      <c r="C104" s="4" t="s">
        <v>1108</v>
      </c>
      <c r="D104" s="4">
        <v>37356</v>
      </c>
      <c r="E104" s="4">
        <v>44</v>
      </c>
      <c r="F104" s="4" t="s">
        <v>11</v>
      </c>
      <c r="G104" s="4" t="s">
        <v>19</v>
      </c>
      <c r="H104" s="5">
        <v>4700</v>
      </c>
      <c r="I104" s="4"/>
    </row>
    <row r="105" spans="1:9" ht="15.9" x14ac:dyDescent="0.4">
      <c r="A105" s="3">
        <v>45716</v>
      </c>
      <c r="B105" s="4" t="s">
        <v>1041</v>
      </c>
      <c r="C105" s="4" t="s">
        <v>1109</v>
      </c>
      <c r="D105" s="4">
        <v>40920</v>
      </c>
      <c r="E105" s="4">
        <v>44</v>
      </c>
      <c r="F105" s="4" t="s">
        <v>11</v>
      </c>
      <c r="G105" s="4" t="s">
        <v>19</v>
      </c>
      <c r="H105" s="5">
        <v>4700</v>
      </c>
      <c r="I105" s="4"/>
    </row>
    <row r="106" spans="1:9" ht="15.9" x14ac:dyDescent="0.4">
      <c r="A106" s="3">
        <v>45716</v>
      </c>
      <c r="B106" s="4" t="s">
        <v>1041</v>
      </c>
      <c r="C106" s="4" t="s">
        <v>1110</v>
      </c>
      <c r="D106" s="4">
        <v>37356</v>
      </c>
      <c r="E106" s="4">
        <v>44</v>
      </c>
      <c r="F106" s="4" t="s">
        <v>11</v>
      </c>
      <c r="G106" s="4" t="s">
        <v>19</v>
      </c>
      <c r="H106" s="5">
        <v>4700</v>
      </c>
      <c r="I106" s="4"/>
    </row>
    <row r="107" spans="1:9" ht="15.9" x14ac:dyDescent="0.4">
      <c r="A107" s="3"/>
      <c r="B107" s="4"/>
      <c r="C107" s="4"/>
      <c r="D107" s="4"/>
      <c r="E107" s="4"/>
      <c r="F107" s="4"/>
      <c r="G107" s="4"/>
      <c r="H107" s="5"/>
      <c r="I107" s="4"/>
    </row>
    <row r="108" spans="1:9" ht="15.9" x14ac:dyDescent="0.4">
      <c r="A108" s="3"/>
      <c r="B108" s="4"/>
      <c r="C108" s="4"/>
      <c r="D108" s="4"/>
      <c r="E108" s="4"/>
      <c r="F108" s="4"/>
      <c r="G108" s="4"/>
      <c r="H108" s="4"/>
      <c r="I108" s="4"/>
    </row>
    <row r="109" spans="1:9" ht="15.9" x14ac:dyDescent="0.4">
      <c r="A109" s="3"/>
      <c r="B109" s="4"/>
      <c r="C109" s="4"/>
      <c r="D109" s="4"/>
      <c r="E109" s="4"/>
      <c r="F109" s="4"/>
      <c r="G109" s="4"/>
      <c r="H109" s="5"/>
      <c r="I109" s="4"/>
    </row>
    <row r="110" spans="1:9" ht="15.9" x14ac:dyDescent="0.4">
      <c r="A110" s="3"/>
      <c r="B110" s="4"/>
      <c r="C110" s="4"/>
      <c r="D110" s="4"/>
      <c r="E110" s="4"/>
      <c r="F110" s="4"/>
      <c r="G110" s="4"/>
      <c r="H110" s="5"/>
      <c r="I110" s="4"/>
    </row>
    <row r="111" spans="1:9" ht="15.9" x14ac:dyDescent="0.4">
      <c r="A111" s="3"/>
      <c r="B111" s="4"/>
      <c r="C111" s="4"/>
      <c r="D111" s="4"/>
      <c r="E111" s="4"/>
      <c r="F111" s="4"/>
      <c r="G111" s="4"/>
      <c r="H111" s="5"/>
      <c r="I111" s="4"/>
    </row>
    <row r="112" spans="1:9" ht="15.9" x14ac:dyDescent="0.4">
      <c r="A112" s="3"/>
      <c r="B112" s="4"/>
      <c r="C112" s="4"/>
      <c r="D112" s="4"/>
      <c r="E112" s="4"/>
      <c r="F112" s="4"/>
      <c r="G112" s="4"/>
      <c r="H112" s="4"/>
      <c r="I112" s="4"/>
    </row>
    <row r="113" spans="1:9" ht="15.9" x14ac:dyDescent="0.4">
      <c r="A113" s="3"/>
      <c r="B113" s="4"/>
      <c r="C113" s="4"/>
      <c r="D113" s="4"/>
      <c r="E113" s="4"/>
      <c r="F113" s="4"/>
      <c r="G113" s="4"/>
      <c r="H113" s="4"/>
      <c r="I113" s="4"/>
    </row>
    <row r="114" spans="1:9" ht="15.9" x14ac:dyDescent="0.4">
      <c r="A114" s="3"/>
      <c r="B114" s="4"/>
      <c r="C114" s="4"/>
      <c r="D114" s="4"/>
      <c r="E114" s="4"/>
      <c r="F114" s="4"/>
      <c r="G114" s="4"/>
      <c r="H114" s="4"/>
      <c r="I114" s="4"/>
    </row>
    <row r="115" spans="1:9" ht="15.9" x14ac:dyDescent="0.4">
      <c r="A115" s="3"/>
      <c r="B115" s="4"/>
      <c r="C115" s="4"/>
      <c r="D115" s="4"/>
      <c r="E115" s="4"/>
      <c r="F115" s="4"/>
      <c r="G115" s="4"/>
      <c r="H115" s="4"/>
      <c r="I115" s="4"/>
    </row>
    <row r="116" spans="1:9" ht="15.9" x14ac:dyDescent="0.4">
      <c r="A116" s="3"/>
      <c r="B116" s="4"/>
      <c r="C116" s="4"/>
      <c r="D116" s="4"/>
      <c r="E116" s="4"/>
      <c r="F116" s="4"/>
      <c r="G116" s="4"/>
      <c r="H116" s="4"/>
      <c r="I116" s="4"/>
    </row>
    <row r="117" spans="1:9" ht="15.9" x14ac:dyDescent="0.4">
      <c r="A117" s="3"/>
      <c r="B117" s="4"/>
      <c r="C117" s="4"/>
      <c r="D117" s="4"/>
      <c r="E117" s="4"/>
      <c r="F117" s="4"/>
      <c r="G117" s="4"/>
      <c r="H117" s="4"/>
      <c r="I117" s="4"/>
    </row>
    <row r="118" spans="1:9" ht="15.9" x14ac:dyDescent="0.4">
      <c r="A118" s="3"/>
      <c r="B118" s="4"/>
      <c r="C118" s="4"/>
      <c r="D118" s="4"/>
      <c r="E118" s="4"/>
      <c r="F118" s="4"/>
      <c r="G118" s="4"/>
      <c r="H118" s="5"/>
      <c r="I118" s="4"/>
    </row>
    <row r="119" spans="1:9" ht="15.9" x14ac:dyDescent="0.4">
      <c r="A119" s="3"/>
      <c r="B119" s="4"/>
      <c r="C119" s="4"/>
      <c r="D119" s="4"/>
      <c r="E119" s="4"/>
      <c r="F119" s="4"/>
      <c r="G119" s="4"/>
      <c r="H119" s="5"/>
      <c r="I119" s="4"/>
    </row>
    <row r="120" spans="1:9" ht="15.9" x14ac:dyDescent="0.4">
      <c r="A120" s="3"/>
      <c r="B120" s="4"/>
      <c r="C120" s="4"/>
      <c r="D120" s="4"/>
      <c r="E120" s="4"/>
      <c r="F120" s="4"/>
      <c r="G120" s="4"/>
      <c r="H120" s="5"/>
      <c r="I120" s="4"/>
    </row>
    <row r="121" spans="1:9" ht="15.9" x14ac:dyDescent="0.4">
      <c r="A121" s="3"/>
      <c r="B121" s="4"/>
      <c r="C121" s="4"/>
      <c r="D121" s="4"/>
      <c r="E121" s="4"/>
      <c r="F121" s="4"/>
      <c r="G121" s="4"/>
      <c r="H121" s="5"/>
      <c r="I121" s="4"/>
    </row>
    <row r="122" spans="1:9" ht="15.9" x14ac:dyDescent="0.4">
      <c r="A122" s="3"/>
      <c r="B122" s="4"/>
      <c r="C122" s="4"/>
      <c r="D122" s="4"/>
      <c r="E122" s="4"/>
      <c r="F122" s="4"/>
      <c r="G122" s="4"/>
      <c r="H122" s="5"/>
      <c r="I122" s="4"/>
    </row>
    <row r="123" spans="1:9" ht="15.9" x14ac:dyDescent="0.4">
      <c r="A123" s="3"/>
      <c r="B123" s="4"/>
      <c r="C123" s="4"/>
      <c r="D123" s="4"/>
      <c r="E123" s="4"/>
      <c r="F123" s="4"/>
      <c r="G123" s="4"/>
      <c r="H123" s="5"/>
      <c r="I123" s="4"/>
    </row>
    <row r="124" spans="1:9" ht="15.9" x14ac:dyDescent="0.4">
      <c r="A124" s="3"/>
      <c r="B124" s="4"/>
      <c r="C124" s="4"/>
      <c r="D124" s="4"/>
      <c r="E124" s="4"/>
      <c r="F124" s="4"/>
      <c r="G124" s="4"/>
      <c r="H124" s="4"/>
      <c r="I124" s="4"/>
    </row>
    <row r="125" spans="1:9" ht="15.9" x14ac:dyDescent="0.4">
      <c r="A125" s="3"/>
      <c r="B125" s="4"/>
      <c r="C125" s="4"/>
      <c r="D125" s="4"/>
      <c r="E125" s="4"/>
      <c r="F125" s="4"/>
      <c r="G125" s="4"/>
      <c r="H125" s="5"/>
      <c r="I125" s="4"/>
    </row>
    <row r="126" spans="1:9" ht="15.9" x14ac:dyDescent="0.4">
      <c r="A126" s="3"/>
      <c r="B126" s="4"/>
      <c r="C126" s="4"/>
      <c r="D126" s="4"/>
      <c r="E126" s="4"/>
      <c r="F126" s="4"/>
      <c r="G126" s="4"/>
      <c r="H126" s="5"/>
      <c r="I126" s="4"/>
    </row>
    <row r="127" spans="1:9" ht="15.9" x14ac:dyDescent="0.4">
      <c r="A127" s="3"/>
      <c r="B127" s="4"/>
      <c r="C127" s="4"/>
      <c r="D127" s="4"/>
      <c r="E127" s="4"/>
      <c r="F127" s="4"/>
      <c r="G127" s="4"/>
      <c r="H127" s="5"/>
      <c r="I127" s="4"/>
    </row>
    <row r="128" spans="1:9" ht="15.9" x14ac:dyDescent="0.4">
      <c r="A128" s="3"/>
      <c r="B128" s="4"/>
      <c r="C128" s="4"/>
      <c r="D128" s="4"/>
      <c r="E128" s="4"/>
      <c r="F128" s="4"/>
      <c r="G128" s="4"/>
      <c r="H128" s="5"/>
      <c r="I128" s="4"/>
    </row>
    <row r="129" spans="1:9" ht="15.9" x14ac:dyDescent="0.4">
      <c r="A129" s="4"/>
      <c r="B129" s="4"/>
      <c r="C129" s="4"/>
      <c r="D129" s="4"/>
      <c r="E129" s="4"/>
      <c r="F129" s="4"/>
      <c r="G129" s="4"/>
      <c r="H129" s="4"/>
      <c r="I129" s="4"/>
    </row>
    <row r="130" spans="1:9" ht="15.9" x14ac:dyDescent="0.4">
      <c r="A130" s="4"/>
      <c r="B130" s="4"/>
      <c r="C130" s="4"/>
      <c r="D130" s="4"/>
      <c r="E130" s="4"/>
      <c r="F130" s="4"/>
      <c r="G130" s="4"/>
      <c r="H130" s="4"/>
      <c r="I130" s="4"/>
    </row>
    <row r="131" spans="1:9" ht="15.9" x14ac:dyDescent="0.4">
      <c r="A131" s="4"/>
      <c r="B131" s="4"/>
      <c r="C131" s="4"/>
      <c r="D131" s="4"/>
      <c r="E131" s="4"/>
      <c r="F131" s="4"/>
      <c r="G131" s="4"/>
      <c r="H131" s="4"/>
      <c r="I131" s="4"/>
    </row>
    <row r="132" spans="1:9" ht="15.9" x14ac:dyDescent="0.4">
      <c r="A132" s="4"/>
      <c r="B132" s="4"/>
      <c r="C132" s="4"/>
      <c r="D132" s="4"/>
      <c r="E132" s="4"/>
      <c r="F132" s="4"/>
      <c r="G132" s="4"/>
      <c r="H132" s="4"/>
      <c r="I132" s="4"/>
    </row>
    <row r="133" spans="1:9" ht="15.9" x14ac:dyDescent="0.4">
      <c r="A133" s="4"/>
      <c r="B133" s="4"/>
      <c r="C133" s="4"/>
      <c r="D133" s="4"/>
      <c r="E133" s="4"/>
      <c r="F133" s="4"/>
      <c r="G133" s="4"/>
      <c r="H133" s="4"/>
      <c r="I133" s="4"/>
    </row>
    <row r="134" spans="1:9" ht="15.9" x14ac:dyDescent="0.4">
      <c r="A134" s="4"/>
      <c r="B134" s="4"/>
      <c r="C134" s="4"/>
      <c r="D134" s="4"/>
      <c r="E134" s="4"/>
      <c r="F134" s="4"/>
      <c r="G134" s="4"/>
      <c r="H134" s="4"/>
      <c r="I134" s="4"/>
    </row>
    <row r="135" spans="1:9" ht="15.9" x14ac:dyDescent="0.4">
      <c r="A135" s="4"/>
      <c r="B135" s="4"/>
      <c r="C135" s="4"/>
      <c r="D135" s="4"/>
      <c r="E135" s="4"/>
      <c r="F135" s="4"/>
      <c r="G135" s="4"/>
      <c r="H135" s="4"/>
      <c r="I135" s="4"/>
    </row>
    <row r="136" spans="1:9" ht="15.9" x14ac:dyDescent="0.4">
      <c r="A136" s="4"/>
      <c r="B136" s="4"/>
      <c r="C136" s="4"/>
      <c r="D136" s="4"/>
      <c r="E136" s="4"/>
      <c r="F136" s="4"/>
      <c r="G136" s="4"/>
      <c r="H136" s="4"/>
      <c r="I136" s="4"/>
    </row>
    <row r="137" spans="1:9" ht="15.9" x14ac:dyDescent="0.4">
      <c r="A137" s="4"/>
      <c r="B137" s="4"/>
      <c r="C137" s="4"/>
      <c r="D137" s="4"/>
      <c r="E137" s="4"/>
      <c r="F137" s="4"/>
      <c r="G137" s="4"/>
      <c r="H137" s="4"/>
      <c r="I137" s="4"/>
    </row>
    <row r="138" spans="1:9" ht="15.9" x14ac:dyDescent="0.4">
      <c r="A138" s="4"/>
      <c r="B138" s="4"/>
      <c r="C138" s="4"/>
      <c r="D138" s="4"/>
      <c r="E138" s="4"/>
      <c r="F138" s="4"/>
      <c r="G138" s="4"/>
      <c r="H138" s="4"/>
      <c r="I138" s="4"/>
    </row>
    <row r="139" spans="1:9" ht="15.9" x14ac:dyDescent="0.4">
      <c r="A139" s="4"/>
      <c r="B139" s="4"/>
      <c r="C139" s="4"/>
      <c r="D139" s="4"/>
      <c r="E139" s="4"/>
      <c r="F139" s="4"/>
      <c r="G139" s="4"/>
      <c r="H139" s="4"/>
      <c r="I139" s="4"/>
    </row>
    <row r="140" spans="1:9" ht="15.9" x14ac:dyDescent="0.4">
      <c r="A140" s="4"/>
      <c r="B140" s="4"/>
      <c r="C140" s="4"/>
      <c r="D140" s="4"/>
      <c r="E140" s="4"/>
      <c r="F140" s="4"/>
      <c r="G140" s="4"/>
      <c r="H140" s="4"/>
      <c r="I140" s="4"/>
    </row>
    <row r="141" spans="1:9" ht="15.9" x14ac:dyDescent="0.4">
      <c r="A141" s="4"/>
      <c r="B141" s="4"/>
      <c r="C141" s="4"/>
      <c r="D141" s="4"/>
      <c r="E141" s="4"/>
      <c r="F141" s="4"/>
      <c r="G141" s="4"/>
      <c r="H141" s="4"/>
      <c r="I141" s="4"/>
    </row>
    <row r="142" spans="1:9" ht="15.9" x14ac:dyDescent="0.4">
      <c r="A142" s="4"/>
      <c r="B142" s="4"/>
      <c r="C142" s="4"/>
      <c r="D142" s="4"/>
      <c r="E142" s="4"/>
      <c r="F142" s="4"/>
      <c r="G142" s="4"/>
      <c r="H142" s="4"/>
      <c r="I142" s="4"/>
    </row>
    <row r="143" spans="1:9" ht="15.9" x14ac:dyDescent="0.4">
      <c r="A143" s="4"/>
      <c r="B143" s="4"/>
      <c r="C143" s="4"/>
      <c r="D143" s="4"/>
      <c r="E143" s="4"/>
      <c r="F143" s="4"/>
      <c r="G143" s="4"/>
      <c r="H143" s="4"/>
      <c r="I143" s="4"/>
    </row>
    <row r="144" spans="1:9" ht="15.9" x14ac:dyDescent="0.4">
      <c r="A144" s="4"/>
      <c r="B144" s="4"/>
      <c r="C144" s="4"/>
      <c r="D144" s="4"/>
      <c r="E144" s="4"/>
      <c r="F144" s="4"/>
      <c r="G144" s="4"/>
      <c r="H144" s="4"/>
      <c r="I144" s="4"/>
    </row>
    <row r="145" spans="1:9" ht="15.9" x14ac:dyDescent="0.4">
      <c r="A145" s="4"/>
      <c r="B145" s="4"/>
      <c r="C145" s="4"/>
      <c r="D145" s="4"/>
      <c r="E145" s="4"/>
      <c r="F145" s="4"/>
      <c r="G145" s="4"/>
      <c r="H145" s="4"/>
      <c r="I145" s="4"/>
    </row>
    <row r="146" spans="1:9" ht="15.9" x14ac:dyDescent="0.4">
      <c r="A146" s="4"/>
      <c r="B146" s="4"/>
      <c r="C146" s="4"/>
      <c r="D146" s="4"/>
      <c r="E146" s="4"/>
      <c r="F146" s="4"/>
      <c r="G146" s="4"/>
      <c r="H146" s="4"/>
      <c r="I146" s="4"/>
    </row>
    <row r="147" spans="1:9" ht="15.9" x14ac:dyDescent="0.4">
      <c r="A147" s="4"/>
      <c r="B147" s="4"/>
      <c r="C147" s="4"/>
      <c r="D147" s="4"/>
      <c r="E147" s="4"/>
      <c r="F147" s="4"/>
      <c r="G147" s="4"/>
      <c r="H147" s="4"/>
      <c r="I147" s="4"/>
    </row>
    <row r="148" spans="1:9" ht="15.9" x14ac:dyDescent="0.4">
      <c r="A148" s="4"/>
      <c r="B148" s="4"/>
      <c r="C148" s="4"/>
      <c r="D148" s="4"/>
      <c r="E148" s="4"/>
      <c r="F148" s="4"/>
      <c r="G148" s="4"/>
      <c r="H148" s="4"/>
      <c r="I148" s="4"/>
    </row>
    <row r="149" spans="1:9" ht="15.9" x14ac:dyDescent="0.4">
      <c r="A149" s="4"/>
      <c r="B149" s="4"/>
      <c r="C149" s="4"/>
      <c r="D149" s="4"/>
      <c r="E149" s="4"/>
      <c r="F149" s="4"/>
      <c r="G149" s="4"/>
      <c r="H149" s="4"/>
      <c r="I149" s="4"/>
    </row>
    <row r="150" spans="1:9" ht="15.9" x14ac:dyDescent="0.4">
      <c r="A150" s="4"/>
      <c r="B150" s="4"/>
      <c r="C150" s="4"/>
      <c r="D150" s="4"/>
      <c r="E150" s="4"/>
      <c r="F150" s="4"/>
      <c r="G150" s="4"/>
      <c r="H150" s="4"/>
      <c r="I150" s="4"/>
    </row>
    <row r="151" spans="1:9" ht="15.9" x14ac:dyDescent="0.4">
      <c r="A151" s="4"/>
      <c r="B151" s="4"/>
      <c r="C151" s="4"/>
      <c r="D151" s="4"/>
      <c r="E151" s="4"/>
      <c r="F151" s="4"/>
      <c r="G151" s="4"/>
      <c r="H151" s="4"/>
      <c r="I151" s="4"/>
    </row>
    <row r="152" spans="1:9" ht="15.9" x14ac:dyDescent="0.4">
      <c r="A152" s="4"/>
      <c r="B152" s="4"/>
      <c r="C152" s="4"/>
      <c r="D152" s="4"/>
      <c r="E152" s="4"/>
      <c r="F152" s="4"/>
      <c r="G152" s="4"/>
      <c r="H152" s="4"/>
      <c r="I152" s="4"/>
    </row>
    <row r="153" spans="1:9" ht="15.9" x14ac:dyDescent="0.4">
      <c r="A153" s="4"/>
      <c r="B153" s="4"/>
      <c r="C153" s="4"/>
      <c r="D153" s="4"/>
      <c r="E153" s="4"/>
      <c r="F153" s="4"/>
      <c r="G153" s="4"/>
      <c r="H153" s="4"/>
      <c r="I153" s="4"/>
    </row>
    <row r="154" spans="1:9" ht="15.9" x14ac:dyDescent="0.4">
      <c r="A154" s="4"/>
      <c r="B154" s="4"/>
      <c r="C154" s="4"/>
      <c r="D154" s="4"/>
      <c r="E154" s="4"/>
      <c r="F154" s="4"/>
      <c r="G154" s="4"/>
      <c r="H154" s="4"/>
      <c r="I154" s="4"/>
    </row>
    <row r="155" spans="1:9" ht="15.9" x14ac:dyDescent="0.4">
      <c r="A155" s="4"/>
      <c r="B155" s="4"/>
      <c r="C155" s="4"/>
      <c r="D155" s="4"/>
      <c r="E155" s="4"/>
      <c r="F155" s="4"/>
      <c r="G155" s="4"/>
      <c r="H155" s="4"/>
      <c r="I155" s="4"/>
    </row>
    <row r="156" spans="1:9" ht="15.9" x14ac:dyDescent="0.4">
      <c r="A156" s="4"/>
      <c r="B156" s="4"/>
      <c r="C156" s="4"/>
      <c r="D156" s="4"/>
      <c r="E156" s="4"/>
      <c r="F156" s="4"/>
      <c r="G156" s="4"/>
      <c r="H156" s="4"/>
      <c r="I156" s="4"/>
    </row>
    <row r="157" spans="1:9" ht="15.9" x14ac:dyDescent="0.4">
      <c r="A157" s="4"/>
      <c r="B157" s="4"/>
      <c r="C157" s="4"/>
      <c r="D157" s="4"/>
      <c r="E157" s="4"/>
      <c r="F157" s="4"/>
      <c r="G157" s="4"/>
      <c r="H157" s="4"/>
      <c r="I157" s="4"/>
    </row>
    <row r="158" spans="1:9" ht="15.9" x14ac:dyDescent="0.4">
      <c r="A158" s="4"/>
      <c r="B158" s="4"/>
      <c r="C158" s="4"/>
      <c r="D158" s="4"/>
      <c r="E158" s="4"/>
      <c r="F158" s="4"/>
      <c r="G158" s="4"/>
      <c r="H158" s="4"/>
      <c r="I158" s="4"/>
    </row>
    <row r="159" spans="1:9" ht="15.9" x14ac:dyDescent="0.4">
      <c r="A159" s="4"/>
      <c r="B159" s="4"/>
      <c r="C159" s="4"/>
      <c r="D159" s="4"/>
      <c r="E159" s="4"/>
      <c r="F159" s="4"/>
      <c r="G159" s="4"/>
      <c r="H159" s="4"/>
      <c r="I159" s="4"/>
    </row>
    <row r="160" spans="1:9" ht="15.9" x14ac:dyDescent="0.4">
      <c r="A160" s="4"/>
      <c r="B160" s="4"/>
      <c r="C160" s="4"/>
      <c r="D160" s="4"/>
      <c r="E160" s="4"/>
      <c r="F160" s="4"/>
      <c r="G160" s="4"/>
      <c r="H160" s="4"/>
      <c r="I160" s="4"/>
    </row>
    <row r="161" spans="1:9" ht="15.9" x14ac:dyDescent="0.4">
      <c r="A161" s="4"/>
      <c r="B161" s="4"/>
      <c r="C161" s="4"/>
      <c r="D161" s="4"/>
      <c r="E161" s="4"/>
      <c r="F161" s="4"/>
      <c r="G161" s="4"/>
      <c r="H161" s="4"/>
      <c r="I161" s="4"/>
    </row>
    <row r="162" spans="1:9" ht="15.9" x14ac:dyDescent="0.4">
      <c r="A162" s="4"/>
      <c r="B162" s="4"/>
      <c r="C162" s="4"/>
      <c r="D162" s="4"/>
      <c r="E162" s="4"/>
      <c r="F162" s="4"/>
      <c r="G162" s="4"/>
      <c r="H162" s="4"/>
      <c r="I162" s="4"/>
    </row>
    <row r="163" spans="1:9" ht="15.9" x14ac:dyDescent="0.4">
      <c r="A163" s="4"/>
      <c r="B163" s="4"/>
      <c r="C163" s="4"/>
      <c r="D163" s="4"/>
      <c r="E163" s="4"/>
      <c r="F163" s="4"/>
      <c r="G163" s="4"/>
      <c r="H163" s="4"/>
      <c r="I163" s="4"/>
    </row>
    <row r="164" spans="1:9" ht="15.9" x14ac:dyDescent="0.4">
      <c r="A164" s="4"/>
      <c r="B164" s="4"/>
      <c r="C164" s="4"/>
      <c r="D164" s="4"/>
      <c r="E164" s="4"/>
      <c r="F164" s="4"/>
      <c r="G164" s="4"/>
      <c r="H164" s="4"/>
      <c r="I164" s="4"/>
    </row>
    <row r="165" spans="1:9" ht="15.9" x14ac:dyDescent="0.4">
      <c r="A165" s="4"/>
      <c r="B165" s="4"/>
      <c r="C165" s="4"/>
      <c r="D165" s="4"/>
      <c r="E165" s="4"/>
      <c r="F165" s="4"/>
      <c r="G165" s="4"/>
      <c r="H165" s="4"/>
      <c r="I165" s="4"/>
    </row>
    <row r="166" spans="1:9" ht="15.9" x14ac:dyDescent="0.4">
      <c r="A166" s="4"/>
      <c r="B166" s="4"/>
      <c r="C166" s="4"/>
      <c r="D166" s="4"/>
      <c r="E166" s="4"/>
      <c r="F166" s="4"/>
      <c r="G166" s="4"/>
      <c r="H166" s="4"/>
      <c r="I166" s="4"/>
    </row>
    <row r="167" spans="1:9" ht="15.9" x14ac:dyDescent="0.4">
      <c r="A167" s="4"/>
      <c r="B167" s="4"/>
      <c r="C167" s="4"/>
      <c r="D167" s="4"/>
      <c r="E167" s="4"/>
      <c r="F167" s="4"/>
      <c r="G167" s="4"/>
      <c r="H167" s="4"/>
      <c r="I167" s="4"/>
    </row>
    <row r="168" spans="1:9" ht="15.9" x14ac:dyDescent="0.4">
      <c r="A168" s="4"/>
      <c r="B168" s="4"/>
      <c r="C168" s="4"/>
      <c r="D168" s="4"/>
      <c r="E168" s="4"/>
      <c r="F168" s="4"/>
      <c r="G168" s="4"/>
      <c r="H168" s="4"/>
      <c r="I168" s="4"/>
    </row>
    <row r="169" spans="1:9" ht="15.9" x14ac:dyDescent="0.4">
      <c r="A169" s="4"/>
      <c r="B169" s="4"/>
      <c r="C169" s="4"/>
      <c r="D169" s="4"/>
      <c r="E169" s="4"/>
      <c r="F169" s="4"/>
      <c r="G169" s="4"/>
      <c r="H169" s="4"/>
      <c r="I169" s="4"/>
    </row>
    <row r="170" spans="1:9" ht="15.9" x14ac:dyDescent="0.4">
      <c r="A170" s="4"/>
      <c r="B170" s="4"/>
      <c r="C170" s="4"/>
      <c r="D170" s="4"/>
      <c r="E170" s="4"/>
      <c r="F170" s="4"/>
      <c r="G170" s="4"/>
      <c r="H170" s="4"/>
      <c r="I170" s="4"/>
    </row>
    <row r="171" spans="1:9" ht="15.9" x14ac:dyDescent="0.4">
      <c r="A171" s="4"/>
      <c r="B171" s="4"/>
      <c r="C171" s="4"/>
      <c r="D171" s="4"/>
      <c r="E171" s="4"/>
      <c r="F171" s="4"/>
      <c r="G171" s="4"/>
      <c r="H171" s="4"/>
      <c r="I171" s="4"/>
    </row>
    <row r="172" spans="1:9" ht="15.9" x14ac:dyDescent="0.4">
      <c r="A172" s="4"/>
      <c r="B172" s="4"/>
      <c r="C172" s="4"/>
      <c r="D172" s="4"/>
      <c r="E172" s="4"/>
      <c r="F172" s="4"/>
      <c r="G172" s="4"/>
      <c r="H172" s="4"/>
      <c r="I172" s="4"/>
    </row>
    <row r="173" spans="1:9" ht="15.9" x14ac:dyDescent="0.4">
      <c r="A173" s="4"/>
      <c r="B173" s="4"/>
      <c r="C173" s="4"/>
      <c r="D173" s="4"/>
      <c r="E173" s="4"/>
      <c r="F173" s="4"/>
      <c r="G173" s="4"/>
      <c r="H173" s="4"/>
      <c r="I173" s="4"/>
    </row>
    <row r="174" spans="1:9" ht="15.9" x14ac:dyDescent="0.4">
      <c r="A174" s="4"/>
      <c r="B174" s="4"/>
      <c r="C174" s="4"/>
      <c r="D174" s="4"/>
      <c r="E174" s="4"/>
      <c r="F174" s="4"/>
      <c r="G174" s="4"/>
      <c r="H174" s="4"/>
      <c r="I174" s="4"/>
    </row>
    <row r="175" spans="1:9" ht="15.9" x14ac:dyDescent="0.4">
      <c r="A175" s="4"/>
      <c r="B175" s="4"/>
      <c r="C175" s="4"/>
      <c r="D175" s="4"/>
      <c r="E175" s="4"/>
      <c r="F175" s="4"/>
      <c r="G175" s="4"/>
      <c r="H175" s="4"/>
      <c r="I175" s="4"/>
    </row>
    <row r="176" spans="1:9" ht="15.9" x14ac:dyDescent="0.4">
      <c r="A176" s="4"/>
      <c r="B176" s="4"/>
      <c r="C176" s="4"/>
      <c r="D176" s="4"/>
      <c r="E176" s="4"/>
      <c r="F176" s="4"/>
      <c r="G176" s="4"/>
      <c r="H176" s="4"/>
      <c r="I176" s="4"/>
    </row>
    <row r="177" spans="1:9" ht="15.9" x14ac:dyDescent="0.4">
      <c r="A177" s="4"/>
      <c r="B177" s="4"/>
      <c r="C177" s="4"/>
      <c r="D177" s="4"/>
      <c r="E177" s="4"/>
      <c r="F177" s="4"/>
      <c r="G177" s="4"/>
      <c r="H177" s="4"/>
      <c r="I177" s="4"/>
    </row>
    <row r="178" spans="1:9" ht="15.9" x14ac:dyDescent="0.4">
      <c r="A178" s="4"/>
      <c r="B178" s="4"/>
      <c r="C178" s="4"/>
      <c r="D178" s="4"/>
      <c r="E178" s="4"/>
      <c r="F178" s="4"/>
      <c r="G178" s="4"/>
      <c r="H178" s="4"/>
      <c r="I178" s="4"/>
    </row>
    <row r="179" spans="1:9" ht="15.9" x14ac:dyDescent="0.4">
      <c r="A179" s="4"/>
      <c r="B179" s="4"/>
      <c r="C179" s="4"/>
      <c r="D179" s="4"/>
      <c r="E179" s="4"/>
      <c r="F179" s="4"/>
      <c r="G179" s="4"/>
      <c r="H179" s="4"/>
      <c r="I179" s="4"/>
    </row>
    <row r="180" spans="1:9" ht="15.9" x14ac:dyDescent="0.4">
      <c r="A180" s="4"/>
      <c r="B180" s="4"/>
      <c r="C180" s="4"/>
      <c r="D180" s="4"/>
      <c r="E180" s="4"/>
      <c r="F180" s="4"/>
      <c r="G180" s="4"/>
      <c r="H180" s="4"/>
      <c r="I180" s="4"/>
    </row>
    <row r="181" spans="1:9" ht="15.9" x14ac:dyDescent="0.4">
      <c r="A181" s="4"/>
      <c r="B181" s="4"/>
      <c r="C181" s="4"/>
      <c r="D181" s="4"/>
      <c r="E181" s="4"/>
      <c r="F181" s="4"/>
      <c r="G181" s="4"/>
      <c r="H181" s="4"/>
      <c r="I181" s="4"/>
    </row>
    <row r="182" spans="1:9" ht="15.9" x14ac:dyDescent="0.4">
      <c r="A182" s="4"/>
      <c r="B182" s="4"/>
      <c r="C182" s="4"/>
      <c r="D182" s="4"/>
      <c r="E182" s="4"/>
      <c r="F182" s="4"/>
      <c r="G182" s="4"/>
      <c r="H182" s="4"/>
      <c r="I182" s="4"/>
    </row>
    <row r="183" spans="1:9" ht="15.9" x14ac:dyDescent="0.4">
      <c r="A183" s="4"/>
      <c r="B183" s="4"/>
      <c r="C183" s="4"/>
      <c r="D183" s="4"/>
      <c r="E183" s="4"/>
      <c r="F183" s="4"/>
      <c r="G183" s="4"/>
      <c r="H183" s="4"/>
      <c r="I183" s="4"/>
    </row>
    <row r="184" spans="1:9" ht="15.9" x14ac:dyDescent="0.4">
      <c r="A184" s="4"/>
      <c r="B184" s="4"/>
      <c r="C184" s="4"/>
      <c r="D184" s="4"/>
      <c r="E184" s="4"/>
      <c r="F184" s="4"/>
      <c r="G184" s="4"/>
      <c r="H184" s="4"/>
      <c r="I184" s="4"/>
    </row>
    <row r="185" spans="1:9" ht="15.9" x14ac:dyDescent="0.4">
      <c r="A185" s="4"/>
      <c r="B185" s="4"/>
      <c r="C185" s="4"/>
      <c r="D185" s="4"/>
      <c r="E185" s="4"/>
      <c r="F185" s="4"/>
      <c r="G185" s="4"/>
      <c r="H185" s="4"/>
      <c r="I185" s="4"/>
    </row>
    <row r="186" spans="1:9" ht="15.9" x14ac:dyDescent="0.4">
      <c r="A186" s="4"/>
      <c r="B186" s="4"/>
      <c r="C186" s="4"/>
      <c r="D186" s="4"/>
      <c r="E186" s="4"/>
      <c r="F186" s="4"/>
      <c r="G186" s="4"/>
      <c r="H186" s="4"/>
      <c r="I186" s="4"/>
    </row>
    <row r="187" spans="1:9" ht="15.9" x14ac:dyDescent="0.4">
      <c r="A187" s="4"/>
      <c r="B187" s="4"/>
      <c r="C187" s="4"/>
      <c r="D187" s="4"/>
      <c r="E187" s="4"/>
      <c r="F187" s="4"/>
      <c r="G187" s="4"/>
      <c r="H187" s="4"/>
      <c r="I187" s="4"/>
    </row>
    <row r="188" spans="1:9" ht="15.9" x14ac:dyDescent="0.4">
      <c r="A188" s="4"/>
      <c r="B188" s="4"/>
      <c r="C188" s="4"/>
      <c r="D188" s="4"/>
      <c r="E188" s="4"/>
      <c r="F188" s="4"/>
      <c r="G188" s="4"/>
      <c r="H188" s="4"/>
      <c r="I188" s="4"/>
    </row>
    <row r="189" spans="1:9" ht="15.9" x14ac:dyDescent="0.4">
      <c r="A189" s="4"/>
      <c r="B189" s="4"/>
      <c r="C189" s="4"/>
      <c r="D189" s="4"/>
      <c r="E189" s="4"/>
      <c r="F189" s="4"/>
      <c r="G189" s="4"/>
      <c r="H189" s="4"/>
      <c r="I189" s="4"/>
    </row>
    <row r="190" spans="1:9" ht="15.9" x14ac:dyDescent="0.4">
      <c r="A190" s="4"/>
      <c r="B190" s="4"/>
      <c r="C190" s="4"/>
      <c r="D190" s="4"/>
      <c r="E190" s="4"/>
      <c r="F190" s="4"/>
      <c r="G190" s="4"/>
      <c r="H190" s="4"/>
      <c r="I190" s="4"/>
    </row>
    <row r="191" spans="1:9" ht="15.9" x14ac:dyDescent="0.4">
      <c r="A191" s="4"/>
      <c r="B191" s="4"/>
      <c r="C191" s="4"/>
      <c r="D191" s="4"/>
      <c r="E191" s="4"/>
      <c r="F191" s="4"/>
      <c r="G191" s="4"/>
      <c r="H191" s="4"/>
      <c r="I191" s="4"/>
    </row>
    <row r="192" spans="1:9" ht="15.9" x14ac:dyDescent="0.4">
      <c r="A192" s="4"/>
      <c r="B192" s="4"/>
      <c r="C192" s="4"/>
      <c r="D192" s="4"/>
      <c r="E192" s="4"/>
      <c r="F192" s="4"/>
      <c r="G192" s="4"/>
      <c r="H192" s="4"/>
      <c r="I192" s="4"/>
    </row>
    <row r="193" spans="1:9" ht="15.9" x14ac:dyDescent="0.4">
      <c r="A193" s="4"/>
      <c r="B193" s="4"/>
      <c r="C193" s="4"/>
      <c r="D193" s="4"/>
      <c r="E193" s="4"/>
      <c r="F193" s="4"/>
      <c r="G193" s="4"/>
      <c r="H193" s="4"/>
      <c r="I193" s="4"/>
    </row>
    <row r="194" spans="1:9" ht="15.9" x14ac:dyDescent="0.4">
      <c r="A194" s="4"/>
      <c r="B194" s="4"/>
      <c r="C194" s="4"/>
      <c r="D194" s="4"/>
      <c r="E194" s="4"/>
      <c r="F194" s="4"/>
      <c r="G194" s="4"/>
      <c r="H194" s="4"/>
      <c r="I194" s="4"/>
    </row>
    <row r="195" spans="1:9" ht="15.9" x14ac:dyDescent="0.4">
      <c r="A195" s="4"/>
      <c r="B195" s="4"/>
      <c r="C195" s="4"/>
      <c r="D195" s="4"/>
      <c r="E195" s="4"/>
      <c r="F195" s="4"/>
      <c r="G195" s="4"/>
      <c r="H195" s="4"/>
      <c r="I195" s="4"/>
    </row>
    <row r="196" spans="1:9" ht="15.9" x14ac:dyDescent="0.4">
      <c r="A196" s="4"/>
      <c r="B196" s="4"/>
      <c r="C196" s="4"/>
      <c r="D196" s="4"/>
      <c r="E196" s="4"/>
      <c r="F196" s="4"/>
      <c r="G196" s="4"/>
      <c r="H196" s="4"/>
      <c r="I196" s="4"/>
    </row>
    <row r="197" spans="1:9" ht="15.9" x14ac:dyDescent="0.4">
      <c r="A197" s="4"/>
      <c r="B197" s="4"/>
      <c r="C197" s="4"/>
      <c r="D197" s="4"/>
      <c r="E197" s="4"/>
      <c r="F197" s="4"/>
      <c r="G197" s="4"/>
      <c r="H197" s="4"/>
      <c r="I197" s="4"/>
    </row>
    <row r="198" spans="1:9" ht="15.9" x14ac:dyDescent="0.4">
      <c r="A198" s="4"/>
      <c r="B198" s="4"/>
      <c r="C198" s="4"/>
      <c r="D198" s="4"/>
      <c r="E198" s="4"/>
      <c r="F198" s="4"/>
      <c r="G198" s="4"/>
      <c r="H198" s="4"/>
      <c r="I198" s="4"/>
    </row>
    <row r="199" spans="1:9" ht="15.9" x14ac:dyDescent="0.4">
      <c r="A199" s="4"/>
      <c r="B199" s="4"/>
      <c r="C199" s="4"/>
      <c r="D199" s="4"/>
      <c r="E199" s="4"/>
      <c r="F199" s="4"/>
      <c r="G199" s="4"/>
      <c r="H199" s="4"/>
      <c r="I199" s="4"/>
    </row>
    <row r="200" spans="1:9" ht="15.9" x14ac:dyDescent="0.4">
      <c r="A200" s="4"/>
      <c r="B200" s="4"/>
      <c r="C200" s="4"/>
      <c r="D200" s="4"/>
      <c r="E200" s="4"/>
      <c r="F200" s="4"/>
      <c r="G200" s="4"/>
      <c r="H200" s="4"/>
      <c r="I200" s="4"/>
    </row>
    <row r="201" spans="1:9" ht="15.9" x14ac:dyDescent="0.4">
      <c r="A201" s="4"/>
      <c r="B201" s="4"/>
      <c r="C201" s="4"/>
      <c r="D201" s="4"/>
      <c r="E201" s="4"/>
      <c r="F201" s="4"/>
      <c r="G201" s="4"/>
      <c r="H201" s="4"/>
      <c r="I201" s="4"/>
    </row>
    <row r="202" spans="1:9" ht="15.9" x14ac:dyDescent="0.4">
      <c r="A202" s="4"/>
      <c r="B202" s="4"/>
      <c r="C202" s="4"/>
      <c r="D202" s="4"/>
      <c r="E202" s="4"/>
      <c r="F202" s="4"/>
      <c r="G202" s="4"/>
      <c r="H202" s="4"/>
      <c r="I202" s="4"/>
    </row>
    <row r="203" spans="1:9" ht="15.9" x14ac:dyDescent="0.4">
      <c r="A203" s="4"/>
      <c r="B203" s="4"/>
      <c r="C203" s="4"/>
      <c r="D203" s="4"/>
      <c r="E203" s="4"/>
      <c r="F203" s="4"/>
      <c r="G203" s="4"/>
      <c r="H203" s="4"/>
      <c r="I203" s="4"/>
    </row>
    <row r="204" spans="1:9" ht="15.9" x14ac:dyDescent="0.4">
      <c r="A204" s="4"/>
      <c r="B204" s="4"/>
      <c r="C204" s="4"/>
      <c r="D204" s="4"/>
      <c r="E204" s="4"/>
      <c r="F204" s="4"/>
      <c r="G204" s="4"/>
      <c r="H204" s="4"/>
      <c r="I204" s="4"/>
    </row>
    <row r="205" spans="1:9" ht="15.9" x14ac:dyDescent="0.4">
      <c r="A205" s="4"/>
      <c r="B205" s="4"/>
      <c r="C205" s="4"/>
      <c r="D205" s="4"/>
      <c r="E205" s="4"/>
      <c r="F205" s="4"/>
      <c r="G205" s="4"/>
      <c r="H205" s="4"/>
      <c r="I205" s="4"/>
    </row>
    <row r="206" spans="1:9" ht="15.9" x14ac:dyDescent="0.4">
      <c r="A206" s="4"/>
      <c r="B206" s="4"/>
      <c r="C206" s="4"/>
      <c r="D206" s="4"/>
      <c r="E206" s="4"/>
      <c r="F206" s="4"/>
      <c r="G206" s="4"/>
      <c r="H206" s="4"/>
      <c r="I206" s="4"/>
    </row>
    <row r="207" spans="1:9" ht="15.9" x14ac:dyDescent="0.4">
      <c r="A207" s="4"/>
      <c r="B207" s="4"/>
      <c r="C207" s="4"/>
      <c r="D207" s="4"/>
      <c r="E207" s="4"/>
      <c r="F207" s="4"/>
      <c r="G207" s="4"/>
      <c r="H207" s="4"/>
      <c r="I207" s="4"/>
    </row>
    <row r="208" spans="1:9" ht="15.9" x14ac:dyDescent="0.4">
      <c r="A208" s="4"/>
      <c r="B208" s="4"/>
      <c r="C208" s="4"/>
      <c r="D208" s="4"/>
      <c r="E208" s="4"/>
      <c r="F208" s="4"/>
      <c r="G208" s="4"/>
      <c r="H208" s="4"/>
      <c r="I208" s="4"/>
    </row>
    <row r="209" spans="1:9" ht="15.9" x14ac:dyDescent="0.4">
      <c r="A209" s="4"/>
      <c r="B209" s="4"/>
      <c r="C209" s="4"/>
      <c r="D209" s="4"/>
      <c r="E209" s="4"/>
      <c r="F209" s="4"/>
      <c r="G209" s="4"/>
      <c r="H209" s="4"/>
      <c r="I209" s="4"/>
    </row>
    <row r="210" spans="1:9" ht="15.9" x14ac:dyDescent="0.4">
      <c r="A210" s="4"/>
      <c r="B210" s="4"/>
      <c r="C210" s="4"/>
      <c r="D210" s="4"/>
      <c r="E210" s="4"/>
      <c r="F210" s="4"/>
      <c r="G210" s="4"/>
      <c r="H210" s="4"/>
      <c r="I210" s="4"/>
    </row>
    <row r="211" spans="1:9" ht="15.9" x14ac:dyDescent="0.4">
      <c r="A211" s="4"/>
      <c r="B211" s="4"/>
      <c r="C211" s="4"/>
      <c r="D211" s="4"/>
      <c r="E211" s="4"/>
      <c r="F211" s="4"/>
      <c r="G211" s="4"/>
      <c r="H211" s="4"/>
      <c r="I211" s="4"/>
    </row>
    <row r="212" spans="1:9" ht="15.9" x14ac:dyDescent="0.4">
      <c r="A212" s="4"/>
      <c r="B212" s="4"/>
      <c r="C212" s="4"/>
      <c r="D212" s="4"/>
      <c r="E212" s="4"/>
      <c r="F212" s="4"/>
      <c r="G212" s="4"/>
      <c r="H212" s="4"/>
      <c r="I212" s="4"/>
    </row>
    <row r="213" spans="1:9" ht="15.9" x14ac:dyDescent="0.4">
      <c r="A213" s="4"/>
      <c r="B213" s="4"/>
      <c r="C213" s="4"/>
      <c r="D213" s="4"/>
      <c r="E213" s="4"/>
      <c r="F213" s="4"/>
      <c r="G213" s="4"/>
      <c r="H213" s="4"/>
      <c r="I213" s="4"/>
    </row>
    <row r="214" spans="1:9" ht="15.9" x14ac:dyDescent="0.4">
      <c r="A214" s="4"/>
      <c r="B214" s="4"/>
      <c r="C214" s="4"/>
      <c r="D214" s="4"/>
      <c r="E214" s="4"/>
      <c r="F214" s="4"/>
      <c r="G214" s="4"/>
      <c r="H214" s="4"/>
      <c r="I214" s="4"/>
    </row>
    <row r="215" spans="1:9" ht="15.9" x14ac:dyDescent="0.4">
      <c r="A215" s="4"/>
      <c r="B215" s="4"/>
      <c r="C215" s="4"/>
      <c r="D215" s="4"/>
      <c r="E215" s="4"/>
      <c r="F215" s="4"/>
      <c r="G215" s="4"/>
      <c r="H215" s="4"/>
      <c r="I215" s="4"/>
    </row>
    <row r="216" spans="1:9" ht="15.9" x14ac:dyDescent="0.4">
      <c r="A216" s="4"/>
      <c r="B216" s="4"/>
      <c r="C216" s="4"/>
      <c r="D216" s="4"/>
      <c r="E216" s="4"/>
      <c r="F216" s="4"/>
      <c r="G216" s="4"/>
      <c r="H216" s="4"/>
      <c r="I216" s="4"/>
    </row>
    <row r="217" spans="1:9" ht="15.9" x14ac:dyDescent="0.4">
      <c r="A217" s="4"/>
      <c r="B217" s="4"/>
      <c r="C217" s="4"/>
      <c r="D217" s="4"/>
      <c r="E217" s="4"/>
      <c r="F217" s="4"/>
      <c r="G217" s="4"/>
      <c r="H217" s="4"/>
      <c r="I217" s="4"/>
    </row>
    <row r="218" spans="1:9" ht="15.9" x14ac:dyDescent="0.4">
      <c r="A218" s="4"/>
      <c r="B218" s="4"/>
      <c r="C218" s="4"/>
      <c r="D218" s="4"/>
      <c r="E218" s="4"/>
      <c r="F218" s="4"/>
      <c r="G218" s="4"/>
      <c r="H218" s="4"/>
      <c r="I218" s="4"/>
    </row>
    <row r="219" spans="1:9" ht="15.9" x14ac:dyDescent="0.4">
      <c r="A219" s="4"/>
      <c r="B219" s="4"/>
      <c r="C219" s="4"/>
      <c r="D219" s="4"/>
      <c r="E219" s="4"/>
      <c r="F219" s="4"/>
      <c r="G219" s="4"/>
      <c r="H219" s="4"/>
      <c r="I219" s="4"/>
    </row>
    <row r="220" spans="1:9" ht="15.9" x14ac:dyDescent="0.4">
      <c r="A220" s="4"/>
      <c r="B220" s="4"/>
      <c r="C220" s="4"/>
      <c r="D220" s="4"/>
      <c r="E220" s="4"/>
      <c r="F220" s="4"/>
      <c r="G220" s="4"/>
      <c r="H220" s="4"/>
      <c r="I220" s="4"/>
    </row>
    <row r="221" spans="1:9" ht="15.9" x14ac:dyDescent="0.4">
      <c r="A221" s="4"/>
      <c r="B221" s="4"/>
      <c r="C221" s="4"/>
      <c r="D221" s="4"/>
      <c r="E221" s="4"/>
      <c r="F221" s="4"/>
      <c r="G221" s="4"/>
      <c r="H221" s="4"/>
      <c r="I221" s="4"/>
    </row>
    <row r="222" spans="1:9" ht="15.9" x14ac:dyDescent="0.4">
      <c r="A222" s="4"/>
      <c r="B222" s="4"/>
      <c r="C222" s="4"/>
      <c r="D222" s="4"/>
      <c r="E222" s="4"/>
      <c r="F222" s="4"/>
      <c r="G222" s="4"/>
      <c r="H222" s="4"/>
      <c r="I222" s="4"/>
    </row>
    <row r="223" spans="1:9" ht="15.9" x14ac:dyDescent="0.4">
      <c r="A223" s="4"/>
      <c r="B223" s="4"/>
      <c r="C223" s="4"/>
      <c r="D223" s="4"/>
      <c r="E223" s="4"/>
      <c r="F223" s="4"/>
      <c r="G223" s="4"/>
      <c r="H223" s="4"/>
      <c r="I223" s="4"/>
    </row>
    <row r="224" spans="1:9" ht="15.9" x14ac:dyDescent="0.4">
      <c r="A224" s="4"/>
      <c r="B224" s="4"/>
      <c r="C224" s="4"/>
      <c r="D224" s="4"/>
      <c r="E224" s="4"/>
      <c r="F224" s="4"/>
      <c r="G224" s="4"/>
      <c r="H224" s="4"/>
      <c r="I224" s="4"/>
    </row>
    <row r="225" spans="1:9" ht="15.9" x14ac:dyDescent="0.4">
      <c r="A225" s="4"/>
      <c r="B225" s="4"/>
      <c r="C225" s="4"/>
      <c r="D225" s="4"/>
      <c r="E225" s="4"/>
      <c r="F225" s="4"/>
      <c r="G225" s="4"/>
      <c r="H225" s="4"/>
      <c r="I225" s="4"/>
    </row>
    <row r="226" spans="1:9" ht="15.9" x14ac:dyDescent="0.4">
      <c r="A226" s="4"/>
      <c r="B226" s="4"/>
      <c r="C226" s="4"/>
      <c r="D226" s="4"/>
      <c r="E226" s="4"/>
      <c r="F226" s="4"/>
      <c r="G226" s="4"/>
      <c r="H226" s="4"/>
      <c r="I226" s="4"/>
    </row>
    <row r="227" spans="1:9" ht="15.9" x14ac:dyDescent="0.4">
      <c r="A227" s="4"/>
      <c r="B227" s="4"/>
      <c r="C227" s="4"/>
      <c r="D227" s="4"/>
      <c r="E227" s="4"/>
      <c r="F227" s="4"/>
      <c r="G227" s="4"/>
      <c r="H227" s="4"/>
      <c r="I227" s="4"/>
    </row>
    <row r="228" spans="1:9" ht="15.9" x14ac:dyDescent="0.4">
      <c r="A228" s="4"/>
      <c r="B228" s="4"/>
      <c r="C228" s="4"/>
      <c r="D228" s="4"/>
      <c r="E228" s="4"/>
      <c r="F228" s="4"/>
      <c r="G228" s="4"/>
      <c r="H228" s="4"/>
      <c r="I228" s="4"/>
    </row>
    <row r="229" spans="1:9" ht="15.9" x14ac:dyDescent="0.4">
      <c r="A229" s="4"/>
      <c r="B229" s="4"/>
      <c r="C229" s="4"/>
      <c r="D229" s="4"/>
      <c r="E229" s="4"/>
      <c r="F229" s="4"/>
      <c r="G229" s="4"/>
      <c r="H229" s="4"/>
      <c r="I229" s="4"/>
    </row>
    <row r="230" spans="1:9" ht="15.9" x14ac:dyDescent="0.4">
      <c r="A230" s="4"/>
      <c r="B230" s="4"/>
      <c r="C230" s="4"/>
      <c r="D230" s="4"/>
      <c r="E230" s="4"/>
      <c r="F230" s="4"/>
      <c r="G230" s="4"/>
      <c r="H230" s="4"/>
      <c r="I230" s="4"/>
    </row>
    <row r="231" spans="1:9" ht="15.9" x14ac:dyDescent="0.4">
      <c r="A231" s="4"/>
      <c r="B231" s="4"/>
      <c r="C231" s="4"/>
      <c r="D231" s="4"/>
      <c r="E231" s="4"/>
      <c r="F231" s="4"/>
      <c r="G231" s="4"/>
      <c r="H231" s="4"/>
      <c r="I231" s="4"/>
    </row>
    <row r="232" spans="1:9" ht="15.9" x14ac:dyDescent="0.4">
      <c r="A232" s="4"/>
      <c r="B232" s="4"/>
      <c r="C232" s="4"/>
      <c r="D232" s="4"/>
      <c r="E232" s="4"/>
      <c r="F232" s="4"/>
      <c r="G232" s="4"/>
      <c r="H232" s="4"/>
      <c r="I232" s="4"/>
    </row>
    <row r="233" spans="1:9" ht="15.9" x14ac:dyDescent="0.4">
      <c r="A233" s="4"/>
      <c r="B233" s="4"/>
      <c r="C233" s="4"/>
      <c r="D233" s="4"/>
      <c r="E233" s="4"/>
      <c r="F233" s="4"/>
      <c r="G233" s="4"/>
      <c r="H233" s="4"/>
      <c r="I233" s="4"/>
    </row>
    <row r="234" spans="1:9" ht="15.9" x14ac:dyDescent="0.4">
      <c r="A234" s="4"/>
      <c r="B234" s="4"/>
      <c r="C234" s="4"/>
      <c r="D234" s="4"/>
      <c r="E234" s="4"/>
      <c r="F234" s="4"/>
      <c r="G234" s="4"/>
      <c r="H234" s="4"/>
      <c r="I234" s="4"/>
    </row>
    <row r="235" spans="1:9" ht="15.9" x14ac:dyDescent="0.4">
      <c r="A235" s="4"/>
      <c r="B235" s="4"/>
      <c r="C235" s="4"/>
      <c r="D235" s="4"/>
      <c r="E235" s="4"/>
      <c r="F235" s="4"/>
      <c r="G235" s="4"/>
      <c r="H235" s="4"/>
      <c r="I235" s="4"/>
    </row>
    <row r="236" spans="1:9" ht="15.9" x14ac:dyDescent="0.4">
      <c r="A236" s="4"/>
      <c r="B236" s="4"/>
      <c r="C236" s="4"/>
      <c r="D236" s="4"/>
      <c r="E236" s="4"/>
      <c r="F236" s="4"/>
      <c r="G236" s="4"/>
      <c r="H236" s="4"/>
      <c r="I236" s="4"/>
    </row>
    <row r="237" spans="1:9" ht="15.9" x14ac:dyDescent="0.4">
      <c r="A237" s="4"/>
      <c r="B237" s="4"/>
      <c r="C237" s="4"/>
      <c r="D237" s="4"/>
      <c r="E237" s="4"/>
      <c r="F237" s="4"/>
      <c r="G237" s="4"/>
      <c r="H237" s="4"/>
      <c r="I237" s="4"/>
    </row>
    <row r="238" spans="1:9" ht="15.9" x14ac:dyDescent="0.4">
      <c r="A238" s="4"/>
      <c r="B238" s="4"/>
      <c r="C238" s="4"/>
      <c r="D238" s="4"/>
      <c r="E238" s="4"/>
      <c r="F238" s="4"/>
      <c r="G238" s="4"/>
      <c r="H238" s="4"/>
      <c r="I238" s="4"/>
    </row>
    <row r="239" spans="1:9" ht="15.9" x14ac:dyDescent="0.4">
      <c r="A239" s="4"/>
      <c r="B239" s="4"/>
      <c r="C239" s="4"/>
      <c r="D239" s="4"/>
      <c r="E239" s="4"/>
      <c r="F239" s="4"/>
      <c r="G239" s="4"/>
      <c r="H239" s="4"/>
      <c r="I239" s="4"/>
    </row>
    <row r="240" spans="1:9" ht="15.9" x14ac:dyDescent="0.4">
      <c r="A240" s="4"/>
      <c r="B240" s="4"/>
      <c r="C240" s="4"/>
      <c r="D240" s="4"/>
      <c r="E240" s="4"/>
      <c r="F240" s="4"/>
      <c r="G240" s="4"/>
      <c r="H240" s="4"/>
      <c r="I240" s="4"/>
    </row>
    <row r="241" spans="1:9" ht="15.9" x14ac:dyDescent="0.4">
      <c r="A241" s="4"/>
      <c r="B241" s="4"/>
      <c r="C241" s="4"/>
      <c r="D241" s="4"/>
      <c r="E241" s="4"/>
      <c r="F241" s="4"/>
      <c r="G241" s="4"/>
      <c r="H241" s="4"/>
      <c r="I241" s="4"/>
    </row>
    <row r="242" spans="1:9" ht="15.9" x14ac:dyDescent="0.4">
      <c r="A242" s="4"/>
      <c r="B242" s="4"/>
      <c r="C242" s="4"/>
      <c r="D242" s="4"/>
      <c r="E242" s="4"/>
      <c r="F242" s="4"/>
      <c r="G242" s="4"/>
      <c r="H242" s="4"/>
      <c r="I242" s="4"/>
    </row>
    <row r="243" spans="1:9" ht="15.9" x14ac:dyDescent="0.4">
      <c r="A243" s="4"/>
      <c r="B243" s="4"/>
      <c r="C243" s="4"/>
      <c r="D243" s="4"/>
      <c r="E243" s="4"/>
      <c r="F243" s="4"/>
      <c r="G243" s="4"/>
      <c r="H243" s="4"/>
      <c r="I243" s="4"/>
    </row>
    <row r="244" spans="1:9" ht="15.9" x14ac:dyDescent="0.4">
      <c r="A244" s="4"/>
      <c r="B244" s="4"/>
      <c r="C244" s="4"/>
      <c r="D244" s="4"/>
      <c r="E244" s="4"/>
      <c r="F244" s="4"/>
      <c r="G244" s="4"/>
      <c r="H244" s="4"/>
      <c r="I244" s="4"/>
    </row>
    <row r="245" spans="1:9" ht="15.9" x14ac:dyDescent="0.4">
      <c r="A245" s="4"/>
      <c r="B245" s="4"/>
      <c r="C245" s="4"/>
      <c r="D245" s="4"/>
      <c r="E245" s="4"/>
      <c r="F245" s="4"/>
      <c r="G245" s="4"/>
      <c r="H245" s="4"/>
      <c r="I245" s="4"/>
    </row>
    <row r="246" spans="1:9" ht="15.9" x14ac:dyDescent="0.4">
      <c r="A246" s="4"/>
      <c r="B246" s="4"/>
      <c r="C246" s="4"/>
      <c r="D246" s="4"/>
      <c r="E246" s="4"/>
      <c r="F246" s="4"/>
      <c r="G246" s="4"/>
      <c r="H246" s="4"/>
      <c r="I246" s="4"/>
    </row>
    <row r="247" spans="1:9" ht="15.9" x14ac:dyDescent="0.4">
      <c r="A247" s="4"/>
      <c r="B247" s="4"/>
      <c r="C247" s="4"/>
      <c r="D247" s="4"/>
      <c r="E247" s="4"/>
      <c r="F247" s="4"/>
      <c r="G247" s="4"/>
      <c r="H247" s="4"/>
      <c r="I247" s="4"/>
    </row>
    <row r="248" spans="1:9" ht="15.9" x14ac:dyDescent="0.4">
      <c r="A248" s="4"/>
      <c r="B248" s="4"/>
      <c r="C248" s="4"/>
      <c r="D248" s="4"/>
      <c r="E248" s="4"/>
      <c r="F248" s="4"/>
      <c r="G248" s="4"/>
      <c r="H248" s="4"/>
      <c r="I248" s="4"/>
    </row>
    <row r="249" spans="1:9" ht="15.9" x14ac:dyDescent="0.4">
      <c r="A249" s="4"/>
      <c r="B249" s="4"/>
      <c r="C249" s="4"/>
      <c r="D249" s="4"/>
      <c r="E249" s="4"/>
      <c r="F249" s="4"/>
      <c r="G249" s="4"/>
      <c r="H249" s="4"/>
      <c r="I249" s="4"/>
    </row>
    <row r="250" spans="1:9" ht="15.9" x14ac:dyDescent="0.4">
      <c r="A250" s="4"/>
      <c r="B250" s="4"/>
      <c r="C250" s="4"/>
      <c r="D250" s="4"/>
      <c r="E250" s="4"/>
      <c r="F250" s="4"/>
      <c r="G250" s="4"/>
      <c r="H250" s="4"/>
      <c r="I250" s="4"/>
    </row>
    <row r="251" spans="1:9" ht="15.9" x14ac:dyDescent="0.4">
      <c r="A251" s="4"/>
      <c r="B251" s="4"/>
      <c r="C251" s="4"/>
      <c r="D251" s="4"/>
      <c r="E251" s="4"/>
      <c r="F251" s="4"/>
      <c r="G251" s="4"/>
      <c r="H251" s="4"/>
      <c r="I251" s="4"/>
    </row>
    <row r="252" spans="1:9" ht="15.9" x14ac:dyDescent="0.4">
      <c r="A252" s="4"/>
      <c r="B252" s="4"/>
      <c r="C252" s="4"/>
      <c r="D252" s="4"/>
      <c r="E252" s="4"/>
      <c r="F252" s="4"/>
      <c r="G252" s="4"/>
      <c r="H252" s="4"/>
      <c r="I252" s="4"/>
    </row>
    <row r="253" spans="1:9" ht="15.9" x14ac:dyDescent="0.4">
      <c r="A253" s="4"/>
      <c r="B253" s="4"/>
      <c r="C253" s="4"/>
      <c r="D253" s="4"/>
      <c r="E253" s="4"/>
      <c r="F253" s="4"/>
      <c r="G253" s="4"/>
      <c r="H253" s="4"/>
      <c r="I253" s="4"/>
    </row>
    <row r="254" spans="1:9" ht="15.9" x14ac:dyDescent="0.4">
      <c r="A254" s="4"/>
      <c r="B254" s="4"/>
      <c r="C254" s="4"/>
      <c r="D254" s="4"/>
      <c r="E254" s="4"/>
      <c r="F254" s="4"/>
      <c r="G254" s="4"/>
      <c r="H254" s="4"/>
      <c r="I254" s="4"/>
    </row>
    <row r="255" spans="1:9" ht="15.9" x14ac:dyDescent="0.4">
      <c r="A255" s="4"/>
      <c r="B255" s="4"/>
      <c r="C255" s="4"/>
      <c r="D255" s="4"/>
      <c r="E255" s="4"/>
      <c r="F255" s="4"/>
      <c r="G255" s="4"/>
      <c r="H255" s="4"/>
      <c r="I255" s="4"/>
    </row>
    <row r="256" spans="1:9" ht="15.9" x14ac:dyDescent="0.4">
      <c r="A256" s="4"/>
      <c r="B256" s="4"/>
      <c r="C256" s="4"/>
      <c r="D256" s="4"/>
      <c r="E256" s="4"/>
      <c r="F256" s="4"/>
      <c r="G256" s="4"/>
      <c r="H256" s="4"/>
      <c r="I256" s="4"/>
    </row>
    <row r="257" spans="1:9" ht="15.9" x14ac:dyDescent="0.4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5.9" x14ac:dyDescent="0.4">
      <c r="A258" s="4"/>
      <c r="B258" s="4"/>
      <c r="C258" s="4"/>
      <c r="D258" s="4"/>
      <c r="E258" s="4"/>
      <c r="F258" s="4"/>
      <c r="G258" s="4"/>
      <c r="H258" s="4"/>
      <c r="I258" s="4"/>
    </row>
    <row r="259" spans="1:9" ht="15.9" x14ac:dyDescent="0.4">
      <c r="A259" s="4"/>
      <c r="B259" s="4"/>
      <c r="C259" s="4"/>
      <c r="D259" s="4"/>
      <c r="E259" s="4"/>
      <c r="F259" s="4"/>
      <c r="G259" s="4"/>
      <c r="H259" s="4"/>
      <c r="I259" s="4"/>
    </row>
    <row r="260" spans="1:9" ht="15.9" x14ac:dyDescent="0.4">
      <c r="A260" s="4"/>
      <c r="B260" s="4"/>
      <c r="C260" s="4"/>
      <c r="D260" s="4"/>
      <c r="E260" s="4"/>
      <c r="F260" s="4"/>
      <c r="G260" s="4"/>
      <c r="H260" s="4"/>
      <c r="I260" s="4"/>
    </row>
    <row r="261" spans="1:9" ht="15.9" x14ac:dyDescent="0.4">
      <c r="A261" s="4"/>
      <c r="B261" s="4"/>
      <c r="C261" s="4"/>
      <c r="D261" s="4"/>
      <c r="E261" s="4"/>
      <c r="F261" s="4"/>
      <c r="G261" s="4"/>
      <c r="H261" s="4"/>
      <c r="I261" s="4"/>
    </row>
    <row r="262" spans="1:9" ht="15.9" x14ac:dyDescent="0.4">
      <c r="A262" s="4"/>
      <c r="B262" s="4"/>
      <c r="C262" s="4"/>
      <c r="D262" s="4"/>
      <c r="E262" s="4"/>
      <c r="F262" s="4"/>
      <c r="G262" s="4"/>
      <c r="H262" s="4"/>
      <c r="I262" s="4"/>
    </row>
    <row r="263" spans="1:9" ht="15.9" x14ac:dyDescent="0.4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5.9" x14ac:dyDescent="0.4">
      <c r="A264" s="4"/>
      <c r="B264" s="4"/>
      <c r="C264" s="4"/>
      <c r="D264" s="4"/>
      <c r="E264" s="4"/>
      <c r="F264" s="4"/>
      <c r="G264" s="4"/>
      <c r="H264" s="4"/>
      <c r="I264" s="4"/>
    </row>
    <row r="265" spans="1:9" ht="15.9" x14ac:dyDescent="0.4">
      <c r="A265" s="4"/>
      <c r="B265" s="4"/>
      <c r="C265" s="4"/>
      <c r="D265" s="4"/>
      <c r="E265" s="4"/>
      <c r="F265" s="4"/>
      <c r="G265" s="4"/>
      <c r="H265" s="4"/>
      <c r="I265" s="4"/>
    </row>
    <row r="266" spans="1:9" ht="15.9" x14ac:dyDescent="0.4">
      <c r="A266" s="4"/>
      <c r="B266" s="4"/>
      <c r="C266" s="4"/>
      <c r="D266" s="4"/>
      <c r="E266" s="4"/>
      <c r="F266" s="4"/>
      <c r="G266" s="4"/>
      <c r="H266" s="4"/>
      <c r="I266" s="4"/>
    </row>
    <row r="267" spans="1:9" ht="15.9" x14ac:dyDescent="0.4">
      <c r="A267" s="4"/>
      <c r="B267" s="4"/>
      <c r="C267" s="4"/>
      <c r="D267" s="4"/>
      <c r="E267" s="4"/>
      <c r="F267" s="4"/>
      <c r="G267" s="4"/>
      <c r="H267" s="4"/>
      <c r="I267" s="4"/>
    </row>
    <row r="268" spans="1:9" ht="15.9" x14ac:dyDescent="0.4">
      <c r="A268" s="4"/>
      <c r="B268" s="4"/>
      <c r="C268" s="4"/>
      <c r="D268" s="4"/>
      <c r="E268" s="4"/>
      <c r="F268" s="4"/>
      <c r="G268" s="4"/>
      <c r="H268" s="4"/>
      <c r="I268" s="4"/>
    </row>
    <row r="269" spans="1:9" ht="15.9" x14ac:dyDescent="0.4">
      <c r="A269" s="4"/>
      <c r="B269" s="4"/>
      <c r="C269" s="4"/>
      <c r="D269" s="4"/>
      <c r="E269" s="4"/>
      <c r="F269" s="4"/>
      <c r="G269" s="4"/>
      <c r="H269" s="4"/>
      <c r="I269" s="4"/>
    </row>
    <row r="270" spans="1:9" ht="15.9" x14ac:dyDescent="0.4">
      <c r="A270" s="4"/>
      <c r="B270" s="4"/>
      <c r="C270" s="4"/>
      <c r="D270" s="4"/>
      <c r="E270" s="4"/>
      <c r="F270" s="4"/>
      <c r="G270" s="4"/>
      <c r="H270" s="4"/>
      <c r="I270" s="4"/>
    </row>
    <row r="271" spans="1:9" ht="15.9" x14ac:dyDescent="0.4">
      <c r="A271" s="4"/>
      <c r="B271" s="4"/>
      <c r="C271" s="4"/>
      <c r="D271" s="4"/>
      <c r="E271" s="4"/>
      <c r="F271" s="4"/>
      <c r="G271" s="4"/>
      <c r="H271" s="4"/>
      <c r="I271" s="4"/>
    </row>
    <row r="272" spans="1:9" ht="15.9" x14ac:dyDescent="0.4">
      <c r="A272" s="4"/>
      <c r="B272" s="4"/>
      <c r="C272" s="4"/>
      <c r="D272" s="4"/>
      <c r="E272" s="4"/>
      <c r="F272" s="4"/>
      <c r="G272" s="4"/>
      <c r="H272" s="4"/>
      <c r="I272" s="4"/>
    </row>
    <row r="273" spans="1:9" ht="15.9" x14ac:dyDescent="0.4">
      <c r="A273" s="4"/>
      <c r="B273" s="4"/>
      <c r="C273" s="4"/>
      <c r="D273" s="4"/>
      <c r="E273" s="4"/>
      <c r="F273" s="4"/>
      <c r="G273" s="4"/>
      <c r="H273" s="4"/>
      <c r="I273" s="4"/>
    </row>
    <row r="274" spans="1:9" ht="15.9" x14ac:dyDescent="0.4">
      <c r="A274" s="4"/>
      <c r="B274" s="4"/>
      <c r="C274" s="4"/>
      <c r="D274" s="4"/>
      <c r="E274" s="4"/>
      <c r="F274" s="4"/>
      <c r="G274" s="4"/>
      <c r="H274" s="4"/>
      <c r="I274" s="4"/>
    </row>
    <row r="275" spans="1:9" ht="15.9" x14ac:dyDescent="0.4">
      <c r="A275" s="4"/>
      <c r="B275" s="4"/>
      <c r="C275" s="4"/>
      <c r="D275" s="4"/>
      <c r="E275" s="4"/>
      <c r="F275" s="4"/>
      <c r="G275" s="4"/>
      <c r="H275" s="4"/>
      <c r="I275" s="4"/>
    </row>
    <row r="276" spans="1:9" ht="15.9" x14ac:dyDescent="0.4">
      <c r="A276" s="4"/>
      <c r="B276" s="4"/>
      <c r="C276" s="4"/>
      <c r="D276" s="4"/>
      <c r="E276" s="4"/>
      <c r="F276" s="4"/>
      <c r="G276" s="4"/>
      <c r="H276" s="4"/>
      <c r="I276" s="4"/>
    </row>
    <row r="277" spans="1:9" ht="15.9" x14ac:dyDescent="0.4">
      <c r="A277" s="4"/>
      <c r="B277" s="4"/>
      <c r="C277" s="4"/>
      <c r="D277" s="4"/>
      <c r="E277" s="4"/>
      <c r="F277" s="4"/>
      <c r="G277" s="4"/>
      <c r="H277" s="4"/>
      <c r="I277" s="4"/>
    </row>
    <row r="278" spans="1:9" ht="15.9" x14ac:dyDescent="0.4">
      <c r="A278" s="4"/>
      <c r="B278" s="4"/>
      <c r="C278" s="4"/>
      <c r="D278" s="4"/>
      <c r="E278" s="4"/>
      <c r="F278" s="4"/>
      <c r="G278" s="4"/>
      <c r="H278" s="4"/>
      <c r="I278" s="4"/>
    </row>
    <row r="279" spans="1:9" ht="15.9" x14ac:dyDescent="0.4">
      <c r="A279" s="4"/>
      <c r="B279" s="4"/>
      <c r="C279" s="4"/>
      <c r="D279" s="4"/>
      <c r="E279" s="4"/>
      <c r="F279" s="4"/>
      <c r="G279" s="4"/>
      <c r="H279" s="4"/>
      <c r="I279" s="4"/>
    </row>
    <row r="280" spans="1:9" ht="15.9" x14ac:dyDescent="0.4">
      <c r="A280" s="4"/>
      <c r="B280" s="4"/>
      <c r="C280" s="4"/>
      <c r="D280" s="4"/>
      <c r="E280" s="4"/>
      <c r="F280" s="4"/>
      <c r="G280" s="4"/>
      <c r="H280" s="4"/>
      <c r="I280" s="4"/>
    </row>
    <row r="281" spans="1:9" ht="15.9" x14ac:dyDescent="0.4">
      <c r="A281" s="4"/>
      <c r="B281" s="4"/>
      <c r="C281" s="4"/>
      <c r="D281" s="4"/>
      <c r="E281" s="4"/>
      <c r="F281" s="4"/>
      <c r="G281" s="4"/>
      <c r="H281" s="4"/>
      <c r="I281" s="4"/>
    </row>
    <row r="282" spans="1:9" ht="15.9" x14ac:dyDescent="0.4">
      <c r="A282" s="4"/>
      <c r="B282" s="4"/>
      <c r="C282" s="4"/>
      <c r="D282" s="4"/>
      <c r="E282" s="4"/>
      <c r="F282" s="4"/>
      <c r="G282" s="4"/>
      <c r="H282" s="4"/>
      <c r="I282" s="4"/>
    </row>
    <row r="283" spans="1:9" ht="15.9" x14ac:dyDescent="0.4">
      <c r="A283" s="4"/>
      <c r="B283" s="4"/>
      <c r="C283" s="4"/>
      <c r="D283" s="4"/>
      <c r="E283" s="4"/>
      <c r="F283" s="4"/>
      <c r="G283" s="4"/>
      <c r="H283" s="4"/>
      <c r="I283" s="4"/>
    </row>
    <row r="284" spans="1:9" ht="15.9" x14ac:dyDescent="0.4">
      <c r="A284" s="4"/>
      <c r="B284" s="4"/>
      <c r="C284" s="4"/>
      <c r="D284" s="4"/>
      <c r="E284" s="4"/>
      <c r="F284" s="4"/>
      <c r="G284" s="4"/>
      <c r="H284" s="4"/>
      <c r="I284" s="4"/>
    </row>
    <row r="285" spans="1:9" ht="15.9" x14ac:dyDescent="0.4">
      <c r="A285" s="4"/>
      <c r="B285" s="4"/>
      <c r="C285" s="4"/>
      <c r="D285" s="4"/>
      <c r="E285" s="4"/>
      <c r="F285" s="4"/>
      <c r="G285" s="4"/>
      <c r="H285" s="4"/>
      <c r="I285" s="4"/>
    </row>
    <row r="286" spans="1:9" ht="15.9" x14ac:dyDescent="0.4">
      <c r="A286" s="4"/>
      <c r="B286" s="4"/>
      <c r="C286" s="4"/>
      <c r="D286" s="4"/>
      <c r="E286" s="4"/>
      <c r="F286" s="4"/>
      <c r="G286" s="4"/>
      <c r="H286" s="4"/>
      <c r="I286" s="4"/>
    </row>
    <row r="287" spans="1:9" ht="15.9" x14ac:dyDescent="0.4">
      <c r="A287" s="4"/>
      <c r="B287" s="4"/>
      <c r="C287" s="4"/>
      <c r="D287" s="4"/>
      <c r="E287" s="4"/>
      <c r="F287" s="4"/>
      <c r="G287" s="4"/>
      <c r="H287" s="4"/>
      <c r="I287" s="4"/>
    </row>
    <row r="288" spans="1:9" ht="15.9" x14ac:dyDescent="0.4">
      <c r="A288" s="4"/>
      <c r="B288" s="4"/>
      <c r="C288" s="4"/>
      <c r="D288" s="4"/>
      <c r="E288" s="4"/>
      <c r="F288" s="4"/>
      <c r="G288" s="4"/>
      <c r="H288" s="4"/>
      <c r="I288" s="4"/>
    </row>
    <row r="289" spans="1:9" ht="15.9" x14ac:dyDescent="0.4">
      <c r="A289" s="4"/>
      <c r="B289" s="4"/>
      <c r="C289" s="4"/>
      <c r="D289" s="4"/>
      <c r="E289" s="4"/>
      <c r="F289" s="4"/>
      <c r="G289" s="4"/>
      <c r="H289" s="4"/>
      <c r="I289" s="4"/>
    </row>
    <row r="290" spans="1:9" ht="15.9" x14ac:dyDescent="0.4">
      <c r="A290" s="4"/>
      <c r="B290" s="4"/>
      <c r="C290" s="4"/>
      <c r="D290" s="4"/>
      <c r="E290" s="4"/>
      <c r="F290" s="4"/>
      <c r="G290" s="4"/>
      <c r="H290" s="4"/>
      <c r="I290" s="4"/>
    </row>
    <row r="291" spans="1:9" ht="15.9" x14ac:dyDescent="0.4">
      <c r="A291" s="4"/>
      <c r="B291" s="4"/>
      <c r="C291" s="4"/>
      <c r="D291" s="4"/>
      <c r="E291" s="4"/>
      <c r="F291" s="4"/>
      <c r="G291" s="4"/>
      <c r="H291" s="4"/>
      <c r="I291" s="4"/>
    </row>
    <row r="292" spans="1:9" ht="15.9" x14ac:dyDescent="0.4">
      <c r="A292" s="4"/>
      <c r="B292" s="4"/>
      <c r="C292" s="4"/>
      <c r="D292" s="4"/>
      <c r="E292" s="4"/>
      <c r="F292" s="4"/>
      <c r="G292" s="4"/>
      <c r="H292" s="4"/>
      <c r="I292" s="4"/>
    </row>
    <row r="293" spans="1:9" ht="15.9" x14ac:dyDescent="0.4">
      <c r="A293" s="4"/>
      <c r="B293" s="4"/>
      <c r="C293" s="4"/>
      <c r="D293" s="4"/>
      <c r="E293" s="4"/>
      <c r="F293" s="4"/>
      <c r="G293" s="4"/>
      <c r="H293" s="4"/>
      <c r="I293" s="4"/>
    </row>
    <row r="294" spans="1:9" ht="15.9" x14ac:dyDescent="0.4">
      <c r="A294" s="4"/>
      <c r="B294" s="4"/>
      <c r="C294" s="4"/>
      <c r="D294" s="4"/>
      <c r="E294" s="4"/>
      <c r="F294" s="4"/>
      <c r="G294" s="4"/>
      <c r="H294" s="4"/>
      <c r="I294" s="4"/>
    </row>
    <row r="295" spans="1:9" ht="15.9" x14ac:dyDescent="0.4">
      <c r="A295" s="4"/>
      <c r="B295" s="4"/>
      <c r="C295" s="4"/>
      <c r="D295" s="4"/>
      <c r="E295" s="4"/>
      <c r="F295" s="4"/>
      <c r="G295" s="4"/>
      <c r="H295" s="4"/>
      <c r="I295" s="4"/>
    </row>
    <row r="296" spans="1:9" ht="15.9" x14ac:dyDescent="0.4">
      <c r="A296" s="4"/>
      <c r="B296" s="4"/>
      <c r="C296" s="4"/>
      <c r="D296" s="4"/>
      <c r="E296" s="4"/>
      <c r="F296" s="4"/>
      <c r="G296" s="4"/>
      <c r="H296" s="4"/>
      <c r="I296" s="4"/>
    </row>
    <row r="297" spans="1:9" ht="15.9" x14ac:dyDescent="0.4">
      <c r="A297" s="4"/>
      <c r="B297" s="4"/>
      <c r="C297" s="4"/>
      <c r="D297" s="4"/>
      <c r="E297" s="4"/>
      <c r="F297" s="4"/>
      <c r="G297" s="4"/>
      <c r="H297" s="4"/>
      <c r="I297" s="4"/>
    </row>
    <row r="298" spans="1:9" ht="15.9" x14ac:dyDescent="0.4">
      <c r="A298" s="4"/>
      <c r="B298" s="4"/>
      <c r="C298" s="4"/>
      <c r="D298" s="4"/>
      <c r="E298" s="4"/>
      <c r="F298" s="4"/>
      <c r="G298" s="4"/>
      <c r="H298" s="4"/>
      <c r="I298" s="4"/>
    </row>
    <row r="299" spans="1:9" ht="15.9" x14ac:dyDescent="0.4">
      <c r="A299" s="4"/>
      <c r="B299" s="4"/>
      <c r="C299" s="4"/>
      <c r="D299" s="4"/>
      <c r="E299" s="4"/>
      <c r="F299" s="4"/>
      <c r="G299" s="4"/>
      <c r="H299" s="4"/>
      <c r="I299" s="4"/>
    </row>
    <row r="300" spans="1:9" ht="15.9" x14ac:dyDescent="0.4">
      <c r="A300" s="4"/>
      <c r="B300" s="4"/>
      <c r="C300" s="4"/>
      <c r="D300" s="4"/>
      <c r="E300" s="4"/>
      <c r="F300" s="4"/>
      <c r="G300" s="4"/>
      <c r="H300" s="4"/>
      <c r="I300" s="4"/>
    </row>
    <row r="301" spans="1:9" ht="15.9" x14ac:dyDescent="0.4">
      <c r="A301" s="4"/>
      <c r="B301" s="4"/>
      <c r="C301" s="4"/>
      <c r="D301" s="4"/>
      <c r="E301" s="4"/>
      <c r="F301" s="4"/>
      <c r="G301" s="4"/>
      <c r="H301" s="4"/>
      <c r="I301" s="4"/>
    </row>
    <row r="302" spans="1:9" ht="15.9" x14ac:dyDescent="0.4">
      <c r="A302" s="4"/>
      <c r="B302" s="4"/>
      <c r="C302" s="4"/>
      <c r="D302" s="4"/>
      <c r="E302" s="4"/>
      <c r="F302" s="4"/>
      <c r="G302" s="4"/>
      <c r="H302" s="4"/>
      <c r="I302" s="4"/>
    </row>
    <row r="303" spans="1:9" ht="15.9" x14ac:dyDescent="0.4">
      <c r="A303" s="4"/>
      <c r="B303" s="4"/>
      <c r="C303" s="4"/>
      <c r="D303" s="4"/>
      <c r="E303" s="4"/>
      <c r="F303" s="4"/>
      <c r="G303" s="4"/>
      <c r="H303" s="4"/>
      <c r="I303" s="4"/>
    </row>
    <row r="304" spans="1:9" ht="15.9" x14ac:dyDescent="0.4">
      <c r="A304" s="4"/>
      <c r="B304" s="4"/>
      <c r="C304" s="4"/>
      <c r="D304" s="4"/>
      <c r="E304" s="4"/>
      <c r="F304" s="4"/>
      <c r="G304" s="4"/>
      <c r="H304" s="4"/>
      <c r="I304" s="4"/>
    </row>
    <row r="305" spans="1:9" ht="15.9" x14ac:dyDescent="0.4">
      <c r="A305" s="4"/>
      <c r="B305" s="4"/>
      <c r="C305" s="4"/>
      <c r="D305" s="4"/>
      <c r="E305" s="4"/>
      <c r="F305" s="4"/>
      <c r="G305" s="4"/>
      <c r="H305" s="4"/>
      <c r="I305" s="4"/>
    </row>
    <row r="306" spans="1:9" ht="15.9" x14ac:dyDescent="0.4">
      <c r="A306" s="4"/>
      <c r="B306" s="4"/>
      <c r="C306" s="4"/>
      <c r="D306" s="4"/>
      <c r="E306" s="4"/>
      <c r="F306" s="4"/>
      <c r="G306" s="4"/>
      <c r="H306" s="4"/>
      <c r="I306" s="4"/>
    </row>
    <row r="307" spans="1:9" ht="15.9" x14ac:dyDescent="0.4">
      <c r="A307" s="4"/>
      <c r="B307" s="4"/>
      <c r="C307" s="4"/>
      <c r="D307" s="4"/>
      <c r="E307" s="4"/>
      <c r="F307" s="4"/>
      <c r="G307" s="4"/>
      <c r="H307" s="4"/>
      <c r="I307" s="4"/>
    </row>
    <row r="308" spans="1:9" ht="15.9" x14ac:dyDescent="0.4">
      <c r="A308" s="4"/>
      <c r="B308" s="4"/>
      <c r="C308" s="4"/>
      <c r="D308" s="4"/>
      <c r="E308" s="4"/>
      <c r="F308" s="4"/>
      <c r="G308" s="4"/>
      <c r="H308" s="4"/>
      <c r="I308" s="4"/>
    </row>
    <row r="309" spans="1:9" ht="15.9" x14ac:dyDescent="0.4">
      <c r="A309" s="4"/>
      <c r="B309" s="4"/>
      <c r="C309" s="4"/>
      <c r="D309" s="4"/>
      <c r="E309" s="4"/>
      <c r="F309" s="4"/>
      <c r="G309" s="4"/>
      <c r="H309" s="4"/>
      <c r="I309" s="4"/>
    </row>
    <row r="310" spans="1:9" ht="15.9" x14ac:dyDescent="0.4">
      <c r="A310" s="4"/>
      <c r="B310" s="4"/>
      <c r="C310" s="4"/>
      <c r="D310" s="4"/>
      <c r="E310" s="4"/>
      <c r="F310" s="4"/>
      <c r="G310" s="4"/>
      <c r="H310" s="4"/>
      <c r="I310" s="4"/>
    </row>
    <row r="311" spans="1:9" ht="15.9" x14ac:dyDescent="0.4">
      <c r="A311" s="4"/>
      <c r="B311" s="4"/>
      <c r="C311" s="4"/>
      <c r="D311" s="4"/>
      <c r="E311" s="4"/>
      <c r="F311" s="4"/>
      <c r="G311" s="4"/>
      <c r="H311" s="4"/>
      <c r="I31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3A6B1-2BBB-42DD-A023-4DA7DC971310}">
  <dimension ref="A1:I301"/>
  <sheetViews>
    <sheetView topLeftCell="A93" workbookViewId="0">
      <selection activeCell="I107" sqref="I107"/>
    </sheetView>
  </sheetViews>
  <sheetFormatPr defaultRowHeight="14.6" x14ac:dyDescent="0.4"/>
  <cols>
    <col min="1" max="1" width="16.53515625" customWidth="1"/>
    <col min="2" max="2" width="37.84375" customWidth="1"/>
    <col min="3" max="3" width="40.15234375" customWidth="1"/>
    <col min="4" max="4" width="14" customWidth="1"/>
    <col min="5" max="5" width="17.15234375" customWidth="1"/>
    <col min="6" max="6" width="26" customWidth="1"/>
    <col min="7" max="7" width="20.3828125" customWidth="1"/>
    <col min="8" max="8" width="13.53515625" customWidth="1"/>
    <col min="9" max="9" width="85.53515625" customWidth="1"/>
  </cols>
  <sheetData>
    <row r="1" spans="1:9" s="2" customFormat="1" ht="18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9" x14ac:dyDescent="0.4">
      <c r="A2" s="3">
        <v>45719</v>
      </c>
      <c r="B2" s="4" t="s">
        <v>75</v>
      </c>
      <c r="C2" s="4" t="s">
        <v>1111</v>
      </c>
      <c r="D2" s="4">
        <v>36800</v>
      </c>
      <c r="E2" s="4">
        <v>32</v>
      </c>
      <c r="F2" s="4" t="s">
        <v>11</v>
      </c>
      <c r="G2" s="4" t="s">
        <v>12</v>
      </c>
      <c r="H2" s="5"/>
      <c r="I2" s="4"/>
    </row>
    <row r="3" spans="1:9" ht="15.9" x14ac:dyDescent="0.4">
      <c r="A3" s="3">
        <v>45719</v>
      </c>
      <c r="B3" s="4" t="s">
        <v>207</v>
      </c>
      <c r="C3" s="4" t="s">
        <v>1112</v>
      </c>
      <c r="D3" s="4">
        <v>3696</v>
      </c>
      <c r="E3" s="4">
        <v>4</v>
      </c>
      <c r="F3" s="4" t="s">
        <v>35</v>
      </c>
      <c r="G3" s="4" t="s">
        <v>161</v>
      </c>
      <c r="H3" s="5">
        <v>298.36</v>
      </c>
      <c r="I3" s="4"/>
    </row>
    <row r="4" spans="1:9" ht="15.9" x14ac:dyDescent="0.4">
      <c r="A4" s="3">
        <v>45719</v>
      </c>
      <c r="B4" s="4" t="s">
        <v>20</v>
      </c>
      <c r="C4" s="4" t="s">
        <v>1113</v>
      </c>
      <c r="D4" s="4">
        <v>14250</v>
      </c>
      <c r="E4" s="4">
        <v>15</v>
      </c>
      <c r="F4" s="4" t="s">
        <v>11</v>
      </c>
      <c r="G4" s="4" t="s">
        <v>19</v>
      </c>
      <c r="H4" s="5">
        <v>1980</v>
      </c>
      <c r="I4" s="4"/>
    </row>
    <row r="5" spans="1:9" ht="15.9" x14ac:dyDescent="0.4">
      <c r="A5" s="3">
        <v>45720</v>
      </c>
      <c r="B5" s="4" t="s">
        <v>268</v>
      </c>
      <c r="C5" s="4" t="s">
        <v>1114</v>
      </c>
      <c r="D5" s="4">
        <v>40480</v>
      </c>
      <c r="E5" s="4">
        <v>46</v>
      </c>
      <c r="F5" s="4" t="s">
        <v>15</v>
      </c>
      <c r="G5" s="4" t="s">
        <v>19</v>
      </c>
      <c r="H5" s="5">
        <v>1700</v>
      </c>
      <c r="I5" s="4"/>
    </row>
    <row r="6" spans="1:9" ht="15.9" x14ac:dyDescent="0.4">
      <c r="A6" s="3">
        <v>45720</v>
      </c>
      <c r="B6" s="4" t="s">
        <v>918</v>
      </c>
      <c r="C6" s="4" t="s">
        <v>1115</v>
      </c>
      <c r="D6" s="4">
        <v>31520</v>
      </c>
      <c r="E6" s="4">
        <v>36</v>
      </c>
      <c r="F6" s="4" t="s">
        <v>11</v>
      </c>
      <c r="G6" s="4" t="s">
        <v>25</v>
      </c>
      <c r="H6" s="5">
        <v>5600</v>
      </c>
      <c r="I6" s="4"/>
    </row>
    <row r="7" spans="1:9" ht="15.9" x14ac:dyDescent="0.4">
      <c r="A7" s="3">
        <v>45721</v>
      </c>
      <c r="B7" s="4" t="s">
        <v>13</v>
      </c>
      <c r="C7" s="4" t="s">
        <v>1116</v>
      </c>
      <c r="D7" s="4">
        <v>30</v>
      </c>
      <c r="E7" s="4">
        <v>1</v>
      </c>
      <c r="F7" s="4" t="s">
        <v>35</v>
      </c>
      <c r="G7" s="4" t="s">
        <v>161</v>
      </c>
      <c r="H7" s="5">
        <v>240.04</v>
      </c>
      <c r="I7" s="4"/>
    </row>
    <row r="8" spans="1:9" ht="15.9" x14ac:dyDescent="0.4">
      <c r="A8" s="3">
        <v>45721</v>
      </c>
      <c r="B8" s="4" t="s">
        <v>268</v>
      </c>
      <c r="C8" s="4" t="s">
        <v>1117</v>
      </c>
      <c r="D8" s="4">
        <v>40388</v>
      </c>
      <c r="E8" s="4">
        <v>48</v>
      </c>
      <c r="F8" s="4" t="s">
        <v>15</v>
      </c>
      <c r="G8" s="4" t="s">
        <v>19</v>
      </c>
      <c r="H8" s="5">
        <v>1700</v>
      </c>
      <c r="I8" s="4"/>
    </row>
    <row r="9" spans="1:9" ht="15.9" x14ac:dyDescent="0.4">
      <c r="A9" s="3">
        <v>45721</v>
      </c>
      <c r="B9" s="4" t="s">
        <v>349</v>
      </c>
      <c r="C9" s="4" t="s">
        <v>1118</v>
      </c>
      <c r="D9" s="4">
        <v>3984</v>
      </c>
      <c r="E9" s="4">
        <v>48</v>
      </c>
      <c r="F9" s="4" t="s">
        <v>15</v>
      </c>
      <c r="G9" s="4" t="s">
        <v>1119</v>
      </c>
      <c r="H9" s="5">
        <v>1600</v>
      </c>
      <c r="I9" s="4"/>
    </row>
    <row r="10" spans="1:9" ht="15.9" x14ac:dyDescent="0.4">
      <c r="A10" s="3">
        <v>45721</v>
      </c>
      <c r="B10" s="4" t="s">
        <v>1068</v>
      </c>
      <c r="C10" s="4" t="s">
        <v>1120</v>
      </c>
      <c r="D10" s="4">
        <v>450</v>
      </c>
      <c r="E10" s="4">
        <v>1</v>
      </c>
      <c r="F10" s="4" t="s">
        <v>15</v>
      </c>
      <c r="G10" s="4" t="s">
        <v>161</v>
      </c>
      <c r="H10" s="5">
        <v>300.58999999999997</v>
      </c>
      <c r="I10" s="4"/>
    </row>
    <row r="11" spans="1:9" ht="15.9" x14ac:dyDescent="0.4">
      <c r="A11" s="3">
        <v>45721</v>
      </c>
      <c r="B11" s="4" t="s">
        <v>1121</v>
      </c>
      <c r="C11" s="4" t="s">
        <v>1122</v>
      </c>
      <c r="D11" s="4">
        <v>379</v>
      </c>
      <c r="E11" s="4">
        <v>1</v>
      </c>
      <c r="F11" s="4" t="s">
        <v>35</v>
      </c>
      <c r="G11" s="4" t="s">
        <v>161</v>
      </c>
      <c r="H11" s="5">
        <v>314.57</v>
      </c>
      <c r="I11" s="4"/>
    </row>
    <row r="12" spans="1:9" ht="15.9" x14ac:dyDescent="0.4">
      <c r="A12" s="3">
        <v>45721</v>
      </c>
      <c r="B12" s="4" t="s">
        <v>1123</v>
      </c>
      <c r="C12" s="4" t="s">
        <v>907</v>
      </c>
      <c r="D12" s="4">
        <v>36520</v>
      </c>
      <c r="E12" s="4">
        <v>44</v>
      </c>
      <c r="F12" s="4" t="s">
        <v>11</v>
      </c>
      <c r="G12" s="4" t="s">
        <v>19</v>
      </c>
      <c r="H12" s="5">
        <v>2100</v>
      </c>
      <c r="I12" s="4"/>
    </row>
    <row r="13" spans="1:9" ht="15.9" x14ac:dyDescent="0.4">
      <c r="A13" s="3">
        <v>45722</v>
      </c>
      <c r="B13" s="4" t="s">
        <v>1124</v>
      </c>
      <c r="C13" s="4" t="s">
        <v>1125</v>
      </c>
      <c r="D13" s="4">
        <v>32300</v>
      </c>
      <c r="E13" s="4">
        <v>34</v>
      </c>
      <c r="F13" s="4" t="s">
        <v>11</v>
      </c>
      <c r="G13" s="4" t="s">
        <v>25</v>
      </c>
      <c r="H13" s="5">
        <v>3900</v>
      </c>
      <c r="I13" s="4"/>
    </row>
    <row r="14" spans="1:9" ht="15.9" x14ac:dyDescent="0.4">
      <c r="A14" s="3">
        <v>45722</v>
      </c>
      <c r="B14" s="4" t="s">
        <v>1124</v>
      </c>
      <c r="C14" s="4" t="s">
        <v>1126</v>
      </c>
      <c r="D14" s="4">
        <v>41800</v>
      </c>
      <c r="E14" s="4">
        <v>44</v>
      </c>
      <c r="F14" s="4" t="s">
        <v>11</v>
      </c>
      <c r="G14" s="4" t="s">
        <v>25</v>
      </c>
      <c r="H14" s="5">
        <v>3900</v>
      </c>
      <c r="I14" s="4"/>
    </row>
    <row r="15" spans="1:9" ht="15.9" x14ac:dyDescent="0.4">
      <c r="A15" s="3">
        <v>45722</v>
      </c>
      <c r="B15" s="4" t="s">
        <v>1124</v>
      </c>
      <c r="C15" s="4" t="s">
        <v>1127</v>
      </c>
      <c r="D15" s="4">
        <v>41800</v>
      </c>
      <c r="E15" s="4">
        <v>44</v>
      </c>
      <c r="F15" s="4" t="s">
        <v>11</v>
      </c>
      <c r="G15" s="4" t="s">
        <v>25</v>
      </c>
      <c r="H15" s="5">
        <v>3900</v>
      </c>
      <c r="I15" s="4"/>
    </row>
    <row r="16" spans="1:9" ht="15.9" x14ac:dyDescent="0.4">
      <c r="A16" s="3">
        <v>45722</v>
      </c>
      <c r="B16" s="4" t="s">
        <v>1124</v>
      </c>
      <c r="C16" s="4" t="s">
        <v>1128</v>
      </c>
      <c r="D16" s="4">
        <v>41800</v>
      </c>
      <c r="E16" s="4">
        <v>44</v>
      </c>
      <c r="F16" s="4" t="s">
        <v>11</v>
      </c>
      <c r="G16" s="4" t="s">
        <v>25</v>
      </c>
      <c r="H16" s="5">
        <v>3900</v>
      </c>
      <c r="I16" s="4"/>
    </row>
    <row r="17" spans="1:9" ht="15.9" x14ac:dyDescent="0.4">
      <c r="A17" s="3">
        <v>45722</v>
      </c>
      <c r="B17" s="4" t="s">
        <v>191</v>
      </c>
      <c r="C17" s="4" t="s">
        <v>1129</v>
      </c>
      <c r="D17" s="4">
        <v>13072</v>
      </c>
      <c r="E17" s="4">
        <v>16</v>
      </c>
      <c r="F17" s="4" t="s">
        <v>15</v>
      </c>
      <c r="G17" s="4" t="s">
        <v>1119</v>
      </c>
      <c r="H17" s="5">
        <v>1700</v>
      </c>
      <c r="I17" s="4"/>
    </row>
    <row r="18" spans="1:9" ht="15.9" x14ac:dyDescent="0.4">
      <c r="A18" s="3">
        <v>45723</v>
      </c>
      <c r="B18" s="4" t="s">
        <v>1124</v>
      </c>
      <c r="C18" s="4" t="s">
        <v>1130</v>
      </c>
      <c r="D18" s="4">
        <v>41800</v>
      </c>
      <c r="E18" s="4">
        <v>44</v>
      </c>
      <c r="F18" s="4" t="s">
        <v>11</v>
      </c>
      <c r="G18" s="4" t="s">
        <v>25</v>
      </c>
      <c r="H18" s="5">
        <v>3900</v>
      </c>
      <c r="I18" s="4"/>
    </row>
    <row r="19" spans="1:9" ht="15.9" x14ac:dyDescent="0.4">
      <c r="A19" s="3">
        <v>45723</v>
      </c>
      <c r="B19" s="4" t="s">
        <v>1124</v>
      </c>
      <c r="C19" s="4" t="s">
        <v>1126</v>
      </c>
      <c r="D19" s="4">
        <v>41800</v>
      </c>
      <c r="E19" s="4">
        <v>44</v>
      </c>
      <c r="F19" s="4" t="s">
        <v>11</v>
      </c>
      <c r="G19" s="4" t="s">
        <v>25</v>
      </c>
      <c r="H19" s="5">
        <v>3900</v>
      </c>
      <c r="I19" s="4"/>
    </row>
    <row r="20" spans="1:9" ht="15.9" x14ac:dyDescent="0.4">
      <c r="A20" s="3">
        <v>45723</v>
      </c>
      <c r="B20" s="4" t="s">
        <v>1131</v>
      </c>
      <c r="C20" s="4" t="s">
        <v>1132</v>
      </c>
      <c r="D20" s="4">
        <v>41800</v>
      </c>
      <c r="E20" s="4">
        <v>44</v>
      </c>
      <c r="F20" s="4" t="s">
        <v>11</v>
      </c>
      <c r="G20" s="4" t="s">
        <v>25</v>
      </c>
      <c r="H20" s="5">
        <v>5600</v>
      </c>
      <c r="I20" s="4"/>
    </row>
    <row r="21" spans="1:9" ht="15.9" x14ac:dyDescent="0.4">
      <c r="A21" s="3">
        <v>45726</v>
      </c>
      <c r="B21" s="4" t="s">
        <v>1133</v>
      </c>
      <c r="C21" s="4" t="s">
        <v>1134</v>
      </c>
      <c r="D21" s="4">
        <v>24612</v>
      </c>
      <c r="E21" s="4">
        <v>29</v>
      </c>
      <c r="F21" s="4" t="s">
        <v>15</v>
      </c>
      <c r="G21" s="4" t="s">
        <v>1119</v>
      </c>
      <c r="H21" s="5">
        <v>4200</v>
      </c>
      <c r="I21" s="4"/>
    </row>
    <row r="22" spans="1:9" ht="15.9" x14ac:dyDescent="0.4">
      <c r="A22" s="3">
        <v>45726</v>
      </c>
      <c r="B22" s="4" t="s">
        <v>268</v>
      </c>
      <c r="C22" s="4" t="s">
        <v>1135</v>
      </c>
      <c r="D22" s="4">
        <v>13020</v>
      </c>
      <c r="E22" s="4">
        <v>14</v>
      </c>
      <c r="F22" s="4" t="s">
        <v>15</v>
      </c>
      <c r="G22" s="4" t="s">
        <v>19</v>
      </c>
      <c r="H22" s="5">
        <v>1700</v>
      </c>
      <c r="I22" s="4"/>
    </row>
    <row r="23" spans="1:9" ht="15.9" x14ac:dyDescent="0.4">
      <c r="A23" s="3">
        <v>45726</v>
      </c>
      <c r="B23" s="4" t="s">
        <v>202</v>
      </c>
      <c r="C23" s="4" t="s">
        <v>1136</v>
      </c>
      <c r="D23" s="4">
        <v>13889</v>
      </c>
      <c r="E23" s="4">
        <v>17</v>
      </c>
      <c r="F23" s="4" t="s">
        <v>15</v>
      </c>
      <c r="G23" s="4" t="s">
        <v>25</v>
      </c>
      <c r="H23" s="5">
        <v>2550</v>
      </c>
      <c r="I23" s="4"/>
    </row>
    <row r="24" spans="1:9" ht="15.9" x14ac:dyDescent="0.4">
      <c r="A24" s="3">
        <v>45726</v>
      </c>
      <c r="B24" s="4" t="s">
        <v>1003</v>
      </c>
      <c r="C24" s="4" t="s">
        <v>1137</v>
      </c>
      <c r="D24" s="4">
        <v>11438</v>
      </c>
      <c r="E24" s="4">
        <v>14</v>
      </c>
      <c r="F24" s="4" t="s">
        <v>15</v>
      </c>
      <c r="G24" s="4" t="s">
        <v>1119</v>
      </c>
      <c r="H24" s="5">
        <v>1550</v>
      </c>
      <c r="I24" s="4"/>
    </row>
    <row r="25" spans="1:9" ht="15.9" x14ac:dyDescent="0.4">
      <c r="A25" s="3">
        <v>45727</v>
      </c>
      <c r="B25" s="4" t="s">
        <v>52</v>
      </c>
      <c r="C25" s="6" t="s">
        <v>1138</v>
      </c>
      <c r="D25" s="4">
        <v>17280</v>
      </c>
      <c r="E25" s="4">
        <v>18</v>
      </c>
      <c r="F25" s="4" t="s">
        <v>15</v>
      </c>
      <c r="G25" s="4" t="s">
        <v>1119</v>
      </c>
      <c r="H25" s="5">
        <v>2800</v>
      </c>
      <c r="I25" s="4"/>
    </row>
    <row r="26" spans="1:9" ht="15.9" x14ac:dyDescent="0.4">
      <c r="A26" s="3">
        <v>45727</v>
      </c>
      <c r="B26" s="4" t="s">
        <v>168</v>
      </c>
      <c r="C26" s="4" t="s">
        <v>1139</v>
      </c>
      <c r="D26" s="4">
        <v>11760</v>
      </c>
      <c r="E26" s="4">
        <v>16</v>
      </c>
      <c r="F26" s="4" t="s">
        <v>15</v>
      </c>
      <c r="G26" s="4" t="s">
        <v>1119</v>
      </c>
      <c r="H26" s="5">
        <v>2400</v>
      </c>
      <c r="I26" s="4"/>
    </row>
    <row r="27" spans="1:9" ht="15.9" x14ac:dyDescent="0.4">
      <c r="A27" s="3">
        <v>45727</v>
      </c>
      <c r="B27" s="4" t="s">
        <v>38</v>
      </c>
      <c r="C27" s="4" t="s">
        <v>1140</v>
      </c>
      <c r="D27" s="4">
        <v>41800</v>
      </c>
      <c r="E27" s="4">
        <v>44</v>
      </c>
      <c r="F27" s="4" t="s">
        <v>11</v>
      </c>
      <c r="G27" s="4" t="s">
        <v>25</v>
      </c>
      <c r="H27" s="5">
        <v>3850</v>
      </c>
      <c r="I27" s="4"/>
    </row>
    <row r="28" spans="1:9" ht="15.9" x14ac:dyDescent="0.4">
      <c r="A28" s="3">
        <v>45727</v>
      </c>
      <c r="B28" s="4" t="s">
        <v>38</v>
      </c>
      <c r="C28" s="4" t="s">
        <v>1141</v>
      </c>
      <c r="D28" s="4">
        <v>41800</v>
      </c>
      <c r="E28" s="4">
        <v>44</v>
      </c>
      <c r="F28" s="4" t="s">
        <v>11</v>
      </c>
      <c r="G28" s="4" t="s">
        <v>25</v>
      </c>
      <c r="H28" s="5">
        <v>3850</v>
      </c>
      <c r="I28" s="4"/>
    </row>
    <row r="29" spans="1:9" ht="15.9" x14ac:dyDescent="0.4">
      <c r="A29" s="3">
        <v>45727</v>
      </c>
      <c r="B29" s="4" t="s">
        <v>38</v>
      </c>
      <c r="C29" s="4" t="s">
        <v>1142</v>
      </c>
      <c r="D29" s="4">
        <v>28500</v>
      </c>
      <c r="E29" s="4">
        <v>30</v>
      </c>
      <c r="F29" s="4" t="s">
        <v>11</v>
      </c>
      <c r="G29" s="4" t="s">
        <v>25</v>
      </c>
      <c r="H29" s="5">
        <v>3850</v>
      </c>
      <c r="I29" s="4"/>
    </row>
    <row r="30" spans="1:9" ht="15.9" x14ac:dyDescent="0.4">
      <c r="A30" s="3">
        <v>45727</v>
      </c>
      <c r="B30" s="4" t="s">
        <v>1123</v>
      </c>
      <c r="C30" s="4" t="s">
        <v>907</v>
      </c>
      <c r="D30" s="4">
        <v>35948</v>
      </c>
      <c r="E30" s="4">
        <v>44</v>
      </c>
      <c r="F30" s="4" t="s">
        <v>11</v>
      </c>
      <c r="G30" s="4" t="s">
        <v>19</v>
      </c>
      <c r="H30" s="5">
        <v>2400</v>
      </c>
      <c r="I30" s="4"/>
    </row>
    <row r="31" spans="1:9" ht="15.9" x14ac:dyDescent="0.4">
      <c r="A31" s="3">
        <v>45728</v>
      </c>
      <c r="B31" s="4" t="s">
        <v>1143</v>
      </c>
      <c r="C31" s="4" t="s">
        <v>1144</v>
      </c>
      <c r="D31" s="4">
        <v>22770</v>
      </c>
      <c r="E31" s="4">
        <v>27</v>
      </c>
      <c r="F31" s="4" t="s">
        <v>11</v>
      </c>
      <c r="G31" s="4" t="s">
        <v>19</v>
      </c>
      <c r="H31" s="5">
        <v>1150</v>
      </c>
      <c r="I31" s="4" t="s">
        <v>1145</v>
      </c>
    </row>
    <row r="32" spans="1:9" ht="15.9" x14ac:dyDescent="0.4">
      <c r="A32" s="3">
        <v>45728</v>
      </c>
      <c r="B32" s="4" t="s">
        <v>60</v>
      </c>
      <c r="C32" s="4" t="s">
        <v>1146</v>
      </c>
      <c r="D32" s="4">
        <v>41760</v>
      </c>
      <c r="E32" s="4">
        <v>48</v>
      </c>
      <c r="F32" s="4" t="s">
        <v>15</v>
      </c>
      <c r="G32" s="4" t="s">
        <v>25</v>
      </c>
      <c r="H32" s="5">
        <v>2400</v>
      </c>
      <c r="I32" s="4"/>
    </row>
    <row r="33" spans="1:9" ht="15.9" x14ac:dyDescent="0.4">
      <c r="A33" s="3">
        <v>45728</v>
      </c>
      <c r="B33" s="4" t="s">
        <v>281</v>
      </c>
      <c r="C33" s="4" t="s">
        <v>1147</v>
      </c>
      <c r="D33" s="4">
        <v>12180</v>
      </c>
      <c r="E33" s="4">
        <v>14</v>
      </c>
      <c r="F33" s="4" t="s">
        <v>15</v>
      </c>
      <c r="G33" s="4" t="s">
        <v>1119</v>
      </c>
      <c r="H33" s="5">
        <v>3300</v>
      </c>
      <c r="I33" s="4"/>
    </row>
    <row r="34" spans="1:9" ht="15.9" x14ac:dyDescent="0.4">
      <c r="A34" s="3">
        <v>45728</v>
      </c>
      <c r="B34" s="4" t="s">
        <v>60</v>
      </c>
      <c r="C34" s="4" t="s">
        <v>1148</v>
      </c>
      <c r="D34" s="4">
        <v>6960</v>
      </c>
      <c r="E34" s="4">
        <v>8</v>
      </c>
      <c r="F34" s="4" t="s">
        <v>35</v>
      </c>
      <c r="G34" s="4" t="s">
        <v>161</v>
      </c>
      <c r="H34" s="5">
        <v>836.17</v>
      </c>
      <c r="I34" s="4"/>
    </row>
    <row r="35" spans="1:9" ht="15.9" x14ac:dyDescent="0.4">
      <c r="A35" s="3">
        <v>45728</v>
      </c>
      <c r="B35" s="4" t="s">
        <v>1123</v>
      </c>
      <c r="C35" s="4" t="s">
        <v>907</v>
      </c>
      <c r="D35" s="4">
        <v>35948</v>
      </c>
      <c r="E35" s="4">
        <v>44</v>
      </c>
      <c r="F35" s="4" t="s">
        <v>11</v>
      </c>
      <c r="G35" s="4" t="s">
        <v>19</v>
      </c>
      <c r="H35" s="5">
        <v>2400</v>
      </c>
      <c r="I35" s="4"/>
    </row>
    <row r="36" spans="1:9" ht="15.9" x14ac:dyDescent="0.4">
      <c r="A36" s="3">
        <v>45728</v>
      </c>
      <c r="B36" s="4" t="s">
        <v>1149</v>
      </c>
      <c r="C36" s="4" t="s">
        <v>1150</v>
      </c>
      <c r="D36" s="4">
        <v>35280</v>
      </c>
      <c r="E36" s="4">
        <v>48</v>
      </c>
      <c r="F36" s="4" t="s">
        <v>11</v>
      </c>
      <c r="G36" s="4" t="s">
        <v>19</v>
      </c>
      <c r="H36" s="5">
        <v>5000</v>
      </c>
      <c r="I36" s="4"/>
    </row>
    <row r="37" spans="1:9" ht="15.9" x14ac:dyDescent="0.4">
      <c r="A37" s="3">
        <v>45728</v>
      </c>
      <c r="B37" s="4" t="s">
        <v>349</v>
      </c>
      <c r="C37" s="4" t="s">
        <v>1151</v>
      </c>
      <c r="D37" s="4">
        <v>33626</v>
      </c>
      <c r="E37" s="4">
        <v>40</v>
      </c>
      <c r="F37" s="4" t="s">
        <v>15</v>
      </c>
      <c r="G37" s="4" t="s">
        <v>25</v>
      </c>
      <c r="H37" s="5">
        <v>1555.56</v>
      </c>
      <c r="I37" s="4"/>
    </row>
    <row r="38" spans="1:9" ht="15.9" x14ac:dyDescent="0.4">
      <c r="A38" s="3">
        <v>45728</v>
      </c>
      <c r="B38" s="4" t="s">
        <v>115</v>
      </c>
      <c r="C38" s="4" t="s">
        <v>1152</v>
      </c>
      <c r="D38" s="4">
        <v>20880</v>
      </c>
      <c r="E38" s="4">
        <v>24</v>
      </c>
      <c r="F38" s="4" t="s">
        <v>15</v>
      </c>
      <c r="G38" s="4" t="s">
        <v>19</v>
      </c>
      <c r="H38" s="5">
        <v>1400</v>
      </c>
      <c r="I38" s="4"/>
    </row>
    <row r="39" spans="1:9" ht="15.9" x14ac:dyDescent="0.4">
      <c r="A39" s="3">
        <v>45728</v>
      </c>
      <c r="B39" s="4" t="s">
        <v>1149</v>
      </c>
      <c r="C39" s="4" t="s">
        <v>1153</v>
      </c>
      <c r="D39" s="4">
        <v>17640</v>
      </c>
      <c r="E39" s="4">
        <v>24</v>
      </c>
      <c r="F39" s="4" t="s">
        <v>11</v>
      </c>
      <c r="G39" s="4" t="s">
        <v>19</v>
      </c>
      <c r="H39" s="5">
        <v>5000</v>
      </c>
      <c r="I39" s="4"/>
    </row>
    <row r="40" spans="1:9" ht="15.9" x14ac:dyDescent="0.4">
      <c r="A40" s="3">
        <v>45729</v>
      </c>
      <c r="B40" s="4" t="s">
        <v>66</v>
      </c>
      <c r="C40" s="4" t="s">
        <v>1154</v>
      </c>
      <c r="D40" s="4">
        <v>41280</v>
      </c>
      <c r="E40" s="4">
        <v>48</v>
      </c>
      <c r="F40" s="4" t="s">
        <v>11</v>
      </c>
      <c r="G40" s="4" t="s">
        <v>25</v>
      </c>
      <c r="H40" s="5">
        <v>3850</v>
      </c>
      <c r="I40" s="4"/>
    </row>
    <row r="41" spans="1:9" ht="15.9" x14ac:dyDescent="0.4">
      <c r="A41" s="3">
        <v>45729</v>
      </c>
      <c r="B41" s="4" t="s">
        <v>52</v>
      </c>
      <c r="C41" s="4" t="s">
        <v>1155</v>
      </c>
      <c r="D41" s="4">
        <v>32300</v>
      </c>
      <c r="E41" s="4">
        <v>34</v>
      </c>
      <c r="F41" s="4" t="s">
        <v>15</v>
      </c>
      <c r="G41" s="4" t="s">
        <v>19</v>
      </c>
      <c r="H41" s="5">
        <v>2625</v>
      </c>
      <c r="I41" s="4"/>
    </row>
    <row r="42" spans="1:9" ht="15.9" x14ac:dyDescent="0.4">
      <c r="A42" s="3">
        <v>45729</v>
      </c>
      <c r="B42" s="4" t="s">
        <v>385</v>
      </c>
      <c r="C42" s="4" t="s">
        <v>1156</v>
      </c>
      <c r="D42" s="4">
        <v>15200</v>
      </c>
      <c r="E42" s="4">
        <v>16</v>
      </c>
      <c r="F42" s="4" t="s">
        <v>15</v>
      </c>
      <c r="G42" s="4" t="s">
        <v>25</v>
      </c>
      <c r="H42" s="5">
        <v>2350</v>
      </c>
      <c r="I42" s="4"/>
    </row>
    <row r="43" spans="1:9" ht="15.9" x14ac:dyDescent="0.4">
      <c r="A43" s="3">
        <v>45729</v>
      </c>
      <c r="B43" s="4" t="s">
        <v>150</v>
      </c>
      <c r="C43" s="4" t="s">
        <v>1157</v>
      </c>
      <c r="D43" s="4">
        <v>39216</v>
      </c>
      <c r="E43" s="4">
        <v>48</v>
      </c>
      <c r="F43" s="4" t="s">
        <v>15</v>
      </c>
      <c r="G43" s="4" t="s">
        <v>25</v>
      </c>
      <c r="H43" s="5">
        <v>3600</v>
      </c>
      <c r="I43" s="4"/>
    </row>
    <row r="44" spans="1:9" ht="15.9" x14ac:dyDescent="0.4">
      <c r="A44" s="3">
        <v>45729</v>
      </c>
      <c r="B44" s="4" t="s">
        <v>1003</v>
      </c>
      <c r="C44" s="4" t="s">
        <v>1158</v>
      </c>
      <c r="D44" s="4">
        <v>13410</v>
      </c>
      <c r="E44" s="4">
        <v>15</v>
      </c>
      <c r="F44" s="4" t="s">
        <v>15</v>
      </c>
      <c r="G44" s="4" t="s">
        <v>1119</v>
      </c>
      <c r="H44" s="5">
        <v>1550</v>
      </c>
      <c r="I44" s="4"/>
    </row>
    <row r="45" spans="1:9" ht="15.9" x14ac:dyDescent="0.4">
      <c r="A45" s="3">
        <v>45729</v>
      </c>
      <c r="B45" s="4" t="s">
        <v>1041</v>
      </c>
      <c r="C45" s="4" t="s">
        <v>1159</v>
      </c>
      <c r="D45" s="4">
        <v>5943</v>
      </c>
      <c r="E45" s="4">
        <v>7</v>
      </c>
      <c r="F45" s="4" t="s">
        <v>35</v>
      </c>
      <c r="G45" s="4" t="s">
        <v>161</v>
      </c>
      <c r="H45" s="5">
        <v>966.13</v>
      </c>
      <c r="I45" s="4"/>
    </row>
    <row r="46" spans="1:9" ht="15.9" x14ac:dyDescent="0.4">
      <c r="A46" s="3">
        <v>45729</v>
      </c>
      <c r="B46" s="4" t="s">
        <v>139</v>
      </c>
      <c r="C46" s="4" t="s">
        <v>1160</v>
      </c>
      <c r="D46" s="4">
        <v>3320</v>
      </c>
      <c r="E46" s="4">
        <v>4</v>
      </c>
      <c r="F46" s="4" t="s">
        <v>35</v>
      </c>
      <c r="G46" s="4" t="s">
        <v>161</v>
      </c>
      <c r="H46" s="5">
        <v>592.03</v>
      </c>
      <c r="I46" s="4"/>
    </row>
    <row r="47" spans="1:9" ht="15.9" x14ac:dyDescent="0.4">
      <c r="A47" s="3">
        <v>45733</v>
      </c>
      <c r="B47" s="4" t="s">
        <v>1161</v>
      </c>
      <c r="C47" s="4" t="s">
        <v>1162</v>
      </c>
      <c r="D47" s="4">
        <v>10560</v>
      </c>
      <c r="E47" s="4">
        <v>12</v>
      </c>
      <c r="F47" s="4" t="s">
        <v>35</v>
      </c>
      <c r="G47" s="4" t="s">
        <v>161</v>
      </c>
      <c r="H47" s="5">
        <v>507.16</v>
      </c>
      <c r="I47" s="4"/>
    </row>
    <row r="48" spans="1:9" ht="15.9" x14ac:dyDescent="0.4">
      <c r="A48" s="3">
        <v>45733</v>
      </c>
      <c r="B48" s="4" t="s">
        <v>1163</v>
      </c>
      <c r="C48" s="4" t="s">
        <v>1164</v>
      </c>
      <c r="D48" s="4">
        <v>2352</v>
      </c>
      <c r="E48" s="4">
        <v>3</v>
      </c>
      <c r="F48" s="4" t="s">
        <v>35</v>
      </c>
      <c r="G48" s="4" t="s">
        <v>161</v>
      </c>
      <c r="H48" s="5">
        <v>924.64</v>
      </c>
      <c r="I48" s="4"/>
    </row>
    <row r="49" spans="1:9" ht="15.9" x14ac:dyDescent="0.4">
      <c r="A49" s="3">
        <v>45734</v>
      </c>
      <c r="B49" s="4" t="s">
        <v>153</v>
      </c>
      <c r="C49" s="4" t="s">
        <v>1165</v>
      </c>
      <c r="D49" s="4">
        <v>20580</v>
      </c>
      <c r="E49" s="4">
        <v>28</v>
      </c>
      <c r="F49" s="4" t="s">
        <v>15</v>
      </c>
      <c r="G49" s="4" t="s">
        <v>1119</v>
      </c>
      <c r="H49" s="5">
        <v>850</v>
      </c>
      <c r="I49" s="4"/>
    </row>
    <row r="50" spans="1:9" ht="15.9" x14ac:dyDescent="0.4">
      <c r="A50" s="3">
        <v>45734</v>
      </c>
      <c r="B50" s="4" t="s">
        <v>1064</v>
      </c>
      <c r="C50" s="4" t="s">
        <v>1166</v>
      </c>
      <c r="D50" s="4">
        <v>25541</v>
      </c>
      <c r="E50" s="4">
        <v>31</v>
      </c>
      <c r="F50" s="4" t="s">
        <v>11</v>
      </c>
      <c r="G50" s="4" t="s">
        <v>25</v>
      </c>
      <c r="H50" s="5">
        <v>3300</v>
      </c>
      <c r="I50" s="4"/>
    </row>
    <row r="51" spans="1:9" ht="15.9" x14ac:dyDescent="0.4">
      <c r="A51" s="3">
        <v>45734</v>
      </c>
      <c r="B51" s="4" t="s">
        <v>1167</v>
      </c>
      <c r="C51" s="4" t="s">
        <v>1168</v>
      </c>
      <c r="D51" s="4">
        <v>1470</v>
      </c>
      <c r="E51" s="4">
        <v>2</v>
      </c>
      <c r="F51" s="4" t="s">
        <v>35</v>
      </c>
      <c r="G51" s="4" t="s">
        <v>161</v>
      </c>
      <c r="H51" s="5">
        <v>225.46</v>
      </c>
      <c r="I51" s="4"/>
    </row>
    <row r="52" spans="1:9" ht="15.9" x14ac:dyDescent="0.4">
      <c r="A52" s="3">
        <v>45734</v>
      </c>
      <c r="B52" s="4" t="s">
        <v>103</v>
      </c>
      <c r="C52" s="4" t="s">
        <v>1169</v>
      </c>
      <c r="D52" s="4">
        <v>21750</v>
      </c>
      <c r="E52" s="4">
        <v>25</v>
      </c>
      <c r="F52" s="4" t="s">
        <v>11</v>
      </c>
      <c r="G52" s="4" t="s">
        <v>19</v>
      </c>
      <c r="H52" s="5">
        <v>3450</v>
      </c>
      <c r="I52" s="4"/>
    </row>
    <row r="53" spans="1:9" ht="15.9" x14ac:dyDescent="0.4">
      <c r="A53" s="3">
        <v>45734</v>
      </c>
      <c r="B53" s="4" t="s">
        <v>268</v>
      </c>
      <c r="C53" s="4" t="s">
        <v>1170</v>
      </c>
      <c r="D53" s="4">
        <v>29040</v>
      </c>
      <c r="E53" s="4">
        <v>33</v>
      </c>
      <c r="F53" s="4" t="s">
        <v>15</v>
      </c>
      <c r="G53" s="4" t="s">
        <v>1119</v>
      </c>
      <c r="H53" s="5">
        <v>2100</v>
      </c>
      <c r="I53" s="4"/>
    </row>
    <row r="54" spans="1:9" ht="15.9" x14ac:dyDescent="0.4">
      <c r="A54" s="3">
        <v>45734</v>
      </c>
      <c r="B54" s="4" t="s">
        <v>615</v>
      </c>
      <c r="C54" s="4" t="s">
        <v>1171</v>
      </c>
      <c r="D54" s="4">
        <v>36507</v>
      </c>
      <c r="E54" s="4">
        <v>43</v>
      </c>
      <c r="F54" s="4" t="s">
        <v>15</v>
      </c>
      <c r="G54" s="4" t="s">
        <v>19</v>
      </c>
      <c r="H54" s="5">
        <v>3325</v>
      </c>
      <c r="I54" s="4"/>
    </row>
    <row r="55" spans="1:9" ht="15.9" x14ac:dyDescent="0.4">
      <c r="A55" s="3">
        <v>45734</v>
      </c>
      <c r="B55" s="4" t="s">
        <v>1172</v>
      </c>
      <c r="C55" s="4" t="s">
        <v>1173</v>
      </c>
      <c r="D55" s="4">
        <v>32340</v>
      </c>
      <c r="E55" s="4">
        <v>44</v>
      </c>
      <c r="F55" s="4" t="s">
        <v>15</v>
      </c>
      <c r="G55" s="4" t="s">
        <v>25</v>
      </c>
      <c r="H55" s="5">
        <v>1350</v>
      </c>
      <c r="I55" s="4"/>
    </row>
    <row r="56" spans="1:9" ht="15.9" x14ac:dyDescent="0.4">
      <c r="A56" s="3">
        <v>45734</v>
      </c>
      <c r="B56" s="4" t="s">
        <v>1172</v>
      </c>
      <c r="C56" s="4" t="s">
        <v>1174</v>
      </c>
      <c r="D56" s="4">
        <v>13965</v>
      </c>
      <c r="E56" s="4">
        <v>19</v>
      </c>
      <c r="F56" s="4" t="s">
        <v>15</v>
      </c>
      <c r="G56" s="4" t="s">
        <v>25</v>
      </c>
      <c r="H56" s="5">
        <v>1350</v>
      </c>
      <c r="I56" s="4"/>
    </row>
    <row r="57" spans="1:9" ht="15.9" x14ac:dyDescent="0.4">
      <c r="A57" s="3">
        <v>45735</v>
      </c>
      <c r="B57" s="4" t="s">
        <v>1175</v>
      </c>
      <c r="C57" s="4" t="s">
        <v>1176</v>
      </c>
      <c r="D57" s="4">
        <v>20425</v>
      </c>
      <c r="E57" s="4">
        <v>25</v>
      </c>
      <c r="F57" s="4" t="s">
        <v>15</v>
      </c>
      <c r="G57" s="4" t="s">
        <v>1119</v>
      </c>
      <c r="H57" s="5">
        <v>2100</v>
      </c>
      <c r="I57" s="4"/>
    </row>
    <row r="58" spans="1:9" ht="15.9" x14ac:dyDescent="0.4">
      <c r="A58" s="3">
        <v>45735</v>
      </c>
      <c r="B58" s="4" t="s">
        <v>150</v>
      </c>
      <c r="C58" s="4" t="s">
        <v>1177</v>
      </c>
      <c r="D58" s="4">
        <v>5810</v>
      </c>
      <c r="E58" s="4">
        <v>7</v>
      </c>
      <c r="F58" s="4" t="s">
        <v>35</v>
      </c>
      <c r="G58" s="4" t="s">
        <v>161</v>
      </c>
      <c r="H58" s="5">
        <v>995.01</v>
      </c>
      <c r="I58" s="4"/>
    </row>
    <row r="59" spans="1:9" ht="15.9" x14ac:dyDescent="0.4">
      <c r="A59" s="3">
        <v>45735</v>
      </c>
      <c r="B59" s="4" t="s">
        <v>1041</v>
      </c>
      <c r="C59" s="4" t="s">
        <v>1178</v>
      </c>
      <c r="D59" s="4">
        <v>3900</v>
      </c>
      <c r="E59" s="4">
        <v>3</v>
      </c>
      <c r="F59" s="4" t="s">
        <v>35</v>
      </c>
      <c r="G59" s="4" t="s">
        <v>161</v>
      </c>
      <c r="H59" s="5">
        <v>981.75</v>
      </c>
      <c r="I59" s="4"/>
    </row>
    <row r="60" spans="1:9" ht="15.9" x14ac:dyDescent="0.4">
      <c r="A60" s="3">
        <v>45735</v>
      </c>
      <c r="B60" s="4" t="s">
        <v>150</v>
      </c>
      <c r="C60" s="4" t="s">
        <v>1179</v>
      </c>
      <c r="D60" s="4">
        <v>39216</v>
      </c>
      <c r="E60" s="4">
        <v>48</v>
      </c>
      <c r="F60" s="4" t="s">
        <v>15</v>
      </c>
      <c r="G60" s="4" t="s">
        <v>25</v>
      </c>
      <c r="H60" s="5">
        <v>3600</v>
      </c>
      <c r="I60" s="4"/>
    </row>
    <row r="61" spans="1:9" ht="15.9" x14ac:dyDescent="0.4">
      <c r="A61" s="3">
        <v>45735</v>
      </c>
      <c r="B61" s="4" t="s">
        <v>207</v>
      </c>
      <c r="C61" s="4" t="s">
        <v>1180</v>
      </c>
      <c r="D61" s="4">
        <v>1848</v>
      </c>
      <c r="E61" s="4">
        <v>2</v>
      </c>
      <c r="F61" s="4" t="s">
        <v>35</v>
      </c>
      <c r="G61" s="4" t="s">
        <v>161</v>
      </c>
      <c r="H61" s="5">
        <v>268.16000000000003</v>
      </c>
      <c r="I61" s="4"/>
    </row>
    <row r="62" spans="1:9" ht="15.9" x14ac:dyDescent="0.4">
      <c r="A62" s="3">
        <v>45735</v>
      </c>
      <c r="B62" s="4" t="s">
        <v>1181</v>
      </c>
      <c r="C62" s="4" t="s">
        <v>1182</v>
      </c>
      <c r="D62" s="4">
        <v>771</v>
      </c>
      <c r="E62" s="4">
        <v>1</v>
      </c>
      <c r="F62" s="4" t="s">
        <v>35</v>
      </c>
      <c r="G62" s="4" t="s">
        <v>161</v>
      </c>
      <c r="H62" s="5">
        <v>272.74</v>
      </c>
      <c r="I62" s="4"/>
    </row>
    <row r="63" spans="1:9" ht="15.9" x14ac:dyDescent="0.4">
      <c r="A63" s="3">
        <v>45735</v>
      </c>
      <c r="B63" s="4" t="s">
        <v>207</v>
      </c>
      <c r="C63" s="4" t="s">
        <v>1183</v>
      </c>
      <c r="D63" s="4">
        <v>41760</v>
      </c>
      <c r="E63" s="4">
        <v>48</v>
      </c>
      <c r="F63" s="4" t="s">
        <v>11</v>
      </c>
      <c r="G63" s="4" t="s">
        <v>19</v>
      </c>
      <c r="H63" s="5">
        <v>1250</v>
      </c>
      <c r="I63" s="4"/>
    </row>
    <row r="64" spans="1:9" ht="15.9" x14ac:dyDescent="0.4">
      <c r="A64" s="3">
        <v>45735</v>
      </c>
      <c r="B64" s="4" t="s">
        <v>1184</v>
      </c>
      <c r="C64" s="4" t="s">
        <v>1185</v>
      </c>
      <c r="D64" s="4">
        <v>19140</v>
      </c>
      <c r="E64" s="4">
        <v>22</v>
      </c>
      <c r="F64" s="4" t="s">
        <v>11</v>
      </c>
      <c r="G64" s="4" t="s">
        <v>19</v>
      </c>
      <c r="H64" s="5">
        <v>3450</v>
      </c>
      <c r="I64" s="4"/>
    </row>
    <row r="65" spans="1:9" ht="15.9" x14ac:dyDescent="0.4">
      <c r="A65" s="3">
        <v>45735</v>
      </c>
      <c r="B65" s="4" t="s">
        <v>309</v>
      </c>
      <c r="C65" s="4" t="s">
        <v>1186</v>
      </c>
      <c r="D65" s="4">
        <v>24900</v>
      </c>
      <c r="E65" s="4">
        <v>30</v>
      </c>
      <c r="F65" s="4" t="s">
        <v>15</v>
      </c>
      <c r="G65" s="4" t="s">
        <v>1119</v>
      </c>
      <c r="H65" s="5">
        <v>1700</v>
      </c>
      <c r="I65" s="4"/>
    </row>
    <row r="66" spans="1:9" ht="15.9" x14ac:dyDescent="0.4">
      <c r="A66" s="3">
        <v>45735</v>
      </c>
      <c r="B66" s="4" t="s">
        <v>1035</v>
      </c>
      <c r="C66" s="4" t="s">
        <v>1187</v>
      </c>
      <c r="D66" s="4">
        <v>5204</v>
      </c>
      <c r="E66" s="4">
        <v>4</v>
      </c>
      <c r="F66" s="4" t="s">
        <v>35</v>
      </c>
      <c r="G66" s="4" t="s">
        <v>161</v>
      </c>
      <c r="H66" s="5">
        <v>1050.3</v>
      </c>
      <c r="I66" s="4"/>
    </row>
    <row r="67" spans="1:9" ht="15.9" x14ac:dyDescent="0.4">
      <c r="A67" s="3">
        <v>45736</v>
      </c>
      <c r="B67" s="4" t="s">
        <v>17</v>
      </c>
      <c r="C67" s="4" t="s">
        <v>1188</v>
      </c>
      <c r="D67" s="4">
        <v>2313</v>
      </c>
      <c r="E67" s="4">
        <v>3</v>
      </c>
      <c r="F67" s="4" t="s">
        <v>35</v>
      </c>
      <c r="G67" s="4" t="s">
        <v>161</v>
      </c>
      <c r="H67" s="5">
        <v>420.97</v>
      </c>
      <c r="I67" s="4"/>
    </row>
    <row r="68" spans="1:9" ht="15.9" x14ac:dyDescent="0.4">
      <c r="A68" s="3">
        <v>45736</v>
      </c>
      <c r="B68" s="4" t="s">
        <v>17</v>
      </c>
      <c r="C68" s="4" t="s">
        <v>1189</v>
      </c>
      <c r="D68" s="4">
        <v>35280</v>
      </c>
      <c r="E68" s="4">
        <v>48</v>
      </c>
      <c r="F68" s="4" t="s">
        <v>15</v>
      </c>
      <c r="G68" s="4" t="s">
        <v>25</v>
      </c>
      <c r="H68" s="5">
        <v>1850</v>
      </c>
      <c r="I68" s="4"/>
    </row>
    <row r="69" spans="1:9" ht="15.9" x14ac:dyDescent="0.4">
      <c r="A69" s="3">
        <v>45736</v>
      </c>
      <c r="B69" s="4" t="s">
        <v>1131</v>
      </c>
      <c r="C69" s="4" t="s">
        <v>1190</v>
      </c>
      <c r="D69" s="4">
        <v>31570</v>
      </c>
      <c r="E69" s="4">
        <v>36</v>
      </c>
      <c r="F69" s="4" t="s">
        <v>11</v>
      </c>
      <c r="G69" s="4" t="s">
        <v>25</v>
      </c>
      <c r="H69" s="5">
        <v>5600</v>
      </c>
      <c r="I69" s="4"/>
    </row>
    <row r="70" spans="1:9" ht="15.9" x14ac:dyDescent="0.4">
      <c r="A70" s="3">
        <v>45736</v>
      </c>
      <c r="B70" s="4" t="s">
        <v>1191</v>
      </c>
      <c r="C70" s="4" t="s">
        <v>1192</v>
      </c>
      <c r="D70" s="4">
        <v>1634</v>
      </c>
      <c r="E70" s="4">
        <v>2</v>
      </c>
      <c r="F70" s="4" t="s">
        <v>35</v>
      </c>
      <c r="G70" s="4" t="s">
        <v>12</v>
      </c>
      <c r="H70" s="5"/>
      <c r="I70" s="4"/>
    </row>
    <row r="71" spans="1:9" ht="15.9" x14ac:dyDescent="0.4">
      <c r="A71" s="3">
        <v>45736</v>
      </c>
      <c r="B71" s="4" t="s">
        <v>922</v>
      </c>
      <c r="C71" s="4" t="s">
        <v>1193</v>
      </c>
      <c r="D71" s="4">
        <v>42240</v>
      </c>
      <c r="E71" s="4">
        <v>48</v>
      </c>
      <c r="F71" s="4" t="s">
        <v>11</v>
      </c>
      <c r="G71" s="4" t="s">
        <v>19</v>
      </c>
      <c r="H71" s="5">
        <v>2300</v>
      </c>
      <c r="I71" s="4"/>
    </row>
    <row r="72" spans="1:9" ht="15.9" x14ac:dyDescent="0.4">
      <c r="A72" s="3">
        <v>45736</v>
      </c>
      <c r="B72" s="4" t="s">
        <v>922</v>
      </c>
      <c r="C72" s="4" t="s">
        <v>1194</v>
      </c>
      <c r="D72" s="4">
        <v>42240</v>
      </c>
      <c r="E72" s="4">
        <v>48</v>
      </c>
      <c r="F72" s="4" t="s">
        <v>11</v>
      </c>
      <c r="G72" s="4" t="s">
        <v>19</v>
      </c>
      <c r="H72" s="5">
        <v>2300</v>
      </c>
      <c r="I72" s="4"/>
    </row>
    <row r="73" spans="1:9" ht="15.9" x14ac:dyDescent="0.4">
      <c r="A73" s="3">
        <v>45736</v>
      </c>
      <c r="B73" s="4" t="s">
        <v>922</v>
      </c>
      <c r="C73" s="4" t="s">
        <v>1196</v>
      </c>
      <c r="D73" s="4">
        <v>35280</v>
      </c>
      <c r="E73" s="4">
        <v>48</v>
      </c>
      <c r="F73" s="4" t="s">
        <v>11</v>
      </c>
      <c r="G73" s="4" t="s">
        <v>19</v>
      </c>
      <c r="H73" s="5">
        <v>2300</v>
      </c>
      <c r="I73" s="4"/>
    </row>
    <row r="74" spans="1:9" ht="15.9" x14ac:dyDescent="0.4">
      <c r="A74" s="3">
        <v>45736</v>
      </c>
      <c r="B74" s="4" t="s">
        <v>922</v>
      </c>
      <c r="C74" s="4" t="s">
        <v>1195</v>
      </c>
      <c r="D74" s="4">
        <v>28160</v>
      </c>
      <c r="E74" s="4">
        <v>32</v>
      </c>
      <c r="F74" s="4" t="s">
        <v>11</v>
      </c>
      <c r="G74" s="4" t="s">
        <v>19</v>
      </c>
      <c r="H74" s="5">
        <v>2300</v>
      </c>
      <c r="I74" s="4"/>
    </row>
    <row r="75" spans="1:9" ht="15.9" x14ac:dyDescent="0.4">
      <c r="A75" s="3">
        <v>45737</v>
      </c>
      <c r="B75" s="4" t="s">
        <v>922</v>
      </c>
      <c r="C75" s="4" t="s">
        <v>1197</v>
      </c>
      <c r="D75" s="4">
        <v>42240</v>
      </c>
      <c r="E75" s="4">
        <v>48</v>
      </c>
      <c r="F75" s="4" t="s">
        <v>11</v>
      </c>
      <c r="G75" s="4" t="s">
        <v>19</v>
      </c>
      <c r="H75" s="5">
        <v>2300</v>
      </c>
      <c r="I75" s="4"/>
    </row>
    <row r="76" spans="1:9" ht="15.9" x14ac:dyDescent="0.4">
      <c r="A76" s="3">
        <v>45737</v>
      </c>
      <c r="B76" s="4" t="s">
        <v>922</v>
      </c>
      <c r="C76" s="4" t="s">
        <v>1198</v>
      </c>
      <c r="D76" s="4">
        <v>37008</v>
      </c>
      <c r="E76" s="4">
        <v>48</v>
      </c>
      <c r="F76" s="4" t="s">
        <v>11</v>
      </c>
      <c r="G76" s="4" t="s">
        <v>19</v>
      </c>
      <c r="H76" s="5">
        <v>2300</v>
      </c>
      <c r="I76" s="4"/>
    </row>
    <row r="77" spans="1:9" ht="15.9" x14ac:dyDescent="0.4">
      <c r="A77" s="3">
        <v>45737</v>
      </c>
      <c r="B77" s="4" t="s">
        <v>922</v>
      </c>
      <c r="C77" s="4" t="s">
        <v>1199</v>
      </c>
      <c r="D77" s="4">
        <v>41301</v>
      </c>
      <c r="E77" s="4">
        <v>48</v>
      </c>
      <c r="F77" s="4" t="s">
        <v>11</v>
      </c>
      <c r="G77" s="4" t="s">
        <v>19</v>
      </c>
      <c r="H77" s="5">
        <v>2300</v>
      </c>
      <c r="I77" s="4"/>
    </row>
    <row r="78" spans="1:9" ht="15.9" x14ac:dyDescent="0.4">
      <c r="A78" s="3">
        <v>45737</v>
      </c>
      <c r="B78" s="4" t="s">
        <v>486</v>
      </c>
      <c r="C78" s="4" t="s">
        <v>1192</v>
      </c>
      <c r="D78" s="4">
        <v>1634</v>
      </c>
      <c r="E78" s="4">
        <v>2</v>
      </c>
      <c r="F78" s="4" t="s">
        <v>35</v>
      </c>
      <c r="G78" s="4" t="s">
        <v>12</v>
      </c>
      <c r="H78" s="5"/>
      <c r="I78" s="4"/>
    </row>
    <row r="79" spans="1:9" ht="15.9" x14ac:dyDescent="0.4">
      <c r="A79" s="3">
        <v>45737</v>
      </c>
      <c r="B79" s="4" t="s">
        <v>1200</v>
      </c>
      <c r="C79" s="4" t="s">
        <v>1201</v>
      </c>
      <c r="D79" s="4">
        <v>38876</v>
      </c>
      <c r="E79" s="4">
        <v>30</v>
      </c>
      <c r="F79" s="4" t="s">
        <v>11</v>
      </c>
      <c r="G79" s="4" t="s">
        <v>19</v>
      </c>
      <c r="H79" s="5">
        <v>5335</v>
      </c>
      <c r="I79" s="4" t="s">
        <v>1202</v>
      </c>
    </row>
    <row r="80" spans="1:9" ht="15.9" x14ac:dyDescent="0.4">
      <c r="A80" s="3">
        <v>45737</v>
      </c>
      <c r="B80" s="4" t="s">
        <v>1203</v>
      </c>
      <c r="C80" s="4" t="s">
        <v>1204</v>
      </c>
      <c r="D80" s="4">
        <v>3876</v>
      </c>
      <c r="E80" s="4">
        <v>3</v>
      </c>
      <c r="F80" s="4" t="s">
        <v>11</v>
      </c>
      <c r="G80" s="4" t="s">
        <v>19</v>
      </c>
      <c r="H80" s="5"/>
      <c r="I80" s="4" t="s">
        <v>1205</v>
      </c>
    </row>
    <row r="81" spans="1:9" ht="15.9" x14ac:dyDescent="0.4">
      <c r="A81" s="3">
        <v>45737</v>
      </c>
      <c r="B81" s="4" t="s">
        <v>1206</v>
      </c>
      <c r="C81" s="4" t="s">
        <v>1204</v>
      </c>
      <c r="D81" s="4">
        <v>34925</v>
      </c>
      <c r="E81" s="4">
        <v>27</v>
      </c>
      <c r="F81" s="4" t="s">
        <v>11</v>
      </c>
      <c r="G81" s="4" t="s">
        <v>19</v>
      </c>
      <c r="H81" s="5">
        <v>4565</v>
      </c>
      <c r="I81" s="4"/>
    </row>
    <row r="82" spans="1:9" ht="15.9" x14ac:dyDescent="0.4">
      <c r="A82" s="3">
        <v>45740</v>
      </c>
      <c r="B82" s="4" t="s">
        <v>922</v>
      </c>
      <c r="C82" s="4" t="s">
        <v>1207</v>
      </c>
      <c r="D82" s="4">
        <v>42240</v>
      </c>
      <c r="E82" s="4">
        <v>48</v>
      </c>
      <c r="F82" s="4" t="s">
        <v>11</v>
      </c>
      <c r="G82" s="4" t="s">
        <v>19</v>
      </c>
      <c r="H82" s="5">
        <v>2300</v>
      </c>
      <c r="I82" s="4"/>
    </row>
    <row r="83" spans="1:9" ht="15.9" x14ac:dyDescent="0.4">
      <c r="A83" s="3">
        <v>45740</v>
      </c>
      <c r="B83" s="4" t="s">
        <v>168</v>
      </c>
      <c r="C83" s="4" t="s">
        <v>1208</v>
      </c>
      <c r="D83" s="4">
        <v>35200</v>
      </c>
      <c r="E83" s="4">
        <v>40</v>
      </c>
      <c r="F83" s="4" t="s">
        <v>15</v>
      </c>
      <c r="G83" s="4" t="s">
        <v>1119</v>
      </c>
      <c r="H83" s="5">
        <v>2400</v>
      </c>
      <c r="I83" s="4"/>
    </row>
    <row r="84" spans="1:9" ht="15.9" x14ac:dyDescent="0.4">
      <c r="A84" s="3">
        <v>45740</v>
      </c>
      <c r="B84" s="4" t="s">
        <v>193</v>
      </c>
      <c r="C84" s="4" t="s">
        <v>1209</v>
      </c>
      <c r="D84" s="4">
        <v>26900</v>
      </c>
      <c r="E84" s="4">
        <v>30</v>
      </c>
      <c r="F84" s="4" t="s">
        <v>15</v>
      </c>
      <c r="G84" s="4" t="s">
        <v>25</v>
      </c>
      <c r="H84" s="5">
        <v>2550</v>
      </c>
      <c r="I84" s="4"/>
    </row>
    <row r="85" spans="1:9" ht="15.9" x14ac:dyDescent="0.4">
      <c r="A85" s="3">
        <v>45741</v>
      </c>
      <c r="B85" s="4" t="s">
        <v>593</v>
      </c>
      <c r="C85" s="4" t="s">
        <v>1210</v>
      </c>
      <c r="D85" s="4">
        <v>41280</v>
      </c>
      <c r="E85" s="4">
        <v>48</v>
      </c>
      <c r="F85" s="4" t="s">
        <v>11</v>
      </c>
      <c r="G85" s="4" t="s">
        <v>19</v>
      </c>
      <c r="H85" s="5">
        <v>3700</v>
      </c>
      <c r="I85" s="4"/>
    </row>
    <row r="86" spans="1:9" ht="15.9" x14ac:dyDescent="0.4">
      <c r="A86" s="3">
        <v>45741</v>
      </c>
      <c r="B86" s="4" t="s">
        <v>207</v>
      </c>
      <c r="C86" s="4" t="s">
        <v>1211</v>
      </c>
      <c r="D86" s="4">
        <v>41280</v>
      </c>
      <c r="E86" s="4">
        <v>48</v>
      </c>
      <c r="F86" s="4" t="s">
        <v>11</v>
      </c>
      <c r="G86" s="4" t="s">
        <v>19</v>
      </c>
      <c r="H86" s="5">
        <v>1250</v>
      </c>
      <c r="I86" s="4"/>
    </row>
    <row r="87" spans="1:9" ht="15.9" x14ac:dyDescent="0.4">
      <c r="A87" s="3">
        <v>45741</v>
      </c>
      <c r="B87" s="4" t="s">
        <v>207</v>
      </c>
      <c r="C87" s="4" t="s">
        <v>1212</v>
      </c>
      <c r="D87" s="4">
        <v>41760</v>
      </c>
      <c r="E87" s="4">
        <v>48</v>
      </c>
      <c r="F87" s="4" t="s">
        <v>11</v>
      </c>
      <c r="G87" s="4" t="s">
        <v>19</v>
      </c>
      <c r="H87" s="5">
        <v>1250</v>
      </c>
      <c r="I87" s="4"/>
    </row>
    <row r="88" spans="1:9" ht="15.9" x14ac:dyDescent="0.4">
      <c r="A88" s="3">
        <v>45742</v>
      </c>
      <c r="B88" s="4" t="s">
        <v>96</v>
      </c>
      <c r="C88" s="4" t="s">
        <v>1213</v>
      </c>
      <c r="D88" s="4">
        <v>41800</v>
      </c>
      <c r="E88" s="4">
        <v>44</v>
      </c>
      <c r="F88" s="4" t="s">
        <v>15</v>
      </c>
      <c r="G88" s="4" t="s">
        <v>25</v>
      </c>
      <c r="H88" s="5">
        <v>3500</v>
      </c>
      <c r="I88" s="4"/>
    </row>
    <row r="89" spans="1:9" ht="15.9" x14ac:dyDescent="0.4">
      <c r="A89" s="3">
        <v>45742</v>
      </c>
      <c r="B89" s="4" t="s">
        <v>96</v>
      </c>
      <c r="C89" s="4" t="s">
        <v>1214</v>
      </c>
      <c r="D89" s="4">
        <v>41800</v>
      </c>
      <c r="E89" s="4">
        <v>44</v>
      </c>
      <c r="F89" s="4" t="s">
        <v>15</v>
      </c>
      <c r="G89" s="4" t="s">
        <v>25</v>
      </c>
      <c r="H89" s="5">
        <v>3500</v>
      </c>
      <c r="I89" s="4"/>
    </row>
    <row r="90" spans="1:9" ht="15.9" x14ac:dyDescent="0.4">
      <c r="A90" s="3">
        <v>45742</v>
      </c>
      <c r="B90" s="4" t="s">
        <v>96</v>
      </c>
      <c r="C90" s="4" t="s">
        <v>1215</v>
      </c>
      <c r="D90" s="4">
        <v>39200</v>
      </c>
      <c r="E90" s="4">
        <v>40</v>
      </c>
      <c r="F90" s="4" t="s">
        <v>15</v>
      </c>
      <c r="G90" s="4" t="s">
        <v>25</v>
      </c>
      <c r="H90" s="5">
        <v>3500</v>
      </c>
      <c r="I90" s="4"/>
    </row>
    <row r="91" spans="1:9" ht="15.9" x14ac:dyDescent="0.4">
      <c r="A91" s="3">
        <v>45742</v>
      </c>
      <c r="B91" s="4" t="s">
        <v>385</v>
      </c>
      <c r="C91" s="4" t="s">
        <v>1216</v>
      </c>
      <c r="D91" s="4">
        <v>12560</v>
      </c>
      <c r="E91" s="4">
        <v>15</v>
      </c>
      <c r="F91" s="4" t="s">
        <v>15</v>
      </c>
      <c r="G91" s="4" t="s">
        <v>1119</v>
      </c>
      <c r="H91" s="5">
        <v>2150</v>
      </c>
      <c r="I91" s="4"/>
    </row>
    <row r="92" spans="1:9" ht="15.9" x14ac:dyDescent="0.4">
      <c r="A92" s="3">
        <v>45742</v>
      </c>
      <c r="B92" s="4" t="s">
        <v>255</v>
      </c>
      <c r="C92" s="4" t="s">
        <v>1217</v>
      </c>
      <c r="D92" s="4">
        <v>22640</v>
      </c>
      <c r="E92" s="4">
        <v>20</v>
      </c>
      <c r="F92" s="4" t="s">
        <v>15</v>
      </c>
      <c r="G92" s="4" t="s">
        <v>1119</v>
      </c>
      <c r="H92" s="5">
        <v>1950</v>
      </c>
      <c r="I92" s="4"/>
    </row>
    <row r="93" spans="1:9" ht="15.9" x14ac:dyDescent="0.4">
      <c r="A93" s="3">
        <v>45742</v>
      </c>
      <c r="B93" s="4" t="s">
        <v>103</v>
      </c>
      <c r="C93" s="4" t="s">
        <v>1169</v>
      </c>
      <c r="D93" s="4">
        <v>17200</v>
      </c>
      <c r="E93" s="4">
        <v>20</v>
      </c>
      <c r="F93" s="4" t="s">
        <v>11</v>
      </c>
      <c r="G93" s="4" t="s">
        <v>19</v>
      </c>
      <c r="H93" s="5">
        <v>2000</v>
      </c>
      <c r="I93" s="4"/>
    </row>
    <row r="94" spans="1:9" ht="15.9" x14ac:dyDescent="0.4">
      <c r="A94" s="3">
        <v>45742</v>
      </c>
      <c r="B94" s="4" t="s">
        <v>1068</v>
      </c>
      <c r="C94" s="4" t="s">
        <v>1218</v>
      </c>
      <c r="D94" s="4">
        <v>35280</v>
      </c>
      <c r="E94" s="4">
        <v>48</v>
      </c>
      <c r="F94" s="4" t="s">
        <v>15</v>
      </c>
      <c r="G94" s="4" t="s">
        <v>19</v>
      </c>
      <c r="H94" s="5">
        <v>2700</v>
      </c>
      <c r="I94" s="4"/>
    </row>
    <row r="95" spans="1:9" ht="15.9" x14ac:dyDescent="0.4">
      <c r="A95" s="3">
        <v>45742</v>
      </c>
      <c r="B95" s="4" t="s">
        <v>1068</v>
      </c>
      <c r="C95" s="4" t="s">
        <v>1219</v>
      </c>
      <c r="D95" s="4">
        <v>18375</v>
      </c>
      <c r="E95" s="4">
        <v>25</v>
      </c>
      <c r="F95" s="4" t="s">
        <v>15</v>
      </c>
      <c r="G95" s="4" t="s">
        <v>19</v>
      </c>
      <c r="H95" s="5">
        <v>2700</v>
      </c>
      <c r="I95" s="4"/>
    </row>
    <row r="96" spans="1:9" ht="15.9" x14ac:dyDescent="0.4">
      <c r="A96" s="3">
        <v>45742</v>
      </c>
      <c r="B96" s="4" t="s">
        <v>52</v>
      </c>
      <c r="C96" s="4" t="s">
        <v>1220</v>
      </c>
      <c r="D96" s="4">
        <v>38280</v>
      </c>
      <c r="E96" s="4">
        <v>44</v>
      </c>
      <c r="F96" s="4" t="s">
        <v>15</v>
      </c>
      <c r="G96" s="4" t="s">
        <v>25</v>
      </c>
      <c r="H96" s="5">
        <v>2950</v>
      </c>
      <c r="I96" s="4"/>
    </row>
    <row r="97" spans="1:9" ht="15.9" x14ac:dyDescent="0.4">
      <c r="A97" s="3">
        <v>45742</v>
      </c>
      <c r="B97" s="4" t="s">
        <v>52</v>
      </c>
      <c r="C97" s="4" t="s">
        <v>1221</v>
      </c>
      <c r="D97" s="4">
        <v>27589</v>
      </c>
      <c r="E97" s="4">
        <v>32</v>
      </c>
      <c r="F97" s="4" t="s">
        <v>15</v>
      </c>
      <c r="G97" s="4" t="s">
        <v>25</v>
      </c>
      <c r="H97" s="5">
        <v>2950</v>
      </c>
      <c r="I97" s="4"/>
    </row>
    <row r="98" spans="1:9" ht="15.9" x14ac:dyDescent="0.4">
      <c r="A98" s="3">
        <v>45743</v>
      </c>
      <c r="B98" s="4" t="s">
        <v>493</v>
      </c>
      <c r="C98" s="4" t="s">
        <v>1222</v>
      </c>
      <c r="D98" s="4">
        <v>686</v>
      </c>
      <c r="E98" s="4">
        <v>1</v>
      </c>
      <c r="F98" s="4" t="s">
        <v>35</v>
      </c>
      <c r="G98" s="4" t="s">
        <v>161</v>
      </c>
      <c r="H98" s="5">
        <v>237.03</v>
      </c>
      <c r="I98" s="4"/>
    </row>
    <row r="99" spans="1:9" ht="15.9" x14ac:dyDescent="0.4">
      <c r="A99" s="3">
        <v>45743</v>
      </c>
      <c r="B99" s="4" t="s">
        <v>96</v>
      </c>
      <c r="C99" s="4" t="s">
        <v>1223</v>
      </c>
      <c r="D99" s="4">
        <v>24700</v>
      </c>
      <c r="E99" s="4">
        <v>26</v>
      </c>
      <c r="F99" s="4" t="s">
        <v>15</v>
      </c>
      <c r="G99" s="4" t="s">
        <v>25</v>
      </c>
      <c r="H99" s="5">
        <v>3500</v>
      </c>
      <c r="I99" s="4"/>
    </row>
    <row r="100" spans="1:9" ht="15.9" x14ac:dyDescent="0.4">
      <c r="A100" s="3">
        <v>45743</v>
      </c>
      <c r="B100" s="4" t="s">
        <v>96</v>
      </c>
      <c r="C100" s="4" t="s">
        <v>1224</v>
      </c>
      <c r="D100" s="4">
        <v>40420</v>
      </c>
      <c r="E100" s="4">
        <v>47</v>
      </c>
      <c r="F100" s="4" t="s">
        <v>15</v>
      </c>
      <c r="G100" s="4" t="s">
        <v>25</v>
      </c>
      <c r="H100" s="5">
        <v>3500</v>
      </c>
      <c r="I100" s="4"/>
    </row>
    <row r="101" spans="1:9" ht="15.9" x14ac:dyDescent="0.4">
      <c r="A101" s="3">
        <v>45743</v>
      </c>
      <c r="B101" s="4" t="s">
        <v>615</v>
      </c>
      <c r="C101" s="4" t="s">
        <v>1225</v>
      </c>
      <c r="D101" s="4">
        <v>29450</v>
      </c>
      <c r="E101" s="4">
        <v>31</v>
      </c>
      <c r="F101" s="4" t="s">
        <v>15</v>
      </c>
      <c r="G101" s="4" t="s">
        <v>19</v>
      </c>
      <c r="H101" s="5">
        <v>3325</v>
      </c>
      <c r="I101" s="4"/>
    </row>
    <row r="102" spans="1:9" ht="15.9" x14ac:dyDescent="0.4">
      <c r="A102" s="3">
        <v>45743</v>
      </c>
      <c r="B102" s="4" t="s">
        <v>1226</v>
      </c>
      <c r="C102" s="4" t="s">
        <v>1227</v>
      </c>
      <c r="D102" s="4">
        <v>9429</v>
      </c>
      <c r="E102" s="4">
        <v>12</v>
      </c>
      <c r="F102" s="4" t="s">
        <v>35</v>
      </c>
      <c r="G102" s="4" t="s">
        <v>12</v>
      </c>
      <c r="H102" s="4"/>
      <c r="I102" s="4"/>
    </row>
    <row r="103" spans="1:9" ht="15.9" x14ac:dyDescent="0.4">
      <c r="A103" s="3">
        <v>45743</v>
      </c>
      <c r="B103" s="4" t="s">
        <v>150</v>
      </c>
      <c r="C103" s="4" t="s">
        <v>1228</v>
      </c>
      <c r="D103" s="4">
        <v>20425</v>
      </c>
      <c r="E103" s="4">
        <v>25</v>
      </c>
      <c r="F103" s="4" t="s">
        <v>15</v>
      </c>
      <c r="G103" s="4" t="s">
        <v>25</v>
      </c>
      <c r="H103" s="5">
        <v>3600</v>
      </c>
      <c r="I103" s="4"/>
    </row>
    <row r="104" spans="1:9" ht="15.9" x14ac:dyDescent="0.4">
      <c r="A104" s="3">
        <v>45744</v>
      </c>
      <c r="B104" s="4" t="s">
        <v>1041</v>
      </c>
      <c r="C104" s="4" t="s">
        <v>1229</v>
      </c>
      <c r="D104" s="4">
        <v>17860</v>
      </c>
      <c r="E104" s="4">
        <v>19</v>
      </c>
      <c r="F104" s="4" t="s">
        <v>11</v>
      </c>
      <c r="G104" s="4" t="s">
        <v>19</v>
      </c>
      <c r="H104" s="5">
        <v>2925</v>
      </c>
      <c r="I104" s="4"/>
    </row>
    <row r="105" spans="1:9" ht="15.9" x14ac:dyDescent="0.4">
      <c r="A105" s="3">
        <v>45744</v>
      </c>
      <c r="B105" s="4" t="s">
        <v>1041</v>
      </c>
      <c r="C105" s="4" t="s">
        <v>1230</v>
      </c>
      <c r="D105" s="4">
        <v>41360</v>
      </c>
      <c r="E105" s="4">
        <v>44</v>
      </c>
      <c r="F105" s="4" t="s">
        <v>11</v>
      </c>
      <c r="G105" s="4" t="s">
        <v>19</v>
      </c>
      <c r="H105" s="5">
        <v>4700</v>
      </c>
      <c r="I105" s="4"/>
    </row>
    <row r="106" spans="1:9" ht="15.9" x14ac:dyDescent="0.4">
      <c r="A106" s="3">
        <v>45744</v>
      </c>
      <c r="B106" s="4" t="s">
        <v>1231</v>
      </c>
      <c r="C106" s="4" t="s">
        <v>1232</v>
      </c>
      <c r="D106" s="4">
        <v>36540</v>
      </c>
      <c r="E106" s="4">
        <v>42</v>
      </c>
      <c r="F106" s="4" t="s">
        <v>15</v>
      </c>
      <c r="G106" s="4" t="s">
        <v>12</v>
      </c>
      <c r="H106" s="4"/>
      <c r="I106" s="4"/>
    </row>
    <row r="107" spans="1:9" ht="15.9" x14ac:dyDescent="0.4">
      <c r="A107" s="3">
        <v>45747</v>
      </c>
      <c r="B107" s="4" t="s">
        <v>1233</v>
      </c>
      <c r="C107" s="4" t="s">
        <v>1234</v>
      </c>
      <c r="D107" s="4">
        <v>42240</v>
      </c>
      <c r="E107" s="4">
        <v>48</v>
      </c>
      <c r="F107" s="4" t="s">
        <v>11</v>
      </c>
      <c r="G107" s="4" t="s">
        <v>25</v>
      </c>
      <c r="H107" s="5">
        <v>3900</v>
      </c>
      <c r="I107" s="4" t="s">
        <v>1235</v>
      </c>
    </row>
    <row r="108" spans="1:9" ht="15.9" x14ac:dyDescent="0.4">
      <c r="A108" s="3"/>
      <c r="B108" s="4"/>
      <c r="C108" s="4"/>
      <c r="D108" s="4"/>
      <c r="E108" s="4"/>
      <c r="F108" s="4"/>
      <c r="G108" s="4"/>
      <c r="H108" s="5"/>
      <c r="I108" s="4"/>
    </row>
    <row r="109" spans="1:9" ht="15.9" x14ac:dyDescent="0.4">
      <c r="A109" s="3"/>
      <c r="B109" s="4"/>
      <c r="C109" s="4"/>
      <c r="D109" s="4"/>
      <c r="E109" s="4"/>
      <c r="F109" s="4"/>
      <c r="G109" s="4"/>
      <c r="H109" s="5"/>
      <c r="I109" s="4"/>
    </row>
    <row r="110" spans="1:9" ht="15.9" x14ac:dyDescent="0.4">
      <c r="A110" s="3"/>
      <c r="B110" s="4"/>
      <c r="C110" s="4"/>
      <c r="D110" s="4"/>
      <c r="E110" s="4"/>
      <c r="F110" s="4"/>
      <c r="G110" s="4"/>
      <c r="H110" s="5"/>
      <c r="I110" s="4"/>
    </row>
    <row r="111" spans="1:9" ht="15.9" x14ac:dyDescent="0.4">
      <c r="A111" s="3"/>
      <c r="B111" s="4"/>
      <c r="C111" s="4"/>
      <c r="D111" s="4"/>
      <c r="E111" s="4"/>
      <c r="F111" s="4"/>
      <c r="G111" s="4"/>
      <c r="H111" s="5"/>
      <c r="I111" s="4"/>
    </row>
    <row r="112" spans="1:9" ht="15.9" x14ac:dyDescent="0.4">
      <c r="A112" s="3"/>
      <c r="B112" s="4"/>
      <c r="C112" s="4"/>
      <c r="D112" s="4"/>
      <c r="E112" s="4"/>
      <c r="F112" s="4"/>
      <c r="G112" s="4"/>
      <c r="H112" s="5"/>
      <c r="I112" s="4"/>
    </row>
    <row r="113" spans="1:9" ht="15.9" x14ac:dyDescent="0.4">
      <c r="A113" s="3"/>
      <c r="B113" s="4"/>
      <c r="C113" s="4"/>
      <c r="D113" s="4"/>
      <c r="E113" s="4"/>
      <c r="F113" s="4"/>
      <c r="G113" s="4"/>
      <c r="H113" s="5"/>
      <c r="I113" s="4"/>
    </row>
    <row r="114" spans="1:9" ht="15.9" x14ac:dyDescent="0.4">
      <c r="A114" s="3"/>
      <c r="B114" s="4"/>
      <c r="C114" s="4"/>
      <c r="D114" s="4"/>
      <c r="E114" s="4"/>
      <c r="F114" s="4"/>
      <c r="G114" s="4"/>
      <c r="H114" s="4"/>
      <c r="I114" s="4"/>
    </row>
    <row r="115" spans="1:9" ht="15.9" x14ac:dyDescent="0.4">
      <c r="A115" s="3"/>
      <c r="B115" s="4"/>
      <c r="C115" s="4"/>
      <c r="D115" s="4"/>
      <c r="E115" s="4"/>
      <c r="F115" s="4"/>
      <c r="G115" s="4"/>
      <c r="H115" s="5"/>
      <c r="I115" s="4"/>
    </row>
    <row r="116" spans="1:9" ht="15.9" x14ac:dyDescent="0.4">
      <c r="A116" s="3"/>
      <c r="B116" s="4"/>
      <c r="C116" s="4"/>
      <c r="D116" s="4"/>
      <c r="E116" s="4"/>
      <c r="F116" s="4"/>
      <c r="G116" s="4"/>
      <c r="H116" s="5"/>
      <c r="I116" s="4"/>
    </row>
    <row r="117" spans="1:9" ht="15.9" x14ac:dyDescent="0.4">
      <c r="A117" s="3"/>
      <c r="B117" s="4"/>
      <c r="C117" s="4"/>
      <c r="D117" s="4"/>
      <c r="E117" s="4"/>
      <c r="F117" s="4"/>
      <c r="G117" s="4"/>
      <c r="H117" s="5"/>
      <c r="I117" s="4"/>
    </row>
    <row r="118" spans="1:9" ht="15.9" x14ac:dyDescent="0.4">
      <c r="A118" s="3"/>
      <c r="B118" s="4"/>
      <c r="C118" s="4"/>
      <c r="D118" s="4"/>
      <c r="E118" s="4"/>
      <c r="F118" s="4"/>
      <c r="G118" s="4"/>
      <c r="H118" s="5"/>
      <c r="I118" s="4"/>
    </row>
    <row r="119" spans="1:9" ht="15.9" x14ac:dyDescent="0.4">
      <c r="A119" s="4"/>
      <c r="B119" s="4"/>
      <c r="C119" s="4"/>
      <c r="D119" s="4"/>
      <c r="E119" s="4"/>
      <c r="F119" s="4"/>
      <c r="G119" s="4"/>
      <c r="H119" s="4"/>
      <c r="I119" s="4"/>
    </row>
    <row r="120" spans="1:9" ht="15.9" x14ac:dyDescent="0.4">
      <c r="A120" s="4"/>
      <c r="B120" s="4"/>
      <c r="C120" s="4"/>
      <c r="D120" s="4"/>
      <c r="E120" s="4"/>
      <c r="F120" s="4"/>
      <c r="G120" s="4"/>
      <c r="H120" s="4"/>
      <c r="I120" s="4"/>
    </row>
    <row r="121" spans="1:9" ht="15.9" x14ac:dyDescent="0.4">
      <c r="A121" s="4"/>
      <c r="B121" s="4"/>
      <c r="C121" s="4"/>
      <c r="D121" s="4"/>
      <c r="E121" s="4"/>
      <c r="F121" s="4"/>
      <c r="G121" s="4"/>
      <c r="H121" s="4"/>
      <c r="I121" s="4"/>
    </row>
    <row r="122" spans="1:9" ht="15.9" x14ac:dyDescent="0.4">
      <c r="A122" s="4"/>
      <c r="B122" s="4"/>
      <c r="C122" s="4"/>
      <c r="D122" s="4"/>
      <c r="E122" s="4"/>
      <c r="F122" s="4"/>
      <c r="G122" s="4"/>
      <c r="H122" s="4"/>
      <c r="I122" s="4"/>
    </row>
    <row r="123" spans="1:9" ht="15.9" x14ac:dyDescent="0.4">
      <c r="A123" s="4"/>
      <c r="B123" s="4"/>
      <c r="C123" s="4"/>
      <c r="D123" s="4"/>
      <c r="E123" s="4"/>
      <c r="F123" s="4"/>
      <c r="G123" s="4"/>
      <c r="H123" s="4"/>
      <c r="I123" s="4"/>
    </row>
    <row r="124" spans="1:9" ht="15.9" x14ac:dyDescent="0.4">
      <c r="A124" s="4"/>
      <c r="B124" s="4"/>
      <c r="C124" s="4"/>
      <c r="D124" s="4"/>
      <c r="E124" s="4"/>
      <c r="F124" s="4"/>
      <c r="G124" s="4"/>
      <c r="H124" s="4"/>
      <c r="I124" s="4"/>
    </row>
    <row r="125" spans="1:9" ht="15.9" x14ac:dyDescent="0.4">
      <c r="A125" s="4"/>
      <c r="B125" s="4"/>
      <c r="C125" s="4"/>
      <c r="D125" s="4"/>
      <c r="E125" s="4"/>
      <c r="F125" s="4"/>
      <c r="G125" s="4"/>
      <c r="H125" s="4"/>
      <c r="I125" s="4"/>
    </row>
    <row r="126" spans="1:9" ht="15.9" x14ac:dyDescent="0.4">
      <c r="A126" s="4"/>
      <c r="B126" s="4"/>
      <c r="C126" s="4"/>
      <c r="D126" s="4"/>
      <c r="E126" s="4"/>
      <c r="F126" s="4"/>
      <c r="G126" s="4"/>
      <c r="H126" s="4"/>
      <c r="I126" s="4"/>
    </row>
    <row r="127" spans="1:9" ht="15.9" x14ac:dyDescent="0.4">
      <c r="A127" s="4"/>
      <c r="B127" s="4"/>
      <c r="C127" s="4"/>
      <c r="D127" s="4"/>
      <c r="E127" s="4"/>
      <c r="F127" s="4"/>
      <c r="G127" s="4"/>
      <c r="H127" s="4"/>
      <c r="I127" s="4"/>
    </row>
    <row r="128" spans="1:9" ht="15.9" x14ac:dyDescent="0.4">
      <c r="A128" s="4"/>
      <c r="B128" s="4"/>
      <c r="C128" s="4"/>
      <c r="D128" s="4"/>
      <c r="E128" s="4"/>
      <c r="F128" s="4"/>
      <c r="G128" s="4"/>
      <c r="H128" s="4"/>
      <c r="I128" s="4"/>
    </row>
    <row r="129" spans="1:9" ht="15.9" x14ac:dyDescent="0.4">
      <c r="A129" s="4"/>
      <c r="B129" s="4"/>
      <c r="C129" s="4"/>
      <c r="D129" s="4"/>
      <c r="E129" s="4"/>
      <c r="F129" s="4"/>
      <c r="G129" s="4"/>
      <c r="H129" s="4"/>
      <c r="I129" s="4"/>
    </row>
    <row r="130" spans="1:9" ht="15.9" x14ac:dyDescent="0.4">
      <c r="A130" s="4"/>
      <c r="B130" s="4"/>
      <c r="C130" s="4"/>
      <c r="D130" s="4"/>
      <c r="E130" s="4"/>
      <c r="F130" s="4"/>
      <c r="G130" s="4"/>
      <c r="H130" s="4"/>
      <c r="I130" s="4"/>
    </row>
    <row r="131" spans="1:9" ht="15.9" x14ac:dyDescent="0.4">
      <c r="A131" s="4"/>
      <c r="B131" s="4"/>
      <c r="C131" s="4"/>
      <c r="D131" s="4"/>
      <c r="E131" s="4"/>
      <c r="F131" s="4"/>
      <c r="G131" s="4"/>
      <c r="H131" s="4"/>
      <c r="I131" s="4"/>
    </row>
    <row r="132" spans="1:9" ht="15.9" x14ac:dyDescent="0.4">
      <c r="A132" s="4"/>
      <c r="B132" s="4"/>
      <c r="C132" s="4"/>
      <c r="D132" s="4"/>
      <c r="E132" s="4"/>
      <c r="F132" s="4"/>
      <c r="G132" s="4"/>
      <c r="H132" s="4"/>
      <c r="I132" s="4"/>
    </row>
    <row r="133" spans="1:9" ht="15.9" x14ac:dyDescent="0.4">
      <c r="A133" s="4"/>
      <c r="B133" s="4"/>
      <c r="C133" s="4"/>
      <c r="D133" s="4"/>
      <c r="E133" s="4"/>
      <c r="F133" s="4"/>
      <c r="G133" s="4"/>
      <c r="H133" s="4"/>
      <c r="I133" s="4"/>
    </row>
    <row r="134" spans="1:9" ht="15.9" x14ac:dyDescent="0.4">
      <c r="A134" s="4"/>
      <c r="B134" s="4"/>
      <c r="C134" s="4"/>
      <c r="D134" s="4"/>
      <c r="E134" s="4"/>
      <c r="F134" s="4"/>
      <c r="G134" s="4"/>
      <c r="H134" s="4"/>
      <c r="I134" s="4"/>
    </row>
    <row r="135" spans="1:9" ht="15.9" x14ac:dyDescent="0.4">
      <c r="A135" s="4"/>
      <c r="B135" s="4"/>
      <c r="C135" s="4"/>
      <c r="D135" s="4"/>
      <c r="E135" s="4"/>
      <c r="F135" s="4"/>
      <c r="G135" s="4"/>
      <c r="H135" s="4"/>
      <c r="I135" s="4"/>
    </row>
    <row r="136" spans="1:9" ht="15.9" x14ac:dyDescent="0.4">
      <c r="A136" s="4"/>
      <c r="B136" s="4"/>
      <c r="C136" s="4"/>
      <c r="D136" s="4"/>
      <c r="E136" s="4"/>
      <c r="F136" s="4"/>
      <c r="G136" s="4"/>
      <c r="H136" s="4"/>
      <c r="I136" s="4"/>
    </row>
    <row r="137" spans="1:9" ht="15.9" x14ac:dyDescent="0.4">
      <c r="A137" s="4"/>
      <c r="B137" s="4"/>
      <c r="C137" s="4"/>
      <c r="D137" s="4"/>
      <c r="E137" s="4"/>
      <c r="F137" s="4"/>
      <c r="G137" s="4"/>
      <c r="H137" s="4"/>
      <c r="I137" s="4"/>
    </row>
    <row r="138" spans="1:9" ht="15.9" x14ac:dyDescent="0.4">
      <c r="A138" s="4"/>
      <c r="B138" s="4"/>
      <c r="C138" s="4"/>
      <c r="D138" s="4"/>
      <c r="E138" s="4"/>
      <c r="F138" s="4"/>
      <c r="G138" s="4"/>
      <c r="H138" s="4"/>
      <c r="I138" s="4"/>
    </row>
    <row r="139" spans="1:9" ht="15.9" x14ac:dyDescent="0.4">
      <c r="A139" s="4"/>
      <c r="B139" s="4"/>
      <c r="C139" s="4"/>
      <c r="D139" s="4"/>
      <c r="E139" s="4"/>
      <c r="F139" s="4"/>
      <c r="G139" s="4"/>
      <c r="H139" s="4"/>
      <c r="I139" s="4"/>
    </row>
    <row r="140" spans="1:9" ht="15.9" x14ac:dyDescent="0.4">
      <c r="A140" s="4"/>
      <c r="B140" s="4"/>
      <c r="C140" s="4"/>
      <c r="D140" s="4"/>
      <c r="E140" s="4"/>
      <c r="F140" s="4"/>
      <c r="G140" s="4"/>
      <c r="H140" s="4"/>
      <c r="I140" s="4"/>
    </row>
    <row r="141" spans="1:9" ht="15.9" x14ac:dyDescent="0.4">
      <c r="A141" s="4"/>
      <c r="B141" s="4"/>
      <c r="C141" s="4"/>
      <c r="D141" s="4"/>
      <c r="E141" s="4"/>
      <c r="F141" s="4"/>
      <c r="G141" s="4"/>
      <c r="H141" s="4"/>
      <c r="I141" s="4"/>
    </row>
    <row r="142" spans="1:9" ht="15.9" x14ac:dyDescent="0.4">
      <c r="A142" s="4"/>
      <c r="B142" s="4"/>
      <c r="C142" s="4"/>
      <c r="D142" s="4"/>
      <c r="E142" s="4"/>
      <c r="F142" s="4"/>
      <c r="G142" s="4"/>
      <c r="H142" s="4"/>
      <c r="I142" s="4"/>
    </row>
    <row r="143" spans="1:9" ht="15.9" x14ac:dyDescent="0.4">
      <c r="A143" s="4"/>
      <c r="B143" s="4"/>
      <c r="C143" s="4"/>
      <c r="D143" s="4"/>
      <c r="E143" s="4"/>
      <c r="F143" s="4"/>
      <c r="G143" s="4"/>
      <c r="H143" s="4"/>
      <c r="I143" s="4"/>
    </row>
    <row r="144" spans="1:9" ht="15.9" x14ac:dyDescent="0.4">
      <c r="A144" s="4"/>
      <c r="B144" s="4"/>
      <c r="C144" s="4"/>
      <c r="D144" s="4"/>
      <c r="E144" s="4"/>
      <c r="F144" s="4"/>
      <c r="G144" s="4"/>
      <c r="H144" s="4"/>
      <c r="I144" s="4"/>
    </row>
    <row r="145" spans="1:9" ht="15.9" x14ac:dyDescent="0.4">
      <c r="A145" s="4"/>
      <c r="B145" s="4"/>
      <c r="C145" s="4"/>
      <c r="D145" s="4"/>
      <c r="E145" s="4"/>
      <c r="F145" s="4"/>
      <c r="G145" s="4"/>
      <c r="H145" s="4"/>
      <c r="I145" s="4"/>
    </row>
    <row r="146" spans="1:9" ht="15.9" x14ac:dyDescent="0.4">
      <c r="A146" s="4"/>
      <c r="B146" s="4"/>
      <c r="C146" s="4"/>
      <c r="D146" s="4"/>
      <c r="E146" s="4"/>
      <c r="F146" s="4"/>
      <c r="G146" s="4"/>
      <c r="H146" s="4"/>
      <c r="I146" s="4"/>
    </row>
    <row r="147" spans="1:9" ht="15.9" x14ac:dyDescent="0.4">
      <c r="A147" s="4"/>
      <c r="B147" s="4"/>
      <c r="C147" s="4"/>
      <c r="D147" s="4"/>
      <c r="E147" s="4"/>
      <c r="F147" s="4"/>
      <c r="G147" s="4"/>
      <c r="H147" s="4"/>
      <c r="I147" s="4"/>
    </row>
    <row r="148" spans="1:9" ht="15.9" x14ac:dyDescent="0.4">
      <c r="A148" s="4"/>
      <c r="B148" s="4"/>
      <c r="C148" s="4"/>
      <c r="D148" s="4"/>
      <c r="E148" s="4"/>
      <c r="F148" s="4"/>
      <c r="G148" s="4"/>
      <c r="H148" s="4"/>
      <c r="I148" s="4"/>
    </row>
    <row r="149" spans="1:9" ht="15.9" x14ac:dyDescent="0.4">
      <c r="A149" s="4"/>
      <c r="B149" s="4"/>
      <c r="C149" s="4"/>
      <c r="D149" s="4"/>
      <c r="E149" s="4"/>
      <c r="F149" s="4"/>
      <c r="G149" s="4"/>
      <c r="H149" s="4"/>
      <c r="I149" s="4"/>
    </row>
    <row r="150" spans="1:9" ht="15.9" x14ac:dyDescent="0.4">
      <c r="A150" s="4"/>
      <c r="B150" s="4"/>
      <c r="C150" s="4"/>
      <c r="D150" s="4"/>
      <c r="E150" s="4"/>
      <c r="F150" s="4"/>
      <c r="G150" s="4"/>
      <c r="H150" s="4"/>
      <c r="I150" s="4"/>
    </row>
    <row r="151" spans="1:9" ht="15.9" x14ac:dyDescent="0.4">
      <c r="A151" s="4"/>
      <c r="B151" s="4"/>
      <c r="C151" s="4"/>
      <c r="D151" s="4"/>
      <c r="E151" s="4"/>
      <c r="F151" s="4"/>
      <c r="G151" s="4"/>
      <c r="H151" s="4"/>
      <c r="I151" s="4"/>
    </row>
    <row r="152" spans="1:9" ht="15.9" x14ac:dyDescent="0.4">
      <c r="A152" s="4"/>
      <c r="B152" s="4"/>
      <c r="C152" s="4"/>
      <c r="D152" s="4"/>
      <c r="E152" s="4"/>
      <c r="F152" s="4"/>
      <c r="G152" s="4"/>
      <c r="H152" s="4"/>
      <c r="I152" s="4"/>
    </row>
    <row r="153" spans="1:9" ht="15.9" x14ac:dyDescent="0.4">
      <c r="A153" s="4"/>
      <c r="B153" s="4"/>
      <c r="C153" s="4"/>
      <c r="D153" s="4"/>
      <c r="E153" s="4"/>
      <c r="F153" s="4"/>
      <c r="G153" s="4"/>
      <c r="H153" s="4"/>
      <c r="I153" s="4"/>
    </row>
    <row r="154" spans="1:9" ht="15.9" x14ac:dyDescent="0.4">
      <c r="A154" s="4"/>
      <c r="B154" s="4"/>
      <c r="C154" s="4"/>
      <c r="D154" s="4"/>
      <c r="E154" s="4"/>
      <c r="F154" s="4"/>
      <c r="G154" s="4"/>
      <c r="H154" s="4"/>
      <c r="I154" s="4"/>
    </row>
    <row r="155" spans="1:9" ht="15.9" x14ac:dyDescent="0.4">
      <c r="A155" s="4"/>
      <c r="B155" s="4"/>
      <c r="C155" s="4"/>
      <c r="D155" s="4"/>
      <c r="E155" s="4"/>
      <c r="F155" s="4"/>
      <c r="G155" s="4"/>
      <c r="H155" s="4"/>
      <c r="I155" s="4"/>
    </row>
    <row r="156" spans="1:9" ht="15.9" x14ac:dyDescent="0.4">
      <c r="A156" s="4"/>
      <c r="B156" s="4"/>
      <c r="C156" s="4"/>
      <c r="D156" s="4"/>
      <c r="E156" s="4"/>
      <c r="F156" s="4"/>
      <c r="G156" s="4"/>
      <c r="H156" s="4"/>
      <c r="I156" s="4"/>
    </row>
    <row r="157" spans="1:9" ht="15.9" x14ac:dyDescent="0.4">
      <c r="A157" s="4"/>
      <c r="B157" s="4"/>
      <c r="C157" s="4"/>
      <c r="D157" s="4"/>
      <c r="E157" s="4"/>
      <c r="F157" s="4"/>
      <c r="G157" s="4"/>
      <c r="H157" s="4"/>
      <c r="I157" s="4"/>
    </row>
    <row r="158" spans="1:9" ht="15.9" x14ac:dyDescent="0.4">
      <c r="A158" s="4"/>
      <c r="B158" s="4"/>
      <c r="C158" s="4"/>
      <c r="D158" s="4"/>
      <c r="E158" s="4"/>
      <c r="F158" s="4"/>
      <c r="G158" s="4"/>
      <c r="H158" s="4"/>
      <c r="I158" s="4"/>
    </row>
    <row r="159" spans="1:9" ht="15.9" x14ac:dyDescent="0.4">
      <c r="A159" s="4"/>
      <c r="B159" s="4"/>
      <c r="C159" s="4"/>
      <c r="D159" s="4"/>
      <c r="E159" s="4"/>
      <c r="F159" s="4"/>
      <c r="G159" s="4"/>
      <c r="H159" s="4"/>
      <c r="I159" s="4"/>
    </row>
    <row r="160" spans="1:9" ht="15.9" x14ac:dyDescent="0.4">
      <c r="A160" s="4"/>
      <c r="B160" s="4"/>
      <c r="C160" s="4"/>
      <c r="D160" s="4"/>
      <c r="E160" s="4"/>
      <c r="F160" s="4"/>
      <c r="G160" s="4"/>
      <c r="H160" s="4"/>
      <c r="I160" s="4"/>
    </row>
    <row r="161" spans="1:9" ht="15.9" x14ac:dyDescent="0.4">
      <c r="A161" s="4"/>
      <c r="B161" s="4"/>
      <c r="C161" s="4"/>
      <c r="D161" s="4"/>
      <c r="E161" s="4"/>
      <c r="F161" s="4"/>
      <c r="G161" s="4"/>
      <c r="H161" s="4"/>
      <c r="I161" s="4"/>
    </row>
    <row r="162" spans="1:9" ht="15.9" x14ac:dyDescent="0.4">
      <c r="A162" s="4"/>
      <c r="B162" s="4"/>
      <c r="C162" s="4"/>
      <c r="D162" s="4"/>
      <c r="E162" s="4"/>
      <c r="F162" s="4"/>
      <c r="G162" s="4"/>
      <c r="H162" s="4"/>
      <c r="I162" s="4"/>
    </row>
    <row r="163" spans="1:9" ht="15.9" x14ac:dyDescent="0.4">
      <c r="A163" s="4"/>
      <c r="B163" s="4"/>
      <c r="C163" s="4"/>
      <c r="D163" s="4"/>
      <c r="E163" s="4"/>
      <c r="F163" s="4"/>
      <c r="G163" s="4"/>
      <c r="H163" s="4"/>
      <c r="I163" s="4"/>
    </row>
    <row r="164" spans="1:9" ht="15.9" x14ac:dyDescent="0.4">
      <c r="A164" s="4"/>
      <c r="B164" s="4"/>
      <c r="C164" s="4"/>
      <c r="D164" s="4"/>
      <c r="E164" s="4"/>
      <c r="F164" s="4"/>
      <c r="G164" s="4"/>
      <c r="H164" s="4"/>
      <c r="I164" s="4"/>
    </row>
    <row r="165" spans="1:9" ht="15.9" x14ac:dyDescent="0.4">
      <c r="A165" s="4"/>
      <c r="B165" s="4"/>
      <c r="C165" s="4"/>
      <c r="D165" s="4"/>
      <c r="E165" s="4"/>
      <c r="F165" s="4"/>
      <c r="G165" s="4"/>
      <c r="H165" s="4"/>
      <c r="I165" s="4"/>
    </row>
    <row r="166" spans="1:9" ht="15.9" x14ac:dyDescent="0.4">
      <c r="A166" s="4"/>
      <c r="B166" s="4"/>
      <c r="C166" s="4"/>
      <c r="D166" s="4"/>
      <c r="E166" s="4"/>
      <c r="F166" s="4"/>
      <c r="G166" s="4"/>
      <c r="H166" s="4"/>
      <c r="I166" s="4"/>
    </row>
    <row r="167" spans="1:9" ht="15.9" x14ac:dyDescent="0.4">
      <c r="A167" s="4"/>
      <c r="B167" s="4"/>
      <c r="C167" s="4"/>
      <c r="D167" s="4"/>
      <c r="E167" s="4"/>
      <c r="F167" s="4"/>
      <c r="G167" s="4"/>
      <c r="H167" s="4"/>
      <c r="I167" s="4"/>
    </row>
    <row r="168" spans="1:9" ht="15.9" x14ac:dyDescent="0.4">
      <c r="A168" s="4"/>
      <c r="B168" s="4"/>
      <c r="C168" s="4"/>
      <c r="D168" s="4"/>
      <c r="E168" s="4"/>
      <c r="F168" s="4"/>
      <c r="G168" s="4"/>
      <c r="H168" s="4"/>
      <c r="I168" s="4"/>
    </row>
    <row r="169" spans="1:9" ht="15.9" x14ac:dyDescent="0.4">
      <c r="A169" s="4"/>
      <c r="B169" s="4"/>
      <c r="C169" s="4"/>
      <c r="D169" s="4"/>
      <c r="E169" s="4"/>
      <c r="F169" s="4"/>
      <c r="G169" s="4"/>
      <c r="H169" s="4"/>
      <c r="I169" s="4"/>
    </row>
    <row r="170" spans="1:9" ht="15.9" x14ac:dyDescent="0.4">
      <c r="A170" s="4"/>
      <c r="B170" s="4"/>
      <c r="C170" s="4"/>
      <c r="D170" s="4"/>
      <c r="E170" s="4"/>
      <c r="F170" s="4"/>
      <c r="G170" s="4"/>
      <c r="H170" s="4"/>
      <c r="I170" s="4"/>
    </row>
    <row r="171" spans="1:9" ht="15.9" x14ac:dyDescent="0.4">
      <c r="A171" s="4"/>
      <c r="B171" s="4"/>
      <c r="C171" s="4"/>
      <c r="D171" s="4"/>
      <c r="E171" s="4"/>
      <c r="F171" s="4"/>
      <c r="G171" s="4"/>
      <c r="H171" s="4"/>
      <c r="I171" s="4"/>
    </row>
    <row r="172" spans="1:9" ht="15.9" x14ac:dyDescent="0.4">
      <c r="A172" s="4"/>
      <c r="B172" s="4"/>
      <c r="C172" s="4"/>
      <c r="D172" s="4"/>
      <c r="E172" s="4"/>
      <c r="F172" s="4"/>
      <c r="G172" s="4"/>
      <c r="H172" s="4"/>
      <c r="I172" s="4"/>
    </row>
    <row r="173" spans="1:9" ht="15.9" x14ac:dyDescent="0.4">
      <c r="A173" s="4"/>
      <c r="B173" s="4"/>
      <c r="C173" s="4"/>
      <c r="D173" s="4"/>
      <c r="E173" s="4"/>
      <c r="F173" s="4"/>
      <c r="G173" s="4"/>
      <c r="H173" s="4"/>
      <c r="I173" s="4"/>
    </row>
    <row r="174" spans="1:9" ht="15.9" x14ac:dyDescent="0.4">
      <c r="A174" s="4"/>
      <c r="B174" s="4"/>
      <c r="C174" s="4"/>
      <c r="D174" s="4"/>
      <c r="E174" s="4"/>
      <c r="F174" s="4"/>
      <c r="G174" s="4"/>
      <c r="H174" s="4"/>
      <c r="I174" s="4"/>
    </row>
    <row r="175" spans="1:9" ht="15.9" x14ac:dyDescent="0.4">
      <c r="A175" s="4"/>
      <c r="B175" s="4"/>
      <c r="C175" s="4"/>
      <c r="D175" s="4"/>
      <c r="E175" s="4"/>
      <c r="F175" s="4"/>
      <c r="G175" s="4"/>
      <c r="H175" s="4"/>
      <c r="I175" s="4"/>
    </row>
    <row r="176" spans="1:9" ht="15.9" x14ac:dyDescent="0.4">
      <c r="A176" s="4"/>
      <c r="B176" s="4"/>
      <c r="C176" s="4"/>
      <c r="D176" s="4"/>
      <c r="E176" s="4"/>
      <c r="F176" s="4"/>
      <c r="G176" s="4"/>
      <c r="H176" s="4"/>
      <c r="I176" s="4"/>
    </row>
    <row r="177" spans="1:9" ht="15.9" x14ac:dyDescent="0.4">
      <c r="A177" s="4"/>
      <c r="B177" s="4"/>
      <c r="C177" s="4"/>
      <c r="D177" s="4"/>
      <c r="E177" s="4"/>
      <c r="F177" s="4"/>
      <c r="G177" s="4"/>
      <c r="H177" s="4"/>
      <c r="I177" s="4"/>
    </row>
    <row r="178" spans="1:9" ht="15.9" x14ac:dyDescent="0.4">
      <c r="A178" s="4"/>
      <c r="B178" s="4"/>
      <c r="C178" s="4"/>
      <c r="D178" s="4"/>
      <c r="E178" s="4"/>
      <c r="F178" s="4"/>
      <c r="G178" s="4"/>
      <c r="H178" s="4"/>
      <c r="I178" s="4"/>
    </row>
    <row r="179" spans="1:9" ht="15.9" x14ac:dyDescent="0.4">
      <c r="A179" s="4"/>
      <c r="B179" s="4"/>
      <c r="C179" s="4"/>
      <c r="D179" s="4"/>
      <c r="E179" s="4"/>
      <c r="F179" s="4"/>
      <c r="G179" s="4"/>
      <c r="H179" s="4"/>
      <c r="I179" s="4"/>
    </row>
    <row r="180" spans="1:9" ht="15.9" x14ac:dyDescent="0.4">
      <c r="A180" s="4"/>
      <c r="B180" s="4"/>
      <c r="C180" s="4"/>
      <c r="D180" s="4"/>
      <c r="E180" s="4"/>
      <c r="F180" s="4"/>
      <c r="G180" s="4"/>
      <c r="H180" s="4"/>
      <c r="I180" s="4"/>
    </row>
    <row r="181" spans="1:9" ht="15.9" x14ac:dyDescent="0.4">
      <c r="A181" s="4"/>
      <c r="B181" s="4"/>
      <c r="C181" s="4"/>
      <c r="D181" s="4"/>
      <c r="E181" s="4"/>
      <c r="F181" s="4"/>
      <c r="G181" s="4"/>
      <c r="H181" s="4"/>
      <c r="I181" s="4"/>
    </row>
    <row r="182" spans="1:9" ht="15.9" x14ac:dyDescent="0.4">
      <c r="A182" s="4"/>
      <c r="B182" s="4"/>
      <c r="C182" s="4"/>
      <c r="D182" s="4"/>
      <c r="E182" s="4"/>
      <c r="F182" s="4"/>
      <c r="G182" s="4"/>
      <c r="H182" s="4"/>
      <c r="I182" s="4"/>
    </row>
    <row r="183" spans="1:9" ht="15.9" x14ac:dyDescent="0.4">
      <c r="A183" s="4"/>
      <c r="B183" s="4"/>
      <c r="C183" s="4"/>
      <c r="D183" s="4"/>
      <c r="E183" s="4"/>
      <c r="F183" s="4"/>
      <c r="G183" s="4"/>
      <c r="H183" s="4"/>
      <c r="I183" s="4"/>
    </row>
    <row r="184" spans="1:9" ht="15.9" x14ac:dyDescent="0.4">
      <c r="A184" s="4"/>
      <c r="B184" s="4"/>
      <c r="C184" s="4"/>
      <c r="D184" s="4"/>
      <c r="E184" s="4"/>
      <c r="F184" s="4"/>
      <c r="G184" s="4"/>
      <c r="H184" s="4"/>
      <c r="I184" s="4"/>
    </row>
    <row r="185" spans="1:9" ht="15.9" x14ac:dyDescent="0.4">
      <c r="A185" s="4"/>
      <c r="B185" s="4"/>
      <c r="C185" s="4"/>
      <c r="D185" s="4"/>
      <c r="E185" s="4"/>
      <c r="F185" s="4"/>
      <c r="G185" s="4"/>
      <c r="H185" s="4"/>
      <c r="I185" s="4"/>
    </row>
    <row r="186" spans="1:9" ht="15.9" x14ac:dyDescent="0.4">
      <c r="A186" s="4"/>
      <c r="B186" s="4"/>
      <c r="C186" s="4"/>
      <c r="D186" s="4"/>
      <c r="E186" s="4"/>
      <c r="F186" s="4"/>
      <c r="G186" s="4"/>
      <c r="H186" s="4"/>
      <c r="I186" s="4"/>
    </row>
    <row r="187" spans="1:9" ht="15.9" x14ac:dyDescent="0.4">
      <c r="A187" s="4"/>
      <c r="B187" s="4"/>
      <c r="C187" s="4"/>
      <c r="D187" s="4"/>
      <c r="E187" s="4"/>
      <c r="F187" s="4"/>
      <c r="G187" s="4"/>
      <c r="H187" s="4"/>
      <c r="I187" s="4"/>
    </row>
    <row r="188" spans="1:9" ht="15.9" x14ac:dyDescent="0.4">
      <c r="A188" s="4"/>
      <c r="B188" s="4"/>
      <c r="C188" s="4"/>
      <c r="D188" s="4"/>
      <c r="E188" s="4"/>
      <c r="F188" s="4"/>
      <c r="G188" s="4"/>
      <c r="H188" s="4"/>
      <c r="I188" s="4"/>
    </row>
    <row r="189" spans="1:9" ht="15.9" x14ac:dyDescent="0.4">
      <c r="A189" s="4"/>
      <c r="B189" s="4"/>
      <c r="C189" s="4"/>
      <c r="D189" s="4"/>
      <c r="E189" s="4"/>
      <c r="F189" s="4"/>
      <c r="G189" s="4"/>
      <c r="H189" s="4"/>
      <c r="I189" s="4"/>
    </row>
    <row r="190" spans="1:9" ht="15.9" x14ac:dyDescent="0.4">
      <c r="A190" s="4"/>
      <c r="B190" s="4"/>
      <c r="C190" s="4"/>
      <c r="D190" s="4"/>
      <c r="E190" s="4"/>
      <c r="F190" s="4"/>
      <c r="G190" s="4"/>
      <c r="H190" s="4"/>
      <c r="I190" s="4"/>
    </row>
    <row r="191" spans="1:9" ht="15.9" x14ac:dyDescent="0.4">
      <c r="A191" s="4"/>
      <c r="B191" s="4"/>
      <c r="C191" s="4"/>
      <c r="D191" s="4"/>
      <c r="E191" s="4"/>
      <c r="F191" s="4"/>
      <c r="G191" s="4"/>
      <c r="H191" s="4"/>
      <c r="I191" s="4"/>
    </row>
    <row r="192" spans="1:9" ht="15.9" x14ac:dyDescent="0.4">
      <c r="A192" s="4"/>
      <c r="B192" s="4"/>
      <c r="C192" s="4"/>
      <c r="D192" s="4"/>
      <c r="E192" s="4"/>
      <c r="F192" s="4"/>
      <c r="G192" s="4"/>
      <c r="H192" s="4"/>
      <c r="I192" s="4"/>
    </row>
    <row r="193" spans="1:9" ht="15.9" x14ac:dyDescent="0.4">
      <c r="A193" s="4"/>
      <c r="B193" s="4"/>
      <c r="C193" s="4"/>
      <c r="D193" s="4"/>
      <c r="E193" s="4"/>
      <c r="F193" s="4"/>
      <c r="G193" s="4"/>
      <c r="H193" s="4"/>
      <c r="I193" s="4"/>
    </row>
    <row r="194" spans="1:9" ht="15.9" x14ac:dyDescent="0.4">
      <c r="A194" s="4"/>
      <c r="B194" s="4"/>
      <c r="C194" s="4"/>
      <c r="D194" s="4"/>
      <c r="E194" s="4"/>
      <c r="F194" s="4"/>
      <c r="G194" s="4"/>
      <c r="H194" s="4"/>
      <c r="I194" s="4"/>
    </row>
    <row r="195" spans="1:9" ht="15.9" x14ac:dyDescent="0.4">
      <c r="A195" s="4"/>
      <c r="B195" s="4"/>
      <c r="C195" s="4"/>
      <c r="D195" s="4"/>
      <c r="E195" s="4"/>
      <c r="F195" s="4"/>
      <c r="G195" s="4"/>
      <c r="H195" s="4"/>
      <c r="I195" s="4"/>
    </row>
    <row r="196" spans="1:9" ht="15.9" x14ac:dyDescent="0.4">
      <c r="A196" s="4"/>
      <c r="B196" s="4"/>
      <c r="C196" s="4"/>
      <c r="D196" s="4"/>
      <c r="E196" s="4"/>
      <c r="F196" s="4"/>
      <c r="G196" s="4"/>
      <c r="H196" s="4"/>
      <c r="I196" s="4"/>
    </row>
    <row r="197" spans="1:9" ht="15.9" x14ac:dyDescent="0.4">
      <c r="A197" s="4"/>
      <c r="B197" s="4"/>
      <c r="C197" s="4"/>
      <c r="D197" s="4"/>
      <c r="E197" s="4"/>
      <c r="F197" s="4"/>
      <c r="G197" s="4"/>
      <c r="H197" s="4"/>
      <c r="I197" s="4"/>
    </row>
    <row r="198" spans="1:9" ht="15.9" x14ac:dyDescent="0.4">
      <c r="A198" s="4"/>
      <c r="B198" s="4"/>
      <c r="C198" s="4"/>
      <c r="D198" s="4"/>
      <c r="E198" s="4"/>
      <c r="F198" s="4"/>
      <c r="G198" s="4"/>
      <c r="H198" s="4"/>
      <c r="I198" s="4"/>
    </row>
    <row r="199" spans="1:9" ht="15.9" x14ac:dyDescent="0.4">
      <c r="A199" s="4"/>
      <c r="B199" s="4"/>
      <c r="C199" s="4"/>
      <c r="D199" s="4"/>
      <c r="E199" s="4"/>
      <c r="F199" s="4"/>
      <c r="G199" s="4"/>
      <c r="H199" s="4"/>
      <c r="I199" s="4"/>
    </row>
    <row r="200" spans="1:9" ht="15.9" x14ac:dyDescent="0.4">
      <c r="A200" s="4"/>
      <c r="B200" s="4"/>
      <c r="C200" s="4"/>
      <c r="D200" s="4"/>
      <c r="E200" s="4"/>
      <c r="F200" s="4"/>
      <c r="G200" s="4"/>
      <c r="H200" s="4"/>
      <c r="I200" s="4"/>
    </row>
    <row r="201" spans="1:9" ht="15.9" x14ac:dyDescent="0.4">
      <c r="A201" s="4"/>
      <c r="B201" s="4"/>
      <c r="C201" s="4"/>
      <c r="D201" s="4"/>
      <c r="E201" s="4"/>
      <c r="F201" s="4"/>
      <c r="G201" s="4"/>
      <c r="H201" s="4"/>
      <c r="I201" s="4"/>
    </row>
    <row r="202" spans="1:9" ht="15.9" x14ac:dyDescent="0.4">
      <c r="A202" s="4"/>
      <c r="B202" s="4"/>
      <c r="C202" s="4"/>
      <c r="D202" s="4"/>
      <c r="E202" s="4"/>
      <c r="F202" s="4"/>
      <c r="G202" s="4"/>
      <c r="H202" s="4"/>
      <c r="I202" s="4"/>
    </row>
    <row r="203" spans="1:9" ht="15.9" x14ac:dyDescent="0.4">
      <c r="A203" s="4"/>
      <c r="B203" s="4"/>
      <c r="C203" s="4"/>
      <c r="D203" s="4"/>
      <c r="E203" s="4"/>
      <c r="F203" s="4"/>
      <c r="G203" s="4"/>
      <c r="H203" s="4"/>
      <c r="I203" s="4"/>
    </row>
    <row r="204" spans="1:9" ht="15.9" x14ac:dyDescent="0.4">
      <c r="A204" s="4"/>
      <c r="B204" s="4"/>
      <c r="C204" s="4"/>
      <c r="D204" s="4"/>
      <c r="E204" s="4"/>
      <c r="F204" s="4"/>
      <c r="G204" s="4"/>
      <c r="H204" s="4"/>
      <c r="I204" s="4"/>
    </row>
    <row r="205" spans="1:9" ht="15.9" x14ac:dyDescent="0.4">
      <c r="A205" s="4"/>
      <c r="B205" s="4"/>
      <c r="C205" s="4"/>
      <c r="D205" s="4"/>
      <c r="E205" s="4"/>
      <c r="F205" s="4"/>
      <c r="G205" s="4"/>
      <c r="H205" s="4"/>
      <c r="I205" s="4"/>
    </row>
    <row r="206" spans="1:9" ht="15.9" x14ac:dyDescent="0.4">
      <c r="A206" s="4"/>
      <c r="B206" s="4"/>
      <c r="C206" s="4"/>
      <c r="D206" s="4"/>
      <c r="E206" s="4"/>
      <c r="F206" s="4"/>
      <c r="G206" s="4"/>
      <c r="H206" s="4"/>
      <c r="I206" s="4"/>
    </row>
    <row r="207" spans="1:9" ht="15.9" x14ac:dyDescent="0.4">
      <c r="A207" s="4"/>
      <c r="B207" s="4"/>
      <c r="C207" s="4"/>
      <c r="D207" s="4"/>
      <c r="E207" s="4"/>
      <c r="F207" s="4"/>
      <c r="G207" s="4"/>
      <c r="H207" s="4"/>
      <c r="I207" s="4"/>
    </row>
    <row r="208" spans="1:9" ht="15.9" x14ac:dyDescent="0.4">
      <c r="A208" s="4"/>
      <c r="B208" s="4"/>
      <c r="C208" s="4"/>
      <c r="D208" s="4"/>
      <c r="E208" s="4"/>
      <c r="F208" s="4"/>
      <c r="G208" s="4"/>
      <c r="H208" s="4"/>
      <c r="I208" s="4"/>
    </row>
    <row r="209" spans="1:9" ht="15.9" x14ac:dyDescent="0.4">
      <c r="A209" s="4"/>
      <c r="B209" s="4"/>
      <c r="C209" s="4"/>
      <c r="D209" s="4"/>
      <c r="E209" s="4"/>
      <c r="F209" s="4"/>
      <c r="G209" s="4"/>
      <c r="H209" s="4"/>
      <c r="I209" s="4"/>
    </row>
    <row r="210" spans="1:9" ht="15.9" x14ac:dyDescent="0.4">
      <c r="A210" s="4"/>
      <c r="B210" s="4"/>
      <c r="C210" s="4"/>
      <c r="D210" s="4"/>
      <c r="E210" s="4"/>
      <c r="F210" s="4"/>
      <c r="G210" s="4"/>
      <c r="H210" s="4"/>
      <c r="I210" s="4"/>
    </row>
    <row r="211" spans="1:9" ht="15.9" x14ac:dyDescent="0.4">
      <c r="A211" s="4"/>
      <c r="B211" s="4"/>
      <c r="C211" s="4"/>
      <c r="D211" s="4"/>
      <c r="E211" s="4"/>
      <c r="F211" s="4"/>
      <c r="G211" s="4"/>
      <c r="H211" s="4"/>
      <c r="I211" s="4"/>
    </row>
    <row r="212" spans="1:9" ht="15.9" x14ac:dyDescent="0.4">
      <c r="A212" s="4"/>
      <c r="B212" s="4"/>
      <c r="C212" s="4"/>
      <c r="D212" s="4"/>
      <c r="E212" s="4"/>
      <c r="F212" s="4"/>
      <c r="G212" s="4"/>
      <c r="H212" s="4"/>
      <c r="I212" s="4"/>
    </row>
    <row r="213" spans="1:9" ht="15.9" x14ac:dyDescent="0.4">
      <c r="A213" s="4"/>
      <c r="B213" s="4"/>
      <c r="C213" s="4"/>
      <c r="D213" s="4"/>
      <c r="E213" s="4"/>
      <c r="F213" s="4"/>
      <c r="G213" s="4"/>
      <c r="H213" s="4"/>
      <c r="I213" s="4"/>
    </row>
    <row r="214" spans="1:9" ht="15.9" x14ac:dyDescent="0.4">
      <c r="A214" s="4"/>
      <c r="B214" s="4"/>
      <c r="C214" s="4"/>
      <c r="D214" s="4"/>
      <c r="E214" s="4"/>
      <c r="F214" s="4"/>
      <c r="G214" s="4"/>
      <c r="H214" s="4"/>
      <c r="I214" s="4"/>
    </row>
    <row r="215" spans="1:9" ht="15.9" x14ac:dyDescent="0.4">
      <c r="A215" s="4"/>
      <c r="B215" s="4"/>
      <c r="C215" s="4"/>
      <c r="D215" s="4"/>
      <c r="E215" s="4"/>
      <c r="F215" s="4"/>
      <c r="G215" s="4"/>
      <c r="H215" s="4"/>
      <c r="I215" s="4"/>
    </row>
    <row r="216" spans="1:9" ht="15.9" x14ac:dyDescent="0.4">
      <c r="A216" s="4"/>
      <c r="B216" s="4"/>
      <c r="C216" s="4"/>
      <c r="D216" s="4"/>
      <c r="E216" s="4"/>
      <c r="F216" s="4"/>
      <c r="G216" s="4"/>
      <c r="H216" s="4"/>
      <c r="I216" s="4"/>
    </row>
    <row r="217" spans="1:9" ht="15.9" x14ac:dyDescent="0.4">
      <c r="A217" s="4"/>
      <c r="B217" s="4"/>
      <c r="C217" s="4"/>
      <c r="D217" s="4"/>
      <c r="E217" s="4"/>
      <c r="F217" s="4"/>
      <c r="G217" s="4"/>
      <c r="H217" s="4"/>
      <c r="I217" s="4"/>
    </row>
    <row r="218" spans="1:9" ht="15.9" x14ac:dyDescent="0.4">
      <c r="A218" s="4"/>
      <c r="B218" s="4"/>
      <c r="C218" s="4"/>
      <c r="D218" s="4"/>
      <c r="E218" s="4"/>
      <c r="F218" s="4"/>
      <c r="G218" s="4"/>
      <c r="H218" s="4"/>
      <c r="I218" s="4"/>
    </row>
    <row r="219" spans="1:9" ht="15.9" x14ac:dyDescent="0.4">
      <c r="A219" s="4"/>
      <c r="B219" s="4"/>
      <c r="C219" s="4"/>
      <c r="D219" s="4"/>
      <c r="E219" s="4"/>
      <c r="F219" s="4"/>
      <c r="G219" s="4"/>
      <c r="H219" s="4"/>
      <c r="I219" s="4"/>
    </row>
    <row r="220" spans="1:9" ht="15.9" x14ac:dyDescent="0.4">
      <c r="A220" s="4"/>
      <c r="B220" s="4"/>
      <c r="C220" s="4"/>
      <c r="D220" s="4"/>
      <c r="E220" s="4"/>
      <c r="F220" s="4"/>
      <c r="G220" s="4"/>
      <c r="H220" s="4"/>
      <c r="I220" s="4"/>
    </row>
    <row r="221" spans="1:9" ht="15.9" x14ac:dyDescent="0.4">
      <c r="A221" s="4"/>
      <c r="B221" s="4"/>
      <c r="C221" s="4"/>
      <c r="D221" s="4"/>
      <c r="E221" s="4"/>
      <c r="F221" s="4"/>
      <c r="G221" s="4"/>
      <c r="H221" s="4"/>
      <c r="I221" s="4"/>
    </row>
    <row r="222" spans="1:9" ht="15.9" x14ac:dyDescent="0.4">
      <c r="A222" s="4"/>
      <c r="B222" s="4"/>
      <c r="C222" s="4"/>
      <c r="D222" s="4"/>
      <c r="E222" s="4"/>
      <c r="F222" s="4"/>
      <c r="G222" s="4"/>
      <c r="H222" s="4"/>
      <c r="I222" s="4"/>
    </row>
    <row r="223" spans="1:9" ht="15.9" x14ac:dyDescent="0.4">
      <c r="A223" s="4"/>
      <c r="B223" s="4"/>
      <c r="C223" s="4"/>
      <c r="D223" s="4"/>
      <c r="E223" s="4"/>
      <c r="F223" s="4"/>
      <c r="G223" s="4"/>
      <c r="H223" s="4"/>
      <c r="I223" s="4"/>
    </row>
    <row r="224" spans="1:9" ht="15.9" x14ac:dyDescent="0.4">
      <c r="A224" s="4"/>
      <c r="B224" s="4"/>
      <c r="C224" s="4"/>
      <c r="D224" s="4"/>
      <c r="E224" s="4"/>
      <c r="F224" s="4"/>
      <c r="G224" s="4"/>
      <c r="H224" s="4"/>
      <c r="I224" s="4"/>
    </row>
    <row r="225" spans="1:9" ht="15.9" x14ac:dyDescent="0.4">
      <c r="A225" s="4"/>
      <c r="B225" s="4"/>
      <c r="C225" s="4"/>
      <c r="D225" s="4"/>
      <c r="E225" s="4"/>
      <c r="F225" s="4"/>
      <c r="G225" s="4"/>
      <c r="H225" s="4"/>
      <c r="I225" s="4"/>
    </row>
    <row r="226" spans="1:9" ht="15.9" x14ac:dyDescent="0.4">
      <c r="A226" s="4"/>
      <c r="B226" s="4"/>
      <c r="C226" s="4"/>
      <c r="D226" s="4"/>
      <c r="E226" s="4"/>
      <c r="F226" s="4"/>
      <c r="G226" s="4"/>
      <c r="H226" s="4"/>
      <c r="I226" s="4"/>
    </row>
    <row r="227" spans="1:9" ht="15.9" x14ac:dyDescent="0.4">
      <c r="A227" s="4"/>
      <c r="B227" s="4"/>
      <c r="C227" s="4"/>
      <c r="D227" s="4"/>
      <c r="E227" s="4"/>
      <c r="F227" s="4"/>
      <c r="G227" s="4"/>
      <c r="H227" s="4"/>
      <c r="I227" s="4"/>
    </row>
    <row r="228" spans="1:9" ht="15.9" x14ac:dyDescent="0.4">
      <c r="A228" s="4"/>
      <c r="B228" s="4"/>
      <c r="C228" s="4"/>
      <c r="D228" s="4"/>
      <c r="E228" s="4"/>
      <c r="F228" s="4"/>
      <c r="G228" s="4"/>
      <c r="H228" s="4"/>
      <c r="I228" s="4"/>
    </row>
    <row r="229" spans="1:9" ht="15.9" x14ac:dyDescent="0.4">
      <c r="A229" s="4"/>
      <c r="B229" s="4"/>
      <c r="C229" s="4"/>
      <c r="D229" s="4"/>
      <c r="E229" s="4"/>
      <c r="F229" s="4"/>
      <c r="G229" s="4"/>
      <c r="H229" s="4"/>
      <c r="I229" s="4"/>
    </row>
    <row r="230" spans="1:9" ht="15.9" x14ac:dyDescent="0.4">
      <c r="A230" s="4"/>
      <c r="B230" s="4"/>
      <c r="C230" s="4"/>
      <c r="D230" s="4"/>
      <c r="E230" s="4"/>
      <c r="F230" s="4"/>
      <c r="G230" s="4"/>
      <c r="H230" s="4"/>
      <c r="I230" s="4"/>
    </row>
    <row r="231" spans="1:9" ht="15.9" x14ac:dyDescent="0.4">
      <c r="A231" s="4"/>
      <c r="B231" s="4"/>
      <c r="C231" s="4"/>
      <c r="D231" s="4"/>
      <c r="E231" s="4"/>
      <c r="F231" s="4"/>
      <c r="G231" s="4"/>
      <c r="H231" s="4"/>
      <c r="I231" s="4"/>
    </row>
    <row r="232" spans="1:9" ht="15.9" x14ac:dyDescent="0.4">
      <c r="A232" s="4"/>
      <c r="B232" s="4"/>
      <c r="C232" s="4"/>
      <c r="D232" s="4"/>
      <c r="E232" s="4"/>
      <c r="F232" s="4"/>
      <c r="G232" s="4"/>
      <c r="H232" s="4"/>
      <c r="I232" s="4"/>
    </row>
    <row r="233" spans="1:9" ht="15.9" x14ac:dyDescent="0.4">
      <c r="A233" s="4"/>
      <c r="B233" s="4"/>
      <c r="C233" s="4"/>
      <c r="D233" s="4"/>
      <c r="E233" s="4"/>
      <c r="F233" s="4"/>
      <c r="G233" s="4"/>
      <c r="H233" s="4"/>
      <c r="I233" s="4"/>
    </row>
    <row r="234" spans="1:9" ht="15.9" x14ac:dyDescent="0.4">
      <c r="A234" s="4"/>
      <c r="B234" s="4"/>
      <c r="C234" s="4"/>
      <c r="D234" s="4"/>
      <c r="E234" s="4"/>
      <c r="F234" s="4"/>
      <c r="G234" s="4"/>
      <c r="H234" s="4"/>
      <c r="I234" s="4"/>
    </row>
    <row r="235" spans="1:9" ht="15.9" x14ac:dyDescent="0.4">
      <c r="A235" s="4"/>
      <c r="B235" s="4"/>
      <c r="C235" s="4"/>
      <c r="D235" s="4"/>
      <c r="E235" s="4"/>
      <c r="F235" s="4"/>
      <c r="G235" s="4"/>
      <c r="H235" s="4"/>
      <c r="I235" s="4"/>
    </row>
    <row r="236" spans="1:9" ht="15.9" x14ac:dyDescent="0.4">
      <c r="A236" s="4"/>
      <c r="B236" s="4"/>
      <c r="C236" s="4"/>
      <c r="D236" s="4"/>
      <c r="E236" s="4"/>
      <c r="F236" s="4"/>
      <c r="G236" s="4"/>
      <c r="H236" s="4"/>
      <c r="I236" s="4"/>
    </row>
    <row r="237" spans="1:9" ht="15.9" x14ac:dyDescent="0.4">
      <c r="A237" s="4"/>
      <c r="B237" s="4"/>
      <c r="C237" s="4"/>
      <c r="D237" s="4"/>
      <c r="E237" s="4"/>
      <c r="F237" s="4"/>
      <c r="G237" s="4"/>
      <c r="H237" s="4"/>
      <c r="I237" s="4"/>
    </row>
    <row r="238" spans="1:9" ht="15.9" x14ac:dyDescent="0.4">
      <c r="A238" s="4"/>
      <c r="B238" s="4"/>
      <c r="C238" s="4"/>
      <c r="D238" s="4"/>
      <c r="E238" s="4"/>
      <c r="F238" s="4"/>
      <c r="G238" s="4"/>
      <c r="H238" s="4"/>
      <c r="I238" s="4"/>
    </row>
    <row r="239" spans="1:9" ht="15.9" x14ac:dyDescent="0.4">
      <c r="A239" s="4"/>
      <c r="B239" s="4"/>
      <c r="C239" s="4"/>
      <c r="D239" s="4"/>
      <c r="E239" s="4"/>
      <c r="F239" s="4"/>
      <c r="G239" s="4"/>
      <c r="H239" s="4"/>
      <c r="I239" s="4"/>
    </row>
    <row r="240" spans="1:9" ht="15.9" x14ac:dyDescent="0.4">
      <c r="A240" s="4"/>
      <c r="B240" s="4"/>
      <c r="C240" s="4"/>
      <c r="D240" s="4"/>
      <c r="E240" s="4"/>
      <c r="F240" s="4"/>
      <c r="G240" s="4"/>
      <c r="H240" s="4"/>
      <c r="I240" s="4"/>
    </row>
    <row r="241" spans="1:9" ht="15.9" x14ac:dyDescent="0.4">
      <c r="A241" s="4"/>
      <c r="B241" s="4"/>
      <c r="C241" s="4"/>
      <c r="D241" s="4"/>
      <c r="E241" s="4"/>
      <c r="F241" s="4"/>
      <c r="G241" s="4"/>
      <c r="H241" s="4"/>
      <c r="I241" s="4"/>
    </row>
    <row r="242" spans="1:9" ht="15.9" x14ac:dyDescent="0.4">
      <c r="A242" s="4"/>
      <c r="B242" s="4"/>
      <c r="C242" s="4"/>
      <c r="D242" s="4"/>
      <c r="E242" s="4"/>
      <c r="F242" s="4"/>
      <c r="G242" s="4"/>
      <c r="H242" s="4"/>
      <c r="I242" s="4"/>
    </row>
    <row r="243" spans="1:9" ht="15.9" x14ac:dyDescent="0.4">
      <c r="A243" s="4"/>
      <c r="B243" s="4"/>
      <c r="C243" s="4"/>
      <c r="D243" s="4"/>
      <c r="E243" s="4"/>
      <c r="F243" s="4"/>
      <c r="G243" s="4"/>
      <c r="H243" s="4"/>
      <c r="I243" s="4"/>
    </row>
    <row r="244" spans="1:9" ht="15.9" x14ac:dyDescent="0.4">
      <c r="A244" s="4"/>
      <c r="B244" s="4"/>
      <c r="C244" s="4"/>
      <c r="D244" s="4"/>
      <c r="E244" s="4"/>
      <c r="F244" s="4"/>
      <c r="G244" s="4"/>
      <c r="H244" s="4"/>
      <c r="I244" s="4"/>
    </row>
    <row r="245" spans="1:9" ht="15.9" x14ac:dyDescent="0.4">
      <c r="A245" s="4"/>
      <c r="B245" s="4"/>
      <c r="C245" s="4"/>
      <c r="D245" s="4"/>
      <c r="E245" s="4"/>
      <c r="F245" s="4"/>
      <c r="G245" s="4"/>
      <c r="H245" s="4"/>
      <c r="I245" s="4"/>
    </row>
    <row r="246" spans="1:9" ht="15.9" x14ac:dyDescent="0.4">
      <c r="A246" s="4"/>
      <c r="B246" s="4"/>
      <c r="C246" s="4"/>
      <c r="D246" s="4"/>
      <c r="E246" s="4"/>
      <c r="F246" s="4"/>
      <c r="G246" s="4"/>
      <c r="H246" s="4"/>
      <c r="I246" s="4"/>
    </row>
    <row r="247" spans="1:9" ht="15.9" x14ac:dyDescent="0.4">
      <c r="A247" s="4"/>
      <c r="B247" s="4"/>
      <c r="C247" s="4"/>
      <c r="D247" s="4"/>
      <c r="E247" s="4"/>
      <c r="F247" s="4"/>
      <c r="G247" s="4"/>
      <c r="H247" s="4"/>
      <c r="I247" s="4"/>
    </row>
    <row r="248" spans="1:9" ht="15.9" x14ac:dyDescent="0.4">
      <c r="A248" s="4"/>
      <c r="B248" s="4"/>
      <c r="C248" s="4"/>
      <c r="D248" s="4"/>
      <c r="E248" s="4"/>
      <c r="F248" s="4"/>
      <c r="G248" s="4"/>
      <c r="H248" s="4"/>
      <c r="I248" s="4"/>
    </row>
    <row r="249" spans="1:9" ht="15.9" x14ac:dyDescent="0.4">
      <c r="A249" s="4"/>
      <c r="B249" s="4"/>
      <c r="C249" s="4"/>
      <c r="D249" s="4"/>
      <c r="E249" s="4"/>
      <c r="F249" s="4"/>
      <c r="G249" s="4"/>
      <c r="H249" s="4"/>
      <c r="I249" s="4"/>
    </row>
    <row r="250" spans="1:9" ht="15.9" x14ac:dyDescent="0.4">
      <c r="A250" s="4"/>
      <c r="B250" s="4"/>
      <c r="C250" s="4"/>
      <c r="D250" s="4"/>
      <c r="E250" s="4"/>
      <c r="F250" s="4"/>
      <c r="G250" s="4"/>
      <c r="H250" s="4"/>
      <c r="I250" s="4"/>
    </row>
    <row r="251" spans="1:9" ht="15.9" x14ac:dyDescent="0.4">
      <c r="A251" s="4"/>
      <c r="B251" s="4"/>
      <c r="C251" s="4"/>
      <c r="D251" s="4"/>
      <c r="E251" s="4"/>
      <c r="F251" s="4"/>
      <c r="G251" s="4"/>
      <c r="H251" s="4"/>
      <c r="I251" s="4"/>
    </row>
    <row r="252" spans="1:9" ht="15.9" x14ac:dyDescent="0.4">
      <c r="A252" s="4"/>
      <c r="B252" s="4"/>
      <c r="C252" s="4"/>
      <c r="D252" s="4"/>
      <c r="E252" s="4"/>
      <c r="F252" s="4"/>
      <c r="G252" s="4"/>
      <c r="H252" s="4"/>
      <c r="I252" s="4"/>
    </row>
    <row r="253" spans="1:9" ht="15.9" x14ac:dyDescent="0.4">
      <c r="A253" s="4"/>
      <c r="B253" s="4"/>
      <c r="C253" s="4"/>
      <c r="D253" s="4"/>
      <c r="E253" s="4"/>
      <c r="F253" s="4"/>
      <c r="G253" s="4"/>
      <c r="H253" s="4"/>
      <c r="I253" s="4"/>
    </row>
    <row r="254" spans="1:9" ht="15.9" x14ac:dyDescent="0.4">
      <c r="A254" s="4"/>
      <c r="B254" s="4"/>
      <c r="C254" s="4"/>
      <c r="D254" s="4"/>
      <c r="E254" s="4"/>
      <c r="F254" s="4"/>
      <c r="G254" s="4"/>
      <c r="H254" s="4"/>
      <c r="I254" s="4"/>
    </row>
    <row r="255" spans="1:9" ht="15.9" x14ac:dyDescent="0.4">
      <c r="A255" s="4"/>
      <c r="B255" s="4"/>
      <c r="C255" s="4"/>
      <c r="D255" s="4"/>
      <c r="E255" s="4"/>
      <c r="F255" s="4"/>
      <c r="G255" s="4"/>
      <c r="H255" s="4"/>
      <c r="I255" s="4"/>
    </row>
    <row r="256" spans="1:9" ht="15.9" x14ac:dyDescent="0.4">
      <c r="A256" s="4"/>
      <c r="B256" s="4"/>
      <c r="C256" s="4"/>
      <c r="D256" s="4"/>
      <c r="E256" s="4"/>
      <c r="F256" s="4"/>
      <c r="G256" s="4"/>
      <c r="H256" s="4"/>
      <c r="I256" s="4"/>
    </row>
    <row r="257" spans="1:9" ht="15.9" x14ac:dyDescent="0.4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5.9" x14ac:dyDescent="0.4">
      <c r="A258" s="4"/>
      <c r="B258" s="4"/>
      <c r="C258" s="4"/>
      <c r="D258" s="4"/>
      <c r="E258" s="4"/>
      <c r="F258" s="4"/>
      <c r="G258" s="4"/>
      <c r="H258" s="4"/>
      <c r="I258" s="4"/>
    </row>
    <row r="259" spans="1:9" ht="15.9" x14ac:dyDescent="0.4">
      <c r="A259" s="4"/>
      <c r="B259" s="4"/>
      <c r="C259" s="4"/>
      <c r="D259" s="4"/>
      <c r="E259" s="4"/>
      <c r="F259" s="4"/>
      <c r="G259" s="4"/>
      <c r="H259" s="4"/>
      <c r="I259" s="4"/>
    </row>
    <row r="260" spans="1:9" ht="15.9" x14ac:dyDescent="0.4">
      <c r="A260" s="4"/>
      <c r="B260" s="4"/>
      <c r="C260" s="4"/>
      <c r="D260" s="4"/>
      <c r="E260" s="4"/>
      <c r="F260" s="4"/>
      <c r="G260" s="4"/>
      <c r="H260" s="4"/>
      <c r="I260" s="4"/>
    </row>
    <row r="261" spans="1:9" ht="15.9" x14ac:dyDescent="0.4">
      <c r="A261" s="4"/>
      <c r="B261" s="4"/>
      <c r="C261" s="4"/>
      <c r="D261" s="4"/>
      <c r="E261" s="4"/>
      <c r="F261" s="4"/>
      <c r="G261" s="4"/>
      <c r="H261" s="4"/>
      <c r="I261" s="4"/>
    </row>
    <row r="262" spans="1:9" ht="15.9" x14ac:dyDescent="0.4">
      <c r="A262" s="4"/>
      <c r="B262" s="4"/>
      <c r="C262" s="4"/>
      <c r="D262" s="4"/>
      <c r="E262" s="4"/>
      <c r="F262" s="4"/>
      <c r="G262" s="4"/>
      <c r="H262" s="4"/>
      <c r="I262" s="4"/>
    </row>
    <row r="263" spans="1:9" ht="15.9" x14ac:dyDescent="0.4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5.9" x14ac:dyDescent="0.4">
      <c r="A264" s="4"/>
      <c r="B264" s="4"/>
      <c r="C264" s="4"/>
      <c r="D264" s="4"/>
      <c r="E264" s="4"/>
      <c r="F264" s="4"/>
      <c r="G264" s="4"/>
      <c r="H264" s="4"/>
      <c r="I264" s="4"/>
    </row>
    <row r="265" spans="1:9" ht="15.9" x14ac:dyDescent="0.4">
      <c r="A265" s="4"/>
      <c r="B265" s="4"/>
      <c r="C265" s="4"/>
      <c r="D265" s="4"/>
      <c r="E265" s="4"/>
      <c r="F265" s="4"/>
      <c r="G265" s="4"/>
      <c r="H265" s="4"/>
      <c r="I265" s="4"/>
    </row>
    <row r="266" spans="1:9" ht="15.9" x14ac:dyDescent="0.4">
      <c r="A266" s="4"/>
      <c r="B266" s="4"/>
      <c r="C266" s="4"/>
      <c r="D266" s="4"/>
      <c r="E266" s="4"/>
      <c r="F266" s="4"/>
      <c r="G266" s="4"/>
      <c r="H266" s="4"/>
      <c r="I266" s="4"/>
    </row>
    <row r="267" spans="1:9" ht="15.9" x14ac:dyDescent="0.4">
      <c r="A267" s="4"/>
      <c r="B267" s="4"/>
      <c r="C267" s="4"/>
      <c r="D267" s="4"/>
      <c r="E267" s="4"/>
      <c r="F267" s="4"/>
      <c r="G267" s="4"/>
      <c r="H267" s="4"/>
      <c r="I267" s="4"/>
    </row>
    <row r="268" spans="1:9" ht="15.9" x14ac:dyDescent="0.4">
      <c r="A268" s="4"/>
      <c r="B268" s="4"/>
      <c r="C268" s="4"/>
      <c r="D268" s="4"/>
      <c r="E268" s="4"/>
      <c r="F268" s="4"/>
      <c r="G268" s="4"/>
      <c r="H268" s="4"/>
      <c r="I268" s="4"/>
    </row>
    <row r="269" spans="1:9" ht="15.9" x14ac:dyDescent="0.4">
      <c r="A269" s="4"/>
      <c r="B269" s="4"/>
      <c r="C269" s="4"/>
      <c r="D269" s="4"/>
      <c r="E269" s="4"/>
      <c r="F269" s="4"/>
      <c r="G269" s="4"/>
      <c r="H269" s="4"/>
      <c r="I269" s="4"/>
    </row>
    <row r="270" spans="1:9" ht="15.9" x14ac:dyDescent="0.4">
      <c r="A270" s="4"/>
      <c r="B270" s="4"/>
      <c r="C270" s="4"/>
      <c r="D270" s="4"/>
      <c r="E270" s="4"/>
      <c r="F270" s="4"/>
      <c r="G270" s="4"/>
      <c r="H270" s="4"/>
      <c r="I270" s="4"/>
    </row>
    <row r="271" spans="1:9" ht="15.9" x14ac:dyDescent="0.4">
      <c r="A271" s="4"/>
      <c r="B271" s="4"/>
      <c r="C271" s="4"/>
      <c r="D271" s="4"/>
      <c r="E271" s="4"/>
      <c r="F271" s="4"/>
      <c r="G271" s="4"/>
      <c r="H271" s="4"/>
      <c r="I271" s="4"/>
    </row>
    <row r="272" spans="1:9" ht="15.9" x14ac:dyDescent="0.4">
      <c r="A272" s="4"/>
      <c r="B272" s="4"/>
      <c r="C272" s="4"/>
      <c r="D272" s="4"/>
      <c r="E272" s="4"/>
      <c r="F272" s="4"/>
      <c r="G272" s="4"/>
      <c r="H272" s="4"/>
      <c r="I272" s="4"/>
    </row>
    <row r="273" spans="1:9" ht="15.9" x14ac:dyDescent="0.4">
      <c r="A273" s="4"/>
      <c r="B273" s="4"/>
      <c r="C273" s="4"/>
      <c r="D273" s="4"/>
      <c r="E273" s="4"/>
      <c r="F273" s="4"/>
      <c r="G273" s="4"/>
      <c r="H273" s="4"/>
      <c r="I273" s="4"/>
    </row>
    <row r="274" spans="1:9" ht="15.9" x14ac:dyDescent="0.4">
      <c r="A274" s="4"/>
      <c r="B274" s="4"/>
      <c r="C274" s="4"/>
      <c r="D274" s="4"/>
      <c r="E274" s="4"/>
      <c r="F274" s="4"/>
      <c r="G274" s="4"/>
      <c r="H274" s="4"/>
      <c r="I274" s="4"/>
    </row>
    <row r="275" spans="1:9" ht="15.9" x14ac:dyDescent="0.4">
      <c r="A275" s="4"/>
      <c r="B275" s="4"/>
      <c r="C275" s="4"/>
      <c r="D275" s="4"/>
      <c r="E275" s="4"/>
      <c r="F275" s="4"/>
      <c r="G275" s="4"/>
      <c r="H275" s="4"/>
      <c r="I275" s="4"/>
    </row>
    <row r="276" spans="1:9" ht="15.9" x14ac:dyDescent="0.4">
      <c r="A276" s="4"/>
      <c r="B276" s="4"/>
      <c r="C276" s="4"/>
      <c r="D276" s="4"/>
      <c r="E276" s="4"/>
      <c r="F276" s="4"/>
      <c r="G276" s="4"/>
      <c r="H276" s="4"/>
      <c r="I276" s="4"/>
    </row>
    <row r="277" spans="1:9" ht="15.9" x14ac:dyDescent="0.4">
      <c r="A277" s="4"/>
      <c r="B277" s="4"/>
      <c r="C277" s="4"/>
      <c r="D277" s="4"/>
      <c r="E277" s="4"/>
      <c r="F277" s="4"/>
      <c r="G277" s="4"/>
      <c r="H277" s="4"/>
      <c r="I277" s="4"/>
    </row>
    <row r="278" spans="1:9" ht="15.9" x14ac:dyDescent="0.4">
      <c r="A278" s="4"/>
      <c r="B278" s="4"/>
      <c r="C278" s="4"/>
      <c r="D278" s="4"/>
      <c r="E278" s="4"/>
      <c r="F278" s="4"/>
      <c r="G278" s="4"/>
      <c r="H278" s="4"/>
      <c r="I278" s="4"/>
    </row>
    <row r="279" spans="1:9" ht="15.9" x14ac:dyDescent="0.4">
      <c r="A279" s="4"/>
      <c r="B279" s="4"/>
      <c r="C279" s="4"/>
      <c r="D279" s="4"/>
      <c r="E279" s="4"/>
      <c r="F279" s="4"/>
      <c r="G279" s="4"/>
      <c r="H279" s="4"/>
      <c r="I279" s="4"/>
    </row>
    <row r="280" spans="1:9" ht="15.9" x14ac:dyDescent="0.4">
      <c r="A280" s="4"/>
      <c r="B280" s="4"/>
      <c r="C280" s="4"/>
      <c r="D280" s="4"/>
      <c r="E280" s="4"/>
      <c r="F280" s="4"/>
      <c r="G280" s="4"/>
      <c r="H280" s="4"/>
      <c r="I280" s="4"/>
    </row>
    <row r="281" spans="1:9" ht="15.9" x14ac:dyDescent="0.4">
      <c r="A281" s="4"/>
      <c r="B281" s="4"/>
      <c r="C281" s="4"/>
      <c r="D281" s="4"/>
      <c r="E281" s="4"/>
      <c r="F281" s="4"/>
      <c r="G281" s="4"/>
      <c r="H281" s="4"/>
      <c r="I281" s="4"/>
    </row>
    <row r="282" spans="1:9" ht="15.9" x14ac:dyDescent="0.4">
      <c r="A282" s="4"/>
      <c r="B282" s="4"/>
      <c r="C282" s="4"/>
      <c r="D282" s="4"/>
      <c r="E282" s="4"/>
      <c r="F282" s="4"/>
      <c r="G282" s="4"/>
      <c r="H282" s="4"/>
      <c r="I282" s="4"/>
    </row>
    <row r="283" spans="1:9" ht="15.9" x14ac:dyDescent="0.4">
      <c r="A283" s="4"/>
      <c r="B283" s="4"/>
      <c r="C283" s="4"/>
      <c r="D283" s="4"/>
      <c r="E283" s="4"/>
      <c r="F283" s="4"/>
      <c r="G283" s="4"/>
      <c r="H283" s="4"/>
      <c r="I283" s="4"/>
    </row>
    <row r="284" spans="1:9" ht="15.9" x14ac:dyDescent="0.4">
      <c r="A284" s="4"/>
      <c r="B284" s="4"/>
      <c r="C284" s="4"/>
      <c r="D284" s="4"/>
      <c r="E284" s="4"/>
      <c r="F284" s="4"/>
      <c r="G284" s="4"/>
      <c r="H284" s="4"/>
      <c r="I284" s="4"/>
    </row>
    <row r="285" spans="1:9" ht="15.9" x14ac:dyDescent="0.4">
      <c r="A285" s="4"/>
      <c r="B285" s="4"/>
      <c r="C285" s="4"/>
      <c r="D285" s="4"/>
      <c r="E285" s="4"/>
      <c r="F285" s="4"/>
      <c r="G285" s="4"/>
      <c r="H285" s="4"/>
      <c r="I285" s="4"/>
    </row>
    <row r="286" spans="1:9" ht="15.9" x14ac:dyDescent="0.4">
      <c r="A286" s="4"/>
      <c r="B286" s="4"/>
      <c r="C286" s="4"/>
      <c r="D286" s="4"/>
      <c r="E286" s="4"/>
      <c r="F286" s="4"/>
      <c r="G286" s="4"/>
      <c r="H286" s="4"/>
      <c r="I286" s="4"/>
    </row>
    <row r="287" spans="1:9" ht="15.9" x14ac:dyDescent="0.4">
      <c r="A287" s="4"/>
      <c r="B287" s="4"/>
      <c r="C287" s="4"/>
      <c r="D287" s="4"/>
      <c r="E287" s="4"/>
      <c r="F287" s="4"/>
      <c r="G287" s="4"/>
      <c r="H287" s="4"/>
      <c r="I287" s="4"/>
    </row>
    <row r="288" spans="1:9" ht="15.9" x14ac:dyDescent="0.4">
      <c r="A288" s="4"/>
      <c r="B288" s="4"/>
      <c r="C288" s="4"/>
      <c r="D288" s="4"/>
      <c r="E288" s="4"/>
      <c r="F288" s="4"/>
      <c r="G288" s="4"/>
      <c r="H288" s="4"/>
      <c r="I288" s="4"/>
    </row>
    <row r="289" spans="1:9" ht="15.9" x14ac:dyDescent="0.4">
      <c r="A289" s="4"/>
      <c r="B289" s="4"/>
      <c r="C289" s="4"/>
      <c r="D289" s="4"/>
      <c r="E289" s="4"/>
      <c r="F289" s="4"/>
      <c r="G289" s="4"/>
      <c r="H289" s="4"/>
      <c r="I289" s="4"/>
    </row>
    <row r="290" spans="1:9" ht="15.9" x14ac:dyDescent="0.4">
      <c r="A290" s="4"/>
      <c r="B290" s="4"/>
      <c r="C290" s="4"/>
      <c r="D290" s="4"/>
      <c r="E290" s="4"/>
      <c r="F290" s="4"/>
      <c r="G290" s="4"/>
      <c r="H290" s="4"/>
      <c r="I290" s="4"/>
    </row>
    <row r="291" spans="1:9" ht="15.9" x14ac:dyDescent="0.4">
      <c r="A291" s="4"/>
      <c r="B291" s="4"/>
      <c r="C291" s="4"/>
      <c r="D291" s="4"/>
      <c r="E291" s="4"/>
      <c r="F291" s="4"/>
      <c r="G291" s="4"/>
      <c r="H291" s="4"/>
      <c r="I291" s="4"/>
    </row>
    <row r="292" spans="1:9" ht="15.9" x14ac:dyDescent="0.4">
      <c r="A292" s="4"/>
      <c r="B292" s="4"/>
      <c r="C292" s="4"/>
      <c r="D292" s="4"/>
      <c r="E292" s="4"/>
      <c r="F292" s="4"/>
      <c r="G292" s="4"/>
      <c r="H292" s="4"/>
      <c r="I292" s="4"/>
    </row>
    <row r="293" spans="1:9" ht="15.9" x14ac:dyDescent="0.4">
      <c r="A293" s="4"/>
      <c r="B293" s="4"/>
      <c r="C293" s="4"/>
      <c r="D293" s="4"/>
      <c r="E293" s="4"/>
      <c r="F293" s="4"/>
      <c r="G293" s="4"/>
      <c r="H293" s="4"/>
      <c r="I293" s="4"/>
    </row>
    <row r="294" spans="1:9" ht="15.9" x14ac:dyDescent="0.4">
      <c r="A294" s="4"/>
      <c r="B294" s="4"/>
      <c r="C294" s="4"/>
      <c r="D294" s="4"/>
      <c r="E294" s="4"/>
      <c r="F294" s="4"/>
      <c r="G294" s="4"/>
      <c r="H294" s="4"/>
      <c r="I294" s="4"/>
    </row>
    <row r="295" spans="1:9" ht="15.9" x14ac:dyDescent="0.4">
      <c r="A295" s="4"/>
      <c r="B295" s="4"/>
      <c r="C295" s="4"/>
      <c r="D295" s="4"/>
      <c r="E295" s="4"/>
      <c r="F295" s="4"/>
      <c r="G295" s="4"/>
      <c r="H295" s="4"/>
      <c r="I295" s="4"/>
    </row>
    <row r="296" spans="1:9" ht="15.9" x14ac:dyDescent="0.4">
      <c r="A296" s="4"/>
      <c r="B296" s="4"/>
      <c r="C296" s="4"/>
      <c r="D296" s="4"/>
      <c r="E296" s="4"/>
      <c r="F296" s="4"/>
      <c r="G296" s="4"/>
      <c r="H296" s="4"/>
      <c r="I296" s="4"/>
    </row>
    <row r="297" spans="1:9" ht="15.9" x14ac:dyDescent="0.4">
      <c r="A297" s="4"/>
      <c r="B297" s="4"/>
      <c r="C297" s="4"/>
      <c r="D297" s="4"/>
      <c r="E297" s="4"/>
      <c r="F297" s="4"/>
      <c r="G297" s="4"/>
      <c r="H297" s="4"/>
      <c r="I297" s="4"/>
    </row>
    <row r="298" spans="1:9" ht="15.9" x14ac:dyDescent="0.4">
      <c r="A298" s="4"/>
      <c r="B298" s="4"/>
      <c r="C298" s="4"/>
      <c r="D298" s="4"/>
      <c r="E298" s="4"/>
      <c r="F298" s="4"/>
      <c r="G298" s="4"/>
      <c r="H298" s="4"/>
      <c r="I298" s="4"/>
    </row>
    <row r="299" spans="1:9" ht="15.9" x14ac:dyDescent="0.4">
      <c r="A299" s="4"/>
      <c r="B299" s="4"/>
      <c r="C299" s="4"/>
      <c r="D299" s="4"/>
      <c r="E299" s="4"/>
      <c r="F299" s="4"/>
      <c r="G299" s="4"/>
      <c r="H299" s="4"/>
      <c r="I299" s="4"/>
    </row>
    <row r="300" spans="1:9" ht="15.9" x14ac:dyDescent="0.4">
      <c r="A300" s="4"/>
      <c r="B300" s="4"/>
      <c r="C300" s="4"/>
      <c r="D300" s="4"/>
      <c r="E300" s="4"/>
      <c r="F300" s="4"/>
      <c r="G300" s="4"/>
      <c r="H300" s="4"/>
      <c r="I300" s="4"/>
    </row>
    <row r="301" spans="1:9" ht="15.9" x14ac:dyDescent="0.4">
      <c r="A301" s="4"/>
      <c r="B301" s="4"/>
      <c r="C301" s="4"/>
      <c r="D301" s="4"/>
      <c r="E301" s="4"/>
      <c r="F301" s="4"/>
      <c r="G301" s="4"/>
      <c r="H301" s="4"/>
      <c r="I301" s="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F4004-155B-4D95-8EB8-E30D033625AF}">
  <dimension ref="A1:I308"/>
  <sheetViews>
    <sheetView topLeftCell="A102" workbookViewId="0">
      <selection activeCell="B118" sqref="B118"/>
    </sheetView>
  </sheetViews>
  <sheetFormatPr defaultRowHeight="14.6" x14ac:dyDescent="0.4"/>
  <cols>
    <col min="1" max="1" width="16.53515625" customWidth="1"/>
    <col min="2" max="2" width="37.84375" customWidth="1"/>
    <col min="3" max="3" width="35.53515625" customWidth="1"/>
    <col min="4" max="4" width="14" customWidth="1"/>
    <col min="5" max="5" width="17.15234375" customWidth="1"/>
    <col min="6" max="6" width="26" customWidth="1"/>
    <col min="7" max="7" width="20.3828125" customWidth="1"/>
    <col min="8" max="8" width="13.53515625" customWidth="1"/>
    <col min="9" max="9" width="39.3828125" customWidth="1"/>
  </cols>
  <sheetData>
    <row r="1" spans="1:9" s="2" customFormat="1" ht="18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9" x14ac:dyDescent="0.4">
      <c r="A2" s="3">
        <v>45748</v>
      </c>
      <c r="B2" s="4" t="s">
        <v>202</v>
      </c>
      <c r="C2" s="4" t="s">
        <v>1236</v>
      </c>
      <c r="D2" s="4">
        <v>1740</v>
      </c>
      <c r="E2" s="4">
        <v>2</v>
      </c>
      <c r="F2" s="4" t="s">
        <v>35</v>
      </c>
      <c r="G2" s="4" t="s">
        <v>161</v>
      </c>
      <c r="H2" s="5">
        <v>340.21</v>
      </c>
      <c r="I2" s="4"/>
    </row>
    <row r="3" spans="1:9" ht="15.9" x14ac:dyDescent="0.4">
      <c r="A3" s="3">
        <v>45748</v>
      </c>
      <c r="B3" s="4" t="s">
        <v>38</v>
      </c>
      <c r="C3" s="4" t="s">
        <v>1237</v>
      </c>
      <c r="D3" s="4">
        <v>38000</v>
      </c>
      <c r="E3" s="4">
        <v>40</v>
      </c>
      <c r="F3" s="4" t="s">
        <v>756</v>
      </c>
      <c r="G3" s="4" t="s">
        <v>25</v>
      </c>
      <c r="H3" s="5">
        <v>3850</v>
      </c>
      <c r="I3" s="4"/>
    </row>
    <row r="4" spans="1:9" ht="15.9" x14ac:dyDescent="0.4">
      <c r="A4" s="3">
        <v>45748</v>
      </c>
      <c r="B4" s="4" t="s">
        <v>927</v>
      </c>
      <c r="C4" s="4" t="s">
        <v>1238</v>
      </c>
      <c r="D4" s="4">
        <v>13104</v>
      </c>
      <c r="E4" s="4">
        <v>15</v>
      </c>
      <c r="F4" s="4" t="s">
        <v>756</v>
      </c>
      <c r="G4" s="4" t="s">
        <v>25</v>
      </c>
      <c r="H4" s="5">
        <v>3750</v>
      </c>
      <c r="I4" s="4"/>
    </row>
    <row r="5" spans="1:9" ht="15.9" x14ac:dyDescent="0.4">
      <c r="A5" s="3">
        <v>45749</v>
      </c>
      <c r="B5" s="4" t="s">
        <v>1239</v>
      </c>
      <c r="C5" s="4" t="s">
        <v>1240</v>
      </c>
      <c r="D5" s="4">
        <v>9570</v>
      </c>
      <c r="E5" s="4">
        <v>11</v>
      </c>
      <c r="F5" s="4" t="s">
        <v>35</v>
      </c>
      <c r="G5" s="4" t="s">
        <v>161</v>
      </c>
      <c r="H5" s="5">
        <v>699.17</v>
      </c>
      <c r="I5" s="4"/>
    </row>
    <row r="6" spans="1:9" ht="15.9" x14ac:dyDescent="0.4">
      <c r="A6" s="3">
        <v>45750</v>
      </c>
      <c r="B6" s="4" t="s">
        <v>1241</v>
      </c>
      <c r="C6" s="4" t="s">
        <v>1242</v>
      </c>
      <c r="D6" s="4">
        <v>39840</v>
      </c>
      <c r="E6" s="4">
        <v>48</v>
      </c>
      <c r="F6" s="4" t="s">
        <v>756</v>
      </c>
      <c r="G6" s="4" t="s">
        <v>25</v>
      </c>
      <c r="H6" s="5">
        <v>1600</v>
      </c>
      <c r="I6" s="4"/>
    </row>
    <row r="7" spans="1:9" ht="15.9" x14ac:dyDescent="0.4">
      <c r="A7" s="3">
        <v>45750</v>
      </c>
      <c r="B7" s="4" t="s">
        <v>87</v>
      </c>
      <c r="C7" s="4" t="s">
        <v>1243</v>
      </c>
      <c r="D7" s="4">
        <v>38022</v>
      </c>
      <c r="E7" s="4">
        <v>46</v>
      </c>
      <c r="F7" s="4" t="s">
        <v>11</v>
      </c>
      <c r="G7" s="4" t="s">
        <v>12</v>
      </c>
      <c r="H7" s="5"/>
      <c r="I7" s="4"/>
    </row>
    <row r="8" spans="1:9" ht="15.9" x14ac:dyDescent="0.4">
      <c r="A8" s="3">
        <v>45750</v>
      </c>
      <c r="B8" s="4" t="s">
        <v>1244</v>
      </c>
      <c r="C8" s="4" t="s">
        <v>1245</v>
      </c>
      <c r="D8" s="4">
        <v>17588</v>
      </c>
      <c r="E8" s="4">
        <v>16</v>
      </c>
      <c r="F8" s="4" t="s">
        <v>756</v>
      </c>
      <c r="G8" s="4" t="s">
        <v>1119</v>
      </c>
      <c r="H8" s="5">
        <v>1950</v>
      </c>
      <c r="I8" s="4"/>
    </row>
    <row r="9" spans="1:9" ht="15.9" x14ac:dyDescent="0.4">
      <c r="A9" s="3">
        <v>45750</v>
      </c>
      <c r="B9" s="4" t="s">
        <v>1068</v>
      </c>
      <c r="C9" s="4" t="s">
        <v>1246</v>
      </c>
      <c r="D9" s="4">
        <v>16170</v>
      </c>
      <c r="E9" s="4">
        <v>22</v>
      </c>
      <c r="F9" s="4" t="s">
        <v>756</v>
      </c>
      <c r="G9" s="4" t="s">
        <v>19</v>
      </c>
      <c r="H9" s="5">
        <v>2700</v>
      </c>
      <c r="I9" s="4"/>
    </row>
    <row r="10" spans="1:9" ht="15.9" x14ac:dyDescent="0.4">
      <c r="A10" s="3">
        <v>45751</v>
      </c>
      <c r="B10" s="4" t="s">
        <v>168</v>
      </c>
      <c r="C10" s="4" t="s">
        <v>1247</v>
      </c>
      <c r="D10" s="4">
        <v>40920</v>
      </c>
      <c r="E10" s="4">
        <v>44</v>
      </c>
      <c r="F10" s="4" t="s">
        <v>756</v>
      </c>
      <c r="G10" s="4" t="s">
        <v>25</v>
      </c>
      <c r="H10" s="5">
        <v>2500</v>
      </c>
      <c r="I10" s="4"/>
    </row>
    <row r="11" spans="1:9" ht="15.9" x14ac:dyDescent="0.4">
      <c r="A11" s="3">
        <v>45751</v>
      </c>
      <c r="B11" s="4" t="s">
        <v>168</v>
      </c>
      <c r="C11" s="4" t="s">
        <v>1248</v>
      </c>
      <c r="D11" s="4">
        <v>29400</v>
      </c>
      <c r="E11" s="4">
        <v>40</v>
      </c>
      <c r="F11" s="4" t="s">
        <v>756</v>
      </c>
      <c r="G11" s="4" t="s">
        <v>25</v>
      </c>
      <c r="H11" s="5">
        <v>2500</v>
      </c>
      <c r="I11" s="4"/>
    </row>
    <row r="12" spans="1:9" ht="15.9" x14ac:dyDescent="0.4">
      <c r="A12" s="3">
        <v>45751</v>
      </c>
      <c r="B12" s="4" t="s">
        <v>168</v>
      </c>
      <c r="C12" s="4" t="s">
        <v>1249</v>
      </c>
      <c r="D12" s="4">
        <v>34150</v>
      </c>
      <c r="E12" s="4">
        <v>39</v>
      </c>
      <c r="F12" s="4" t="s">
        <v>756</v>
      </c>
      <c r="G12" s="4" t="s">
        <v>25</v>
      </c>
      <c r="H12" s="5">
        <v>2500</v>
      </c>
      <c r="I12" s="4"/>
    </row>
    <row r="13" spans="1:9" ht="15.9" x14ac:dyDescent="0.4">
      <c r="A13" s="3">
        <v>45751</v>
      </c>
      <c r="B13" s="4" t="s">
        <v>168</v>
      </c>
      <c r="C13" s="4" t="s">
        <v>1250</v>
      </c>
      <c r="D13" s="4">
        <v>40920</v>
      </c>
      <c r="E13" s="4">
        <v>44</v>
      </c>
      <c r="F13" s="4" t="s">
        <v>756</v>
      </c>
      <c r="G13" s="4" t="s">
        <v>25</v>
      </c>
      <c r="H13" s="5">
        <v>2500</v>
      </c>
      <c r="I13" s="4"/>
    </row>
    <row r="14" spans="1:9" ht="15.9" x14ac:dyDescent="0.4">
      <c r="A14" s="3">
        <v>45754</v>
      </c>
      <c r="B14" s="4" t="s">
        <v>159</v>
      </c>
      <c r="C14" s="4" t="s">
        <v>1251</v>
      </c>
      <c r="D14" s="4">
        <v>2280</v>
      </c>
      <c r="E14" s="4">
        <v>2</v>
      </c>
      <c r="F14" s="4" t="s">
        <v>35</v>
      </c>
      <c r="G14" s="4" t="s">
        <v>161</v>
      </c>
      <c r="H14" s="5">
        <v>244.42</v>
      </c>
      <c r="I14" s="4"/>
    </row>
    <row r="15" spans="1:9" ht="15.9" x14ac:dyDescent="0.4">
      <c r="A15" s="3">
        <v>45754</v>
      </c>
      <c r="B15" s="4" t="s">
        <v>268</v>
      </c>
      <c r="C15" s="4" t="s">
        <v>1252</v>
      </c>
      <c r="D15" s="4">
        <v>33924</v>
      </c>
      <c r="E15" s="4">
        <v>44</v>
      </c>
      <c r="F15" s="4" t="s">
        <v>756</v>
      </c>
      <c r="G15" s="4" t="s">
        <v>25</v>
      </c>
      <c r="H15" s="5">
        <v>2550</v>
      </c>
      <c r="I15" s="4"/>
    </row>
    <row r="16" spans="1:9" ht="15.9" x14ac:dyDescent="0.4">
      <c r="A16" s="3">
        <v>45754</v>
      </c>
      <c r="B16" s="4" t="s">
        <v>268</v>
      </c>
      <c r="C16" s="4" t="s">
        <v>1253</v>
      </c>
      <c r="D16" s="4">
        <v>30840</v>
      </c>
      <c r="E16" s="4">
        <v>40</v>
      </c>
      <c r="F16" s="4" t="s">
        <v>756</v>
      </c>
      <c r="G16" s="4" t="s">
        <v>25</v>
      </c>
      <c r="H16" s="5">
        <v>2550</v>
      </c>
      <c r="I16" s="6"/>
    </row>
    <row r="17" spans="1:9" ht="15.9" x14ac:dyDescent="0.4">
      <c r="A17" s="3">
        <v>45755</v>
      </c>
      <c r="B17" s="4" t="s">
        <v>634</v>
      </c>
      <c r="C17" s="4" t="s">
        <v>1254</v>
      </c>
      <c r="D17" s="4">
        <v>37296</v>
      </c>
      <c r="E17" s="4">
        <v>48</v>
      </c>
      <c r="F17" s="4" t="s">
        <v>756</v>
      </c>
      <c r="G17" s="4" t="s">
        <v>25</v>
      </c>
      <c r="H17" s="5">
        <v>5500</v>
      </c>
      <c r="I17" s="4"/>
    </row>
    <row r="18" spans="1:9" ht="15.9" x14ac:dyDescent="0.4">
      <c r="A18" s="3">
        <v>45755</v>
      </c>
      <c r="B18" s="4" t="s">
        <v>634</v>
      </c>
      <c r="C18" s="4" t="s">
        <v>1255</v>
      </c>
      <c r="D18" s="4">
        <v>37296</v>
      </c>
      <c r="E18" s="4">
        <v>48</v>
      </c>
      <c r="F18" s="4" t="s">
        <v>756</v>
      </c>
      <c r="G18" s="4" t="s">
        <v>25</v>
      </c>
      <c r="H18" s="5">
        <v>5500</v>
      </c>
      <c r="I18" s="4"/>
    </row>
    <row r="19" spans="1:9" ht="15.9" x14ac:dyDescent="0.4">
      <c r="A19" s="3">
        <v>45755</v>
      </c>
      <c r="B19" s="4" t="s">
        <v>634</v>
      </c>
      <c r="C19" s="4" t="s">
        <v>1039</v>
      </c>
      <c r="D19" s="4">
        <v>37296</v>
      </c>
      <c r="E19" s="4">
        <v>48</v>
      </c>
      <c r="F19" s="4" t="s">
        <v>756</v>
      </c>
      <c r="G19" s="4" t="s">
        <v>25</v>
      </c>
      <c r="H19" s="5">
        <v>5500</v>
      </c>
      <c r="I19" s="4"/>
    </row>
    <row r="20" spans="1:9" ht="15.9" x14ac:dyDescent="0.4">
      <c r="A20" s="3">
        <v>45755</v>
      </c>
      <c r="B20" s="4" t="s">
        <v>634</v>
      </c>
      <c r="C20" s="4" t="s">
        <v>1256</v>
      </c>
      <c r="D20" s="4">
        <v>37296</v>
      </c>
      <c r="E20" s="4">
        <v>48</v>
      </c>
      <c r="F20" s="4" t="s">
        <v>756</v>
      </c>
      <c r="G20" s="4" t="s">
        <v>25</v>
      </c>
      <c r="H20" s="5">
        <v>5500</v>
      </c>
      <c r="I20" s="4"/>
    </row>
    <row r="21" spans="1:9" ht="15.9" x14ac:dyDescent="0.4">
      <c r="A21" s="3">
        <v>45755</v>
      </c>
      <c r="B21" s="4" t="s">
        <v>886</v>
      </c>
      <c r="C21" s="4" t="s">
        <v>887</v>
      </c>
      <c r="D21" s="4">
        <v>31158</v>
      </c>
      <c r="E21" s="4">
        <v>28</v>
      </c>
      <c r="F21" s="4" t="s">
        <v>756</v>
      </c>
      <c r="G21" s="4" t="s">
        <v>25</v>
      </c>
      <c r="H21" s="5">
        <v>5500</v>
      </c>
      <c r="I21" s="4"/>
    </row>
    <row r="22" spans="1:9" ht="15.9" x14ac:dyDescent="0.4">
      <c r="A22" s="3">
        <v>45755</v>
      </c>
      <c r="B22" s="4" t="s">
        <v>875</v>
      </c>
      <c r="C22" s="4" t="s">
        <v>907</v>
      </c>
      <c r="D22" s="4">
        <v>39216</v>
      </c>
      <c r="E22" s="4">
        <v>48</v>
      </c>
      <c r="F22" s="4" t="s">
        <v>11</v>
      </c>
      <c r="G22" s="4" t="s">
        <v>19</v>
      </c>
      <c r="H22" s="5">
        <v>2400</v>
      </c>
      <c r="I22" s="4"/>
    </row>
    <row r="23" spans="1:9" ht="15.9" x14ac:dyDescent="0.4">
      <c r="A23" s="3">
        <v>45755</v>
      </c>
      <c r="B23" s="4" t="s">
        <v>1257</v>
      </c>
      <c r="C23" s="4" t="s">
        <v>1258</v>
      </c>
      <c r="D23" s="4">
        <v>9460</v>
      </c>
      <c r="E23" s="4">
        <v>11</v>
      </c>
      <c r="F23" s="4" t="s">
        <v>35</v>
      </c>
      <c r="G23" s="4" t="s">
        <v>161</v>
      </c>
      <c r="H23" s="5">
        <v>1465.29</v>
      </c>
      <c r="I23" s="4"/>
    </row>
    <row r="24" spans="1:9" ht="15.9" x14ac:dyDescent="0.4">
      <c r="A24" s="3">
        <v>45755</v>
      </c>
      <c r="B24" s="4" t="s">
        <v>1068</v>
      </c>
      <c r="C24" s="4" t="s">
        <v>1259</v>
      </c>
      <c r="D24" s="4">
        <v>13107</v>
      </c>
      <c r="E24" s="4">
        <v>17</v>
      </c>
      <c r="F24" s="4" t="s">
        <v>756</v>
      </c>
      <c r="G24" s="4" t="s">
        <v>1119</v>
      </c>
      <c r="H24" s="5">
        <v>2700</v>
      </c>
      <c r="I24" s="4"/>
    </row>
    <row r="25" spans="1:9" ht="15.9" x14ac:dyDescent="0.4">
      <c r="A25" s="3">
        <v>45756</v>
      </c>
      <c r="B25" s="4" t="s">
        <v>634</v>
      </c>
      <c r="C25" s="4" t="s">
        <v>1260</v>
      </c>
      <c r="D25" s="4">
        <v>37296</v>
      </c>
      <c r="E25" s="4">
        <v>48</v>
      </c>
      <c r="F25" s="4" t="s">
        <v>756</v>
      </c>
      <c r="G25" s="4" t="s">
        <v>25</v>
      </c>
      <c r="H25" s="5">
        <v>5500</v>
      </c>
      <c r="I25" s="4"/>
    </row>
    <row r="26" spans="1:9" ht="15.9" x14ac:dyDescent="0.4">
      <c r="A26" s="3">
        <v>45756</v>
      </c>
      <c r="B26" s="4" t="s">
        <v>634</v>
      </c>
      <c r="C26" s="4" t="s">
        <v>1261</v>
      </c>
      <c r="D26" s="4">
        <v>37296</v>
      </c>
      <c r="E26" s="4">
        <v>48</v>
      </c>
      <c r="F26" s="4" t="s">
        <v>756</v>
      </c>
      <c r="G26" s="4" t="s">
        <v>25</v>
      </c>
      <c r="H26" s="5">
        <v>5500</v>
      </c>
      <c r="I26" s="4"/>
    </row>
    <row r="27" spans="1:9" ht="15.9" x14ac:dyDescent="0.4">
      <c r="A27" s="3">
        <v>45756</v>
      </c>
      <c r="B27" s="4" t="s">
        <v>1262</v>
      </c>
      <c r="C27" s="4" t="s">
        <v>1176</v>
      </c>
      <c r="D27" s="4">
        <v>20425</v>
      </c>
      <c r="E27" s="4">
        <v>25</v>
      </c>
      <c r="F27" s="4" t="s">
        <v>756</v>
      </c>
      <c r="G27" s="4" t="s">
        <v>1119</v>
      </c>
      <c r="H27" s="5">
        <v>2400</v>
      </c>
      <c r="I27" s="4"/>
    </row>
    <row r="28" spans="1:9" ht="15.9" x14ac:dyDescent="0.4">
      <c r="A28" s="3">
        <v>45756</v>
      </c>
      <c r="B28" s="4" t="s">
        <v>268</v>
      </c>
      <c r="C28" s="6" t="s">
        <v>1252</v>
      </c>
      <c r="D28" s="4">
        <v>38720</v>
      </c>
      <c r="E28" s="4">
        <v>44</v>
      </c>
      <c r="F28" s="4" t="s">
        <v>756</v>
      </c>
      <c r="G28" s="4" t="s">
        <v>25</v>
      </c>
      <c r="H28" s="5">
        <v>2550</v>
      </c>
      <c r="I28" s="4"/>
    </row>
    <row r="29" spans="1:9" ht="15.9" x14ac:dyDescent="0.4">
      <c r="A29" s="3">
        <v>45756</v>
      </c>
      <c r="B29" s="4" t="s">
        <v>13</v>
      </c>
      <c r="C29" s="6" t="s">
        <v>1263</v>
      </c>
      <c r="D29" s="4">
        <v>11472</v>
      </c>
      <c r="E29" s="4">
        <v>13</v>
      </c>
      <c r="F29" s="4" t="s">
        <v>35</v>
      </c>
      <c r="G29" s="4" t="s">
        <v>161</v>
      </c>
      <c r="H29" s="5">
        <v>726.54</v>
      </c>
      <c r="I29" s="4"/>
    </row>
    <row r="30" spans="1:9" ht="15.9" x14ac:dyDescent="0.4">
      <c r="A30" s="3">
        <v>45756</v>
      </c>
      <c r="B30" s="4" t="s">
        <v>781</v>
      </c>
      <c r="C30" s="4" t="s">
        <v>1264</v>
      </c>
      <c r="D30" s="4">
        <v>2940</v>
      </c>
      <c r="E30" s="4">
        <v>4</v>
      </c>
      <c r="F30" s="4" t="s">
        <v>35</v>
      </c>
      <c r="G30" s="4" t="s">
        <v>161</v>
      </c>
      <c r="H30" s="5">
        <v>943.17</v>
      </c>
      <c r="I30" s="4"/>
    </row>
    <row r="31" spans="1:9" ht="15.9" x14ac:dyDescent="0.4">
      <c r="A31" s="3">
        <v>45756</v>
      </c>
      <c r="B31" s="4" t="s">
        <v>875</v>
      </c>
      <c r="C31" s="4" t="s">
        <v>907</v>
      </c>
      <c r="D31" s="4">
        <v>35948</v>
      </c>
      <c r="E31" s="4">
        <v>44</v>
      </c>
      <c r="F31" s="4" t="s">
        <v>11</v>
      </c>
      <c r="G31" s="4" t="s">
        <v>19</v>
      </c>
      <c r="H31" s="5">
        <v>2400</v>
      </c>
      <c r="I31" s="4"/>
    </row>
    <row r="32" spans="1:9" ht="15.9" x14ac:dyDescent="0.4">
      <c r="A32" s="3">
        <v>45756</v>
      </c>
      <c r="B32" s="4" t="s">
        <v>268</v>
      </c>
      <c r="C32" s="4" t="s">
        <v>1253</v>
      </c>
      <c r="D32" s="4">
        <v>20460</v>
      </c>
      <c r="E32" s="4">
        <v>22</v>
      </c>
      <c r="F32" s="4" t="s">
        <v>756</v>
      </c>
      <c r="G32" s="4" t="s">
        <v>25</v>
      </c>
      <c r="H32" s="5">
        <v>2550</v>
      </c>
      <c r="I32" s="4"/>
    </row>
    <row r="33" spans="1:9" ht="15.9" x14ac:dyDescent="0.4">
      <c r="A33" s="3">
        <v>45756</v>
      </c>
      <c r="B33" s="4" t="s">
        <v>1265</v>
      </c>
      <c r="C33" s="4" t="s">
        <v>1266</v>
      </c>
      <c r="D33" s="4">
        <v>10480</v>
      </c>
      <c r="E33" s="4">
        <v>11</v>
      </c>
      <c r="F33" s="4" t="s">
        <v>35</v>
      </c>
      <c r="G33" s="4" t="s">
        <v>161</v>
      </c>
      <c r="H33" s="5">
        <v>1516.33</v>
      </c>
      <c r="I33" s="4"/>
    </row>
    <row r="34" spans="1:9" ht="15.9" x14ac:dyDescent="0.4">
      <c r="A34" s="3">
        <v>45756</v>
      </c>
      <c r="B34" s="4" t="s">
        <v>1267</v>
      </c>
      <c r="C34" s="4" t="s">
        <v>1132</v>
      </c>
      <c r="D34" s="4">
        <v>40194</v>
      </c>
      <c r="E34" s="4">
        <v>50</v>
      </c>
      <c r="F34" s="4" t="s">
        <v>11</v>
      </c>
      <c r="G34" s="4" t="s">
        <v>19</v>
      </c>
      <c r="H34" s="5">
        <v>5800</v>
      </c>
      <c r="I34" s="4"/>
    </row>
    <row r="35" spans="1:9" ht="15.9" x14ac:dyDescent="0.4">
      <c r="A35" s="3">
        <v>45756</v>
      </c>
      <c r="B35" s="4" t="s">
        <v>634</v>
      </c>
      <c r="C35" s="4" t="s">
        <v>1268</v>
      </c>
      <c r="D35" s="4">
        <v>37296</v>
      </c>
      <c r="E35" s="4">
        <v>48</v>
      </c>
      <c r="F35" s="4" t="s">
        <v>756</v>
      </c>
      <c r="G35" s="4" t="s">
        <v>25</v>
      </c>
      <c r="H35" s="5">
        <v>5500</v>
      </c>
      <c r="I35" s="4"/>
    </row>
    <row r="36" spans="1:9" ht="15.9" x14ac:dyDescent="0.4">
      <c r="A36" s="3">
        <v>45757</v>
      </c>
      <c r="B36" s="4" t="s">
        <v>163</v>
      </c>
      <c r="C36" s="4" t="s">
        <v>1269</v>
      </c>
      <c r="D36" s="4">
        <v>41760</v>
      </c>
      <c r="E36" s="4">
        <v>48</v>
      </c>
      <c r="F36" s="4" t="s">
        <v>756</v>
      </c>
      <c r="G36" s="4" t="s">
        <v>19</v>
      </c>
      <c r="H36" s="5">
        <v>1475</v>
      </c>
      <c r="I36" s="4"/>
    </row>
    <row r="37" spans="1:9" ht="15.9" x14ac:dyDescent="0.4">
      <c r="A37" s="3">
        <v>45757</v>
      </c>
      <c r="B37" s="4" t="s">
        <v>38</v>
      </c>
      <c r="C37" s="4" t="s">
        <v>1270</v>
      </c>
      <c r="D37" s="4">
        <v>24360</v>
      </c>
      <c r="E37" s="4">
        <v>28</v>
      </c>
      <c r="F37" s="4" t="s">
        <v>756</v>
      </c>
      <c r="G37" s="4" t="s">
        <v>1119</v>
      </c>
      <c r="H37" s="5">
        <v>3300</v>
      </c>
      <c r="I37" s="4"/>
    </row>
    <row r="38" spans="1:9" ht="15.9" x14ac:dyDescent="0.4">
      <c r="A38" s="3">
        <v>45757</v>
      </c>
      <c r="B38" s="4" t="s">
        <v>17</v>
      </c>
      <c r="C38" s="4" t="s">
        <v>1271</v>
      </c>
      <c r="D38" s="4">
        <v>35280</v>
      </c>
      <c r="E38" s="4">
        <v>48</v>
      </c>
      <c r="F38" s="4" t="s">
        <v>756</v>
      </c>
      <c r="G38" s="4" t="s">
        <v>25</v>
      </c>
      <c r="H38" s="5">
        <v>1850</v>
      </c>
      <c r="I38" s="4"/>
    </row>
    <row r="39" spans="1:9" ht="15.9" x14ac:dyDescent="0.4">
      <c r="A39" s="3">
        <v>45757</v>
      </c>
      <c r="B39" s="4" t="s">
        <v>1272</v>
      </c>
      <c r="C39" s="4" t="s">
        <v>1273</v>
      </c>
      <c r="D39" s="4">
        <v>771</v>
      </c>
      <c r="E39" s="4">
        <v>1</v>
      </c>
      <c r="F39" s="4" t="s">
        <v>35</v>
      </c>
      <c r="G39" s="4" t="s">
        <v>161</v>
      </c>
      <c r="H39" s="5">
        <v>265.33</v>
      </c>
      <c r="I39" s="4"/>
    </row>
    <row r="40" spans="1:9" ht="15.9" x14ac:dyDescent="0.4">
      <c r="A40" s="3">
        <v>45757</v>
      </c>
      <c r="B40" s="4" t="s">
        <v>17</v>
      </c>
      <c r="C40" s="4" t="s">
        <v>1274</v>
      </c>
      <c r="D40" s="4">
        <v>1542</v>
      </c>
      <c r="E40" s="4">
        <v>2</v>
      </c>
      <c r="F40" s="4" t="s">
        <v>35</v>
      </c>
      <c r="G40" s="4" t="s">
        <v>161</v>
      </c>
      <c r="H40" s="5">
        <v>389.98</v>
      </c>
      <c r="I40" s="4"/>
    </row>
    <row r="41" spans="1:9" ht="15.9" x14ac:dyDescent="0.4">
      <c r="A41" s="3">
        <v>45757</v>
      </c>
      <c r="B41" s="4" t="s">
        <v>1275</v>
      </c>
      <c r="C41" s="4" t="s">
        <v>1276</v>
      </c>
      <c r="D41" s="4">
        <v>1470</v>
      </c>
      <c r="E41" s="4">
        <v>2</v>
      </c>
      <c r="F41" s="4" t="s">
        <v>35</v>
      </c>
      <c r="G41" s="4" t="s">
        <v>12</v>
      </c>
      <c r="H41" s="5"/>
      <c r="I41" s="4"/>
    </row>
    <row r="42" spans="1:9" ht="15.9" x14ac:dyDescent="0.4">
      <c r="A42" s="3">
        <v>45757</v>
      </c>
      <c r="B42" s="4" t="s">
        <v>17</v>
      </c>
      <c r="C42" s="4" t="s">
        <v>1277</v>
      </c>
      <c r="D42" s="4">
        <v>35280</v>
      </c>
      <c r="E42" s="4">
        <v>48</v>
      </c>
      <c r="F42" s="4" t="s">
        <v>756</v>
      </c>
      <c r="G42" s="4" t="s">
        <v>25</v>
      </c>
      <c r="H42" s="5">
        <v>1850</v>
      </c>
      <c r="I42" s="4"/>
    </row>
    <row r="43" spans="1:9" ht="15.9" x14ac:dyDescent="0.4">
      <c r="A43" s="3">
        <v>45757</v>
      </c>
      <c r="B43" s="4" t="s">
        <v>1278</v>
      </c>
      <c r="C43" s="4" t="s">
        <v>1279</v>
      </c>
      <c r="D43" s="4">
        <v>4800</v>
      </c>
      <c r="E43" s="4">
        <v>5</v>
      </c>
      <c r="F43" s="4" t="s">
        <v>35</v>
      </c>
      <c r="G43" s="4" t="s">
        <v>12</v>
      </c>
      <c r="H43" s="5"/>
      <c r="I43" s="4"/>
    </row>
    <row r="44" spans="1:9" ht="15.9" x14ac:dyDescent="0.4">
      <c r="A44" s="3">
        <v>45757</v>
      </c>
      <c r="B44" s="4" t="s">
        <v>38</v>
      </c>
      <c r="C44" s="4" t="s">
        <v>1280</v>
      </c>
      <c r="D44" s="4">
        <v>21500</v>
      </c>
      <c r="E44" s="4">
        <v>25</v>
      </c>
      <c r="F44" s="4" t="s">
        <v>756</v>
      </c>
      <c r="G44" s="4" t="s">
        <v>1119</v>
      </c>
      <c r="H44" s="5">
        <v>3300</v>
      </c>
      <c r="I44" s="4"/>
    </row>
    <row r="45" spans="1:9" ht="15.9" x14ac:dyDescent="0.4">
      <c r="A45" s="3">
        <v>45761</v>
      </c>
      <c r="B45" s="4" t="s">
        <v>183</v>
      </c>
      <c r="C45" s="4" t="s">
        <v>1281</v>
      </c>
      <c r="D45" s="4">
        <v>25970</v>
      </c>
      <c r="E45" s="4">
        <v>28</v>
      </c>
      <c r="F45" s="4" t="s">
        <v>756</v>
      </c>
      <c r="G45" s="4" t="s">
        <v>1119</v>
      </c>
      <c r="H45" s="5">
        <v>1400</v>
      </c>
      <c r="I45" s="4"/>
    </row>
    <row r="46" spans="1:9" ht="15.9" x14ac:dyDescent="0.4">
      <c r="A46" s="3">
        <v>45761</v>
      </c>
      <c r="B46" s="4" t="s">
        <v>349</v>
      </c>
      <c r="C46" s="4" t="s">
        <v>1282</v>
      </c>
      <c r="D46" s="4">
        <v>38280</v>
      </c>
      <c r="E46" s="4">
        <v>44</v>
      </c>
      <c r="F46" s="4" t="s">
        <v>756</v>
      </c>
      <c r="G46" s="4" t="s">
        <v>25</v>
      </c>
      <c r="H46" s="5">
        <v>1555.56</v>
      </c>
      <c r="I46" s="4"/>
    </row>
    <row r="47" spans="1:9" ht="15.9" x14ac:dyDescent="0.4">
      <c r="A47" s="3">
        <v>45761</v>
      </c>
      <c r="B47" s="4" t="s">
        <v>875</v>
      </c>
      <c r="C47" s="4" t="s">
        <v>907</v>
      </c>
      <c r="D47" s="4">
        <v>37330</v>
      </c>
      <c r="E47" s="4">
        <v>44</v>
      </c>
      <c r="F47" s="4" t="s">
        <v>11</v>
      </c>
      <c r="G47" s="4" t="s">
        <v>19</v>
      </c>
      <c r="H47" s="5">
        <v>2400</v>
      </c>
      <c r="I47" s="4"/>
    </row>
    <row r="48" spans="1:9" ht="15.9" x14ac:dyDescent="0.4">
      <c r="A48" s="3">
        <v>45761</v>
      </c>
      <c r="B48" s="4" t="s">
        <v>1149</v>
      </c>
      <c r="C48" s="4" t="s">
        <v>1283</v>
      </c>
      <c r="D48" s="4">
        <v>26288</v>
      </c>
      <c r="E48" s="4">
        <v>31</v>
      </c>
      <c r="F48" s="4" t="s">
        <v>11</v>
      </c>
      <c r="G48" s="4" t="s">
        <v>19</v>
      </c>
      <c r="H48" s="5">
        <v>5000</v>
      </c>
      <c r="I48" s="4"/>
    </row>
    <row r="49" spans="1:9" ht="15.9" x14ac:dyDescent="0.4">
      <c r="A49" s="3">
        <v>45761</v>
      </c>
      <c r="B49" s="4" t="s">
        <v>1284</v>
      </c>
      <c r="C49" s="4" t="s">
        <v>1285</v>
      </c>
      <c r="D49" s="4">
        <v>24080</v>
      </c>
      <c r="E49" s="4">
        <v>28</v>
      </c>
      <c r="F49" s="4" t="s">
        <v>11</v>
      </c>
      <c r="G49" s="4" t="s">
        <v>19</v>
      </c>
      <c r="H49" s="5">
        <v>3700</v>
      </c>
      <c r="I49" s="4"/>
    </row>
    <row r="50" spans="1:9" ht="15.9" x14ac:dyDescent="0.4">
      <c r="A50" s="3">
        <v>45762</v>
      </c>
      <c r="B50" s="4" t="s">
        <v>781</v>
      </c>
      <c r="C50" s="4" t="s">
        <v>1286</v>
      </c>
      <c r="D50" s="4">
        <v>4033</v>
      </c>
      <c r="E50" s="4">
        <v>5</v>
      </c>
      <c r="F50" s="4" t="s">
        <v>35</v>
      </c>
      <c r="G50" s="4" t="s">
        <v>161</v>
      </c>
      <c r="H50" s="5">
        <v>1171.98</v>
      </c>
      <c r="I50" s="6"/>
    </row>
    <row r="51" spans="1:9" ht="15.9" x14ac:dyDescent="0.4">
      <c r="A51" s="3">
        <v>45762</v>
      </c>
      <c r="B51" s="4" t="s">
        <v>1287</v>
      </c>
      <c r="C51" s="4" t="s">
        <v>1288</v>
      </c>
      <c r="D51" s="4">
        <v>10440</v>
      </c>
      <c r="E51" s="4">
        <v>12</v>
      </c>
      <c r="F51" s="4" t="s">
        <v>35</v>
      </c>
      <c r="G51" s="4" t="s">
        <v>161</v>
      </c>
      <c r="H51" s="5">
        <v>2292.67</v>
      </c>
      <c r="I51" s="4"/>
    </row>
    <row r="52" spans="1:9" ht="15.9" x14ac:dyDescent="0.4">
      <c r="A52" s="3">
        <v>45762</v>
      </c>
      <c r="B52" s="4" t="s">
        <v>17</v>
      </c>
      <c r="C52" s="4" t="s">
        <v>1289</v>
      </c>
      <c r="D52" s="4">
        <v>7353</v>
      </c>
      <c r="E52" s="4">
        <v>9</v>
      </c>
      <c r="F52" s="4" t="s">
        <v>35</v>
      </c>
      <c r="G52" s="4" t="s">
        <v>161</v>
      </c>
      <c r="H52" s="5">
        <v>884.03</v>
      </c>
      <c r="I52" s="4"/>
    </row>
    <row r="53" spans="1:9" ht="15.9" x14ac:dyDescent="0.4">
      <c r="A53" s="3">
        <v>45762</v>
      </c>
      <c r="B53" s="4" t="s">
        <v>1290</v>
      </c>
      <c r="C53" s="4" t="s">
        <v>1291</v>
      </c>
      <c r="D53" s="4">
        <v>19920</v>
      </c>
      <c r="E53" s="4">
        <v>23</v>
      </c>
      <c r="F53" s="4" t="s">
        <v>756</v>
      </c>
      <c r="G53" s="4" t="s">
        <v>1119</v>
      </c>
      <c r="H53" s="5">
        <v>3400</v>
      </c>
      <c r="I53" s="4"/>
    </row>
    <row r="54" spans="1:9" ht="15.9" x14ac:dyDescent="0.4">
      <c r="A54" s="3">
        <v>45763</v>
      </c>
      <c r="B54" s="4" t="s">
        <v>17</v>
      </c>
      <c r="C54" s="4" t="s">
        <v>1292</v>
      </c>
      <c r="D54" s="4">
        <v>39216</v>
      </c>
      <c r="E54" s="4">
        <v>48</v>
      </c>
      <c r="F54" s="4" t="s">
        <v>756</v>
      </c>
      <c r="G54" s="4" t="s">
        <v>25</v>
      </c>
      <c r="H54" s="5">
        <v>1850</v>
      </c>
      <c r="I54" s="4"/>
    </row>
    <row r="55" spans="1:9" ht="31.75" x14ac:dyDescent="0.4">
      <c r="A55" s="3">
        <v>45763</v>
      </c>
      <c r="B55" s="4" t="s">
        <v>1293</v>
      </c>
      <c r="C55" s="4" t="s">
        <v>1294</v>
      </c>
      <c r="D55" s="4">
        <v>33497</v>
      </c>
      <c r="E55" s="4">
        <v>41</v>
      </c>
      <c r="F55" s="4" t="s">
        <v>11</v>
      </c>
      <c r="G55" s="4" t="s">
        <v>25</v>
      </c>
      <c r="H55" s="5">
        <v>2700</v>
      </c>
      <c r="I55" s="6" t="s">
        <v>1295</v>
      </c>
    </row>
    <row r="56" spans="1:9" ht="15.9" x14ac:dyDescent="0.4">
      <c r="A56" s="3">
        <v>45763</v>
      </c>
      <c r="B56" s="4" t="s">
        <v>17</v>
      </c>
      <c r="C56" s="4" t="s">
        <v>1296</v>
      </c>
      <c r="D56" s="4">
        <v>39216</v>
      </c>
      <c r="E56" s="4">
        <v>48</v>
      </c>
      <c r="F56" s="4" t="s">
        <v>756</v>
      </c>
      <c r="G56" s="4" t="s">
        <v>25</v>
      </c>
      <c r="H56" s="5">
        <v>1850</v>
      </c>
      <c r="I56" s="4"/>
    </row>
    <row r="57" spans="1:9" ht="15.9" x14ac:dyDescent="0.4">
      <c r="A57" s="3">
        <v>45763</v>
      </c>
      <c r="B57" s="4" t="s">
        <v>17</v>
      </c>
      <c r="C57" s="4" t="s">
        <v>1297</v>
      </c>
      <c r="D57" s="4">
        <v>39216</v>
      </c>
      <c r="E57" s="4">
        <v>48</v>
      </c>
      <c r="F57" s="4" t="s">
        <v>756</v>
      </c>
      <c r="G57" s="4" t="s">
        <v>25</v>
      </c>
      <c r="H57" s="5">
        <v>1850</v>
      </c>
      <c r="I57" s="4"/>
    </row>
    <row r="58" spans="1:9" ht="15.9" x14ac:dyDescent="0.4">
      <c r="A58" s="3">
        <v>45763</v>
      </c>
      <c r="B58" s="4" t="s">
        <v>17</v>
      </c>
      <c r="C58" s="4" t="s">
        <v>1298</v>
      </c>
      <c r="D58" s="4">
        <v>39216</v>
      </c>
      <c r="E58" s="4">
        <v>48</v>
      </c>
      <c r="F58" s="4" t="s">
        <v>756</v>
      </c>
      <c r="G58" s="4" t="s">
        <v>25</v>
      </c>
      <c r="H58" s="5">
        <v>1850</v>
      </c>
      <c r="I58" s="4"/>
    </row>
    <row r="59" spans="1:9" ht="15.9" x14ac:dyDescent="0.4">
      <c r="A59" s="3">
        <v>44303</v>
      </c>
      <c r="B59" s="4" t="s">
        <v>17</v>
      </c>
      <c r="C59" s="4" t="s">
        <v>1299</v>
      </c>
      <c r="D59" s="4">
        <v>39216</v>
      </c>
      <c r="E59" s="4">
        <v>48</v>
      </c>
      <c r="F59" s="4" t="s">
        <v>756</v>
      </c>
      <c r="G59" s="4" t="s">
        <v>25</v>
      </c>
      <c r="H59" s="5">
        <v>1850</v>
      </c>
      <c r="I59" s="4"/>
    </row>
    <row r="60" spans="1:9" ht="15.9" x14ac:dyDescent="0.4">
      <c r="A60" s="3">
        <v>45768</v>
      </c>
      <c r="B60" s="4" t="s">
        <v>183</v>
      </c>
      <c r="C60" s="4" t="s">
        <v>1300</v>
      </c>
      <c r="D60" s="4">
        <v>41800</v>
      </c>
      <c r="E60" s="4">
        <v>44</v>
      </c>
      <c r="F60" s="4" t="s">
        <v>756</v>
      </c>
      <c r="G60" s="4" t="s">
        <v>25</v>
      </c>
      <c r="H60" s="5">
        <v>1400</v>
      </c>
      <c r="I60" s="4"/>
    </row>
    <row r="61" spans="1:9" ht="15.9" x14ac:dyDescent="0.4">
      <c r="A61" s="3">
        <v>45768</v>
      </c>
      <c r="B61" s="4" t="s">
        <v>385</v>
      </c>
      <c r="C61" s="4" t="s">
        <v>1301</v>
      </c>
      <c r="D61" s="4">
        <v>14706</v>
      </c>
      <c r="E61" s="4">
        <v>18</v>
      </c>
      <c r="F61" s="4" t="s">
        <v>756</v>
      </c>
      <c r="G61" s="4" t="s">
        <v>19</v>
      </c>
      <c r="H61" s="5">
        <v>1800</v>
      </c>
      <c r="I61" s="4"/>
    </row>
    <row r="62" spans="1:9" ht="15.9" x14ac:dyDescent="0.4">
      <c r="A62" s="3">
        <v>45768</v>
      </c>
      <c r="B62" s="4" t="s">
        <v>129</v>
      </c>
      <c r="C62" s="4" t="s">
        <v>1302</v>
      </c>
      <c r="D62" s="4">
        <v>12255</v>
      </c>
      <c r="E62" s="4">
        <v>15</v>
      </c>
      <c r="F62" s="4" t="s">
        <v>756</v>
      </c>
      <c r="G62" s="4" t="s">
        <v>1119</v>
      </c>
      <c r="H62" s="5">
        <v>2400</v>
      </c>
      <c r="I62" s="4"/>
    </row>
    <row r="63" spans="1:9" ht="15.9" x14ac:dyDescent="0.4">
      <c r="A63" s="3">
        <v>45768</v>
      </c>
      <c r="B63" s="4" t="s">
        <v>556</v>
      </c>
      <c r="C63" s="6" t="s">
        <v>1303</v>
      </c>
      <c r="D63" s="4">
        <v>516</v>
      </c>
      <c r="E63" s="4">
        <v>1</v>
      </c>
      <c r="F63" s="4" t="s">
        <v>35</v>
      </c>
      <c r="G63" s="4" t="s">
        <v>161</v>
      </c>
      <c r="H63" s="5">
        <v>342.13</v>
      </c>
      <c r="I63" s="4"/>
    </row>
    <row r="64" spans="1:9" ht="15.9" x14ac:dyDescent="0.4">
      <c r="A64" s="3">
        <v>45768</v>
      </c>
      <c r="B64" s="4" t="s">
        <v>159</v>
      </c>
      <c r="C64" s="4" t="s">
        <v>1304</v>
      </c>
      <c r="D64" s="4">
        <v>2200</v>
      </c>
      <c r="E64" s="4">
        <v>2</v>
      </c>
      <c r="F64" s="4" t="s">
        <v>35</v>
      </c>
      <c r="G64" s="4" t="s">
        <v>161</v>
      </c>
      <c r="H64" s="5">
        <v>231.6</v>
      </c>
      <c r="I64" s="4"/>
    </row>
    <row r="65" spans="1:9" ht="15.9" x14ac:dyDescent="0.4">
      <c r="A65" s="3">
        <v>45768</v>
      </c>
      <c r="B65" s="4" t="s">
        <v>1305</v>
      </c>
      <c r="C65" s="4" t="s">
        <v>1306</v>
      </c>
      <c r="D65" s="4">
        <v>1900</v>
      </c>
      <c r="E65" s="4">
        <v>2</v>
      </c>
      <c r="F65" s="4" t="s">
        <v>35</v>
      </c>
      <c r="G65" s="4" t="s">
        <v>161</v>
      </c>
      <c r="H65" s="5">
        <v>295.8</v>
      </c>
      <c r="I65" s="4"/>
    </row>
    <row r="66" spans="1:9" ht="15.9" x14ac:dyDescent="0.4">
      <c r="A66" s="3">
        <v>45768</v>
      </c>
      <c r="B66" s="4" t="s">
        <v>81</v>
      </c>
      <c r="C66" s="4" t="s">
        <v>1307</v>
      </c>
      <c r="D66" s="4">
        <v>2451</v>
      </c>
      <c r="E66" s="4">
        <v>3</v>
      </c>
      <c r="F66" s="4" t="s">
        <v>35</v>
      </c>
      <c r="G66" s="4" t="s">
        <v>161</v>
      </c>
      <c r="H66" s="5">
        <v>352.34</v>
      </c>
      <c r="I66" s="4"/>
    </row>
    <row r="67" spans="1:9" ht="15.9" x14ac:dyDescent="0.4">
      <c r="A67" s="3">
        <v>45768</v>
      </c>
      <c r="B67" s="4" t="s">
        <v>183</v>
      </c>
      <c r="C67" s="4" t="s">
        <v>1308</v>
      </c>
      <c r="D67" s="4">
        <v>41800</v>
      </c>
      <c r="E67" s="4">
        <v>44</v>
      </c>
      <c r="F67" s="4" t="s">
        <v>756</v>
      </c>
      <c r="G67" s="4" t="s">
        <v>25</v>
      </c>
      <c r="H67" s="5">
        <v>1400</v>
      </c>
      <c r="I67" s="4"/>
    </row>
    <row r="68" spans="1:9" ht="15.9" x14ac:dyDescent="0.4">
      <c r="A68" s="3">
        <v>45768</v>
      </c>
      <c r="B68" s="4" t="s">
        <v>1309</v>
      </c>
      <c r="C68" s="4" t="s">
        <v>1310</v>
      </c>
      <c r="D68" s="4">
        <v>1634</v>
      </c>
      <c r="E68" s="4">
        <v>2</v>
      </c>
      <c r="F68" s="4" t="s">
        <v>35</v>
      </c>
      <c r="G68" s="4" t="s">
        <v>161</v>
      </c>
      <c r="H68" s="5">
        <v>511.17</v>
      </c>
      <c r="I68" s="4"/>
    </row>
    <row r="69" spans="1:9" ht="15.9" x14ac:dyDescent="0.4">
      <c r="A69" s="3">
        <v>45768</v>
      </c>
      <c r="B69" s="4" t="s">
        <v>1311</v>
      </c>
      <c r="C69" s="4" t="s">
        <v>1312</v>
      </c>
      <c r="D69" s="4">
        <v>6960</v>
      </c>
      <c r="E69" s="4">
        <v>8</v>
      </c>
      <c r="F69" s="4" t="s">
        <v>35</v>
      </c>
      <c r="G69" s="4" t="s">
        <v>161</v>
      </c>
      <c r="H69" s="5">
        <v>431.61</v>
      </c>
      <c r="I69" s="4"/>
    </row>
    <row r="70" spans="1:9" ht="15.9" x14ac:dyDescent="0.4">
      <c r="A70" s="3">
        <v>45768</v>
      </c>
      <c r="B70" s="4" t="s">
        <v>183</v>
      </c>
      <c r="C70" s="4" t="s">
        <v>1313</v>
      </c>
      <c r="D70" s="4">
        <v>41800</v>
      </c>
      <c r="E70" s="4">
        <v>44</v>
      </c>
      <c r="F70" s="4" t="s">
        <v>756</v>
      </c>
      <c r="G70" s="4" t="s">
        <v>25</v>
      </c>
      <c r="H70" s="5">
        <v>1400</v>
      </c>
      <c r="I70" s="4"/>
    </row>
    <row r="71" spans="1:9" ht="15.9" x14ac:dyDescent="0.4">
      <c r="A71" s="3">
        <v>45769</v>
      </c>
      <c r="B71" s="4" t="s">
        <v>153</v>
      </c>
      <c r="C71" s="4" t="s">
        <v>1314</v>
      </c>
      <c r="D71" s="4">
        <v>1880</v>
      </c>
      <c r="E71" s="4">
        <v>2</v>
      </c>
      <c r="F71" s="4" t="s">
        <v>35</v>
      </c>
      <c r="G71" s="4" t="s">
        <v>161</v>
      </c>
      <c r="H71" s="5">
        <v>246.47</v>
      </c>
      <c r="I71" s="4"/>
    </row>
    <row r="72" spans="1:9" ht="15.9" x14ac:dyDescent="0.4">
      <c r="A72" s="3">
        <v>45769</v>
      </c>
      <c r="B72" s="4" t="s">
        <v>560</v>
      </c>
      <c r="C72" s="4" t="s">
        <v>1315</v>
      </c>
      <c r="D72" s="4">
        <v>10440</v>
      </c>
      <c r="E72" s="4">
        <v>12</v>
      </c>
      <c r="F72" s="4" t="s">
        <v>35</v>
      </c>
      <c r="G72" s="4" t="s">
        <v>161</v>
      </c>
      <c r="H72" s="5">
        <v>648.47</v>
      </c>
      <c r="I72" s="4"/>
    </row>
    <row r="73" spans="1:9" ht="15.9" x14ac:dyDescent="0.4">
      <c r="A73" s="3">
        <v>45769</v>
      </c>
      <c r="B73" s="4" t="s">
        <v>52</v>
      </c>
      <c r="C73" s="4" t="s">
        <v>1316</v>
      </c>
      <c r="D73" s="4">
        <v>42240</v>
      </c>
      <c r="E73" s="4">
        <v>44</v>
      </c>
      <c r="F73" s="4" t="s">
        <v>756</v>
      </c>
      <c r="G73" s="4" t="s">
        <v>25</v>
      </c>
      <c r="H73" s="5">
        <v>2950</v>
      </c>
      <c r="I73" s="4"/>
    </row>
    <row r="74" spans="1:9" ht="15.9" x14ac:dyDescent="0.4">
      <c r="A74" s="3">
        <v>45769</v>
      </c>
      <c r="B74" s="4" t="s">
        <v>52</v>
      </c>
      <c r="C74" s="6" t="s">
        <v>1317</v>
      </c>
      <c r="D74" s="4">
        <v>41760</v>
      </c>
      <c r="E74" s="4">
        <v>48</v>
      </c>
      <c r="F74" s="4" t="s">
        <v>756</v>
      </c>
      <c r="G74" s="4" t="s">
        <v>25</v>
      </c>
      <c r="H74" s="5">
        <v>2950</v>
      </c>
      <c r="I74" s="4"/>
    </row>
    <row r="75" spans="1:9" ht="15.9" x14ac:dyDescent="0.4">
      <c r="A75" s="3">
        <v>45769</v>
      </c>
      <c r="B75" s="4" t="s">
        <v>13</v>
      </c>
      <c r="C75" s="4" t="s">
        <v>1318</v>
      </c>
      <c r="D75" s="4">
        <v>9700</v>
      </c>
      <c r="E75" s="4">
        <v>11</v>
      </c>
      <c r="F75" s="4" t="s">
        <v>35</v>
      </c>
      <c r="G75" s="4" t="s">
        <v>161</v>
      </c>
      <c r="H75" s="5">
        <v>521.98</v>
      </c>
      <c r="I75" s="4"/>
    </row>
    <row r="76" spans="1:9" ht="15.9" x14ac:dyDescent="0.4">
      <c r="A76" s="3">
        <v>45770</v>
      </c>
      <c r="B76" s="4" t="s">
        <v>462</v>
      </c>
      <c r="C76" s="4" t="s">
        <v>1319</v>
      </c>
      <c r="D76" s="4">
        <v>30008</v>
      </c>
      <c r="E76" s="4">
        <v>37</v>
      </c>
      <c r="F76" s="4" t="s">
        <v>756</v>
      </c>
      <c r="G76" s="4" t="s">
        <v>25</v>
      </c>
      <c r="H76" s="5">
        <v>2900</v>
      </c>
      <c r="I76" s="4"/>
    </row>
    <row r="77" spans="1:9" ht="15.9" x14ac:dyDescent="0.4">
      <c r="A77" s="3">
        <v>45770</v>
      </c>
      <c r="B77" s="4" t="s">
        <v>156</v>
      </c>
      <c r="C77" s="4" t="s">
        <v>1320</v>
      </c>
      <c r="D77" s="4">
        <v>2544</v>
      </c>
      <c r="E77" s="4">
        <v>3</v>
      </c>
      <c r="F77" s="4" t="s">
        <v>35</v>
      </c>
      <c r="G77" s="4" t="s">
        <v>12</v>
      </c>
      <c r="H77" s="5"/>
      <c r="I77" s="4"/>
    </row>
    <row r="78" spans="1:9" ht="15.9" x14ac:dyDescent="0.4">
      <c r="A78" s="3">
        <v>45770</v>
      </c>
      <c r="B78" s="4" t="s">
        <v>1003</v>
      </c>
      <c r="C78" s="4" t="s">
        <v>1321</v>
      </c>
      <c r="D78" s="4">
        <v>7830</v>
      </c>
      <c r="E78" s="4">
        <v>9</v>
      </c>
      <c r="F78" s="4" t="s">
        <v>35</v>
      </c>
      <c r="G78" s="4" t="s">
        <v>161</v>
      </c>
      <c r="H78" s="5">
        <v>781.24</v>
      </c>
      <c r="I78" s="4"/>
    </row>
    <row r="79" spans="1:9" ht="15.9" x14ac:dyDescent="0.4">
      <c r="A79" s="3">
        <v>45770</v>
      </c>
      <c r="B79" s="4" t="s">
        <v>52</v>
      </c>
      <c r="C79" s="4" t="s">
        <v>1322</v>
      </c>
      <c r="D79" s="4">
        <v>8970</v>
      </c>
      <c r="E79" s="4">
        <v>10</v>
      </c>
      <c r="F79" s="4" t="s">
        <v>35</v>
      </c>
      <c r="G79" s="4" t="s">
        <v>161</v>
      </c>
      <c r="H79" s="5">
        <v>1371.16</v>
      </c>
      <c r="I79" s="4"/>
    </row>
    <row r="80" spans="1:9" ht="15.9" x14ac:dyDescent="0.4">
      <c r="A80" s="3">
        <v>45770</v>
      </c>
      <c r="B80" s="4" t="s">
        <v>20</v>
      </c>
      <c r="C80" s="4" t="s">
        <v>1323</v>
      </c>
      <c r="D80" s="4">
        <v>11020</v>
      </c>
      <c r="E80" s="4">
        <v>13</v>
      </c>
      <c r="F80" s="4" t="s">
        <v>11</v>
      </c>
      <c r="G80" s="4" t="s">
        <v>19</v>
      </c>
      <c r="H80" s="5">
        <v>1980</v>
      </c>
      <c r="I80" s="4"/>
    </row>
    <row r="81" spans="1:9" ht="15.9" x14ac:dyDescent="0.4">
      <c r="A81" s="3">
        <v>45770</v>
      </c>
      <c r="B81" s="4" t="s">
        <v>875</v>
      </c>
      <c r="C81" s="4" t="s">
        <v>907</v>
      </c>
      <c r="D81" s="4">
        <v>38280</v>
      </c>
      <c r="E81" s="4">
        <v>44</v>
      </c>
      <c r="F81" s="4" t="s">
        <v>11</v>
      </c>
      <c r="G81" s="4" t="s">
        <v>19</v>
      </c>
      <c r="H81" s="5">
        <v>2400</v>
      </c>
      <c r="I81" s="4"/>
    </row>
    <row r="82" spans="1:9" ht="15.9" x14ac:dyDescent="0.4">
      <c r="A82" s="3">
        <v>45771</v>
      </c>
      <c r="B82" s="4" t="s">
        <v>888</v>
      </c>
      <c r="C82" s="4" t="s">
        <v>1324</v>
      </c>
      <c r="D82" s="4">
        <v>35948</v>
      </c>
      <c r="E82" s="4">
        <v>44</v>
      </c>
      <c r="F82" s="4" t="s">
        <v>11</v>
      </c>
      <c r="G82" s="4" t="s">
        <v>25</v>
      </c>
      <c r="H82" s="5">
        <v>3700</v>
      </c>
      <c r="I82" s="4" t="s">
        <v>1325</v>
      </c>
    </row>
    <row r="83" spans="1:9" ht="15.9" x14ac:dyDescent="0.4">
      <c r="A83" s="3">
        <v>45771</v>
      </c>
      <c r="B83" s="4" t="s">
        <v>888</v>
      </c>
      <c r="C83" s="4" t="s">
        <v>1326</v>
      </c>
      <c r="D83" s="4">
        <v>27778</v>
      </c>
      <c r="E83" s="4">
        <v>33</v>
      </c>
      <c r="F83" s="4" t="s">
        <v>11</v>
      </c>
      <c r="G83" s="4" t="s">
        <v>25</v>
      </c>
      <c r="H83" s="5">
        <v>3700</v>
      </c>
      <c r="I83" s="4" t="s">
        <v>1325</v>
      </c>
    </row>
    <row r="84" spans="1:9" ht="15.9" x14ac:dyDescent="0.4">
      <c r="A84" s="3">
        <v>45771</v>
      </c>
      <c r="B84" s="4" t="s">
        <v>38</v>
      </c>
      <c r="C84" s="4" t="s">
        <v>1327</v>
      </c>
      <c r="D84" s="4">
        <v>21750</v>
      </c>
      <c r="E84" s="4">
        <v>25</v>
      </c>
      <c r="F84" s="4" t="s">
        <v>756</v>
      </c>
      <c r="G84" s="4" t="s">
        <v>1119</v>
      </c>
      <c r="H84" s="5">
        <v>3300</v>
      </c>
      <c r="I84" s="4"/>
    </row>
    <row r="85" spans="1:9" ht="15.9" x14ac:dyDescent="0.4">
      <c r="A85" s="3">
        <v>45771</v>
      </c>
      <c r="B85" s="4" t="s">
        <v>615</v>
      </c>
      <c r="C85" s="4" t="s">
        <v>1171</v>
      </c>
      <c r="D85" s="4">
        <v>26240</v>
      </c>
      <c r="E85" s="4">
        <v>32</v>
      </c>
      <c r="F85" s="4" t="s">
        <v>756</v>
      </c>
      <c r="G85" s="4" t="s">
        <v>19</v>
      </c>
      <c r="H85" s="5">
        <v>3325</v>
      </c>
      <c r="I85" s="4"/>
    </row>
    <row r="86" spans="1:9" ht="15.9" x14ac:dyDescent="0.4">
      <c r="A86" s="3">
        <v>45771</v>
      </c>
      <c r="B86" s="4" t="s">
        <v>1328</v>
      </c>
      <c r="C86" s="4" t="s">
        <v>1329</v>
      </c>
      <c r="D86" s="4">
        <v>1660</v>
      </c>
      <c r="E86" s="4">
        <v>2</v>
      </c>
      <c r="F86" s="4" t="s">
        <v>35</v>
      </c>
      <c r="G86" s="4" t="s">
        <v>161</v>
      </c>
      <c r="H86" s="5">
        <v>320.75</v>
      </c>
      <c r="I86" s="4"/>
    </row>
    <row r="87" spans="1:9" ht="15.9" x14ac:dyDescent="0.4">
      <c r="A87" s="3">
        <v>45775</v>
      </c>
      <c r="B87" s="4" t="s">
        <v>150</v>
      </c>
      <c r="C87" s="4" t="s">
        <v>1330</v>
      </c>
      <c r="D87" s="4">
        <v>41800</v>
      </c>
      <c r="E87" s="4">
        <v>44</v>
      </c>
      <c r="F87" s="4" t="s">
        <v>756</v>
      </c>
      <c r="G87" s="4" t="s">
        <v>25</v>
      </c>
      <c r="H87" s="5">
        <v>3600</v>
      </c>
      <c r="I87" s="4"/>
    </row>
    <row r="88" spans="1:9" ht="15.9" x14ac:dyDescent="0.4">
      <c r="A88" s="3">
        <v>45775</v>
      </c>
      <c r="B88" s="4" t="s">
        <v>1331</v>
      </c>
      <c r="C88" s="4" t="s">
        <v>1332</v>
      </c>
      <c r="D88" s="4">
        <v>39840</v>
      </c>
      <c r="E88" s="4">
        <v>48</v>
      </c>
      <c r="F88" s="4" t="s">
        <v>756</v>
      </c>
      <c r="G88" s="4" t="s">
        <v>19</v>
      </c>
      <c r="H88" s="5">
        <v>1475</v>
      </c>
      <c r="I88" s="4"/>
    </row>
    <row r="89" spans="1:9" ht="15.9" x14ac:dyDescent="0.4">
      <c r="A89" s="3">
        <v>45775</v>
      </c>
      <c r="B89" s="4" t="s">
        <v>96</v>
      </c>
      <c r="C89" s="6" t="s">
        <v>1333</v>
      </c>
      <c r="D89" s="4">
        <v>39216</v>
      </c>
      <c r="E89" s="4">
        <v>48</v>
      </c>
      <c r="F89" s="4" t="s">
        <v>756</v>
      </c>
      <c r="G89" s="4" t="s">
        <v>25</v>
      </c>
      <c r="H89" s="5">
        <v>3500</v>
      </c>
      <c r="I89" s="4"/>
    </row>
    <row r="90" spans="1:9" ht="15.9" x14ac:dyDescent="0.4">
      <c r="A90" s="3">
        <v>45775</v>
      </c>
      <c r="B90" s="4" t="s">
        <v>96</v>
      </c>
      <c r="C90" s="4" t="s">
        <v>1334</v>
      </c>
      <c r="D90" s="4">
        <v>17974</v>
      </c>
      <c r="E90" s="4">
        <v>22</v>
      </c>
      <c r="F90" s="4" t="s">
        <v>756</v>
      </c>
      <c r="G90" s="4" t="s">
        <v>25</v>
      </c>
      <c r="H90" s="5">
        <v>3500</v>
      </c>
      <c r="I90" s="4"/>
    </row>
    <row r="91" spans="1:9" ht="15.9" x14ac:dyDescent="0.4">
      <c r="A91" s="3">
        <v>45775</v>
      </c>
      <c r="B91" s="4" t="s">
        <v>1335</v>
      </c>
      <c r="C91" s="4" t="s">
        <v>1336</v>
      </c>
      <c r="D91" s="4">
        <v>771</v>
      </c>
      <c r="E91" s="4">
        <v>1</v>
      </c>
      <c r="F91" s="4" t="s">
        <v>35</v>
      </c>
      <c r="G91" s="4" t="s">
        <v>161</v>
      </c>
      <c r="H91" s="5">
        <v>283.76</v>
      </c>
      <c r="I91" s="4"/>
    </row>
    <row r="92" spans="1:9" ht="15.9" x14ac:dyDescent="0.4">
      <c r="A92" s="3">
        <v>45775</v>
      </c>
      <c r="B92" s="4" t="s">
        <v>1337</v>
      </c>
      <c r="C92" s="4" t="s">
        <v>1338</v>
      </c>
      <c r="D92" s="4">
        <v>3268</v>
      </c>
      <c r="E92" s="4">
        <v>4</v>
      </c>
      <c r="F92" s="4" t="s">
        <v>35</v>
      </c>
      <c r="G92" s="4" t="s">
        <v>161</v>
      </c>
      <c r="H92" s="5">
        <v>771.27</v>
      </c>
      <c r="I92" s="4"/>
    </row>
    <row r="93" spans="1:9" ht="15.9" x14ac:dyDescent="0.4">
      <c r="A93" s="3">
        <v>45775</v>
      </c>
      <c r="B93" s="4" t="s">
        <v>150</v>
      </c>
      <c r="C93" s="4" t="s">
        <v>1339</v>
      </c>
      <c r="D93" s="4">
        <v>11400</v>
      </c>
      <c r="E93" s="4">
        <v>12</v>
      </c>
      <c r="F93" s="4" t="s">
        <v>35</v>
      </c>
      <c r="G93" s="4" t="s">
        <v>161</v>
      </c>
      <c r="H93" s="5">
        <v>2040.35</v>
      </c>
      <c r="I93" s="4"/>
    </row>
    <row r="94" spans="1:9" ht="15.9" x14ac:dyDescent="0.4">
      <c r="A94" s="3">
        <v>45775</v>
      </c>
      <c r="B94" s="4" t="s">
        <v>268</v>
      </c>
      <c r="C94" s="4" t="s">
        <v>1340</v>
      </c>
      <c r="D94" s="4">
        <v>6510</v>
      </c>
      <c r="E94" s="4">
        <v>7</v>
      </c>
      <c r="F94" s="4" t="s">
        <v>35</v>
      </c>
      <c r="G94" s="4" t="s">
        <v>161</v>
      </c>
      <c r="H94" s="5">
        <v>672.93</v>
      </c>
      <c r="I94" s="4"/>
    </row>
    <row r="95" spans="1:9" ht="15.9" x14ac:dyDescent="0.4">
      <c r="A95" s="3">
        <v>45776</v>
      </c>
      <c r="B95" s="4" t="s">
        <v>1341</v>
      </c>
      <c r="C95" s="4" t="s">
        <v>1342</v>
      </c>
      <c r="D95" s="4">
        <v>2905</v>
      </c>
      <c r="E95" s="4">
        <v>4</v>
      </c>
      <c r="F95" s="4" t="s">
        <v>35</v>
      </c>
      <c r="G95" s="4" t="s">
        <v>161</v>
      </c>
      <c r="H95" s="5">
        <v>574.63</v>
      </c>
      <c r="I95" s="4"/>
    </row>
    <row r="96" spans="1:9" ht="15.9" x14ac:dyDescent="0.4">
      <c r="A96" s="3">
        <v>45776</v>
      </c>
      <c r="B96" s="4" t="s">
        <v>1343</v>
      </c>
      <c r="C96" s="4" t="s">
        <v>1344</v>
      </c>
      <c r="D96" s="4">
        <v>17157</v>
      </c>
      <c r="E96" s="4">
        <v>21</v>
      </c>
      <c r="F96" s="4" t="s">
        <v>11</v>
      </c>
      <c r="G96" s="4" t="s">
        <v>25</v>
      </c>
      <c r="H96" s="5">
        <v>3500</v>
      </c>
      <c r="I96" s="4" t="s">
        <v>1345</v>
      </c>
    </row>
    <row r="97" spans="1:9" ht="15.9" x14ac:dyDescent="0.4">
      <c r="A97" s="3">
        <v>45776</v>
      </c>
      <c r="B97" s="4" t="s">
        <v>1346</v>
      </c>
      <c r="C97" s="4" t="s">
        <v>1347</v>
      </c>
      <c r="D97" s="4">
        <v>30864</v>
      </c>
      <c r="E97" s="4">
        <v>48</v>
      </c>
      <c r="F97" s="4" t="s">
        <v>11</v>
      </c>
      <c r="G97" s="4" t="s">
        <v>19</v>
      </c>
      <c r="H97" s="5">
        <v>1675</v>
      </c>
      <c r="I97" s="4"/>
    </row>
    <row r="98" spans="1:9" ht="15.9" x14ac:dyDescent="0.4">
      <c r="A98" s="3">
        <v>45776</v>
      </c>
      <c r="B98" s="4" t="s">
        <v>1348</v>
      </c>
      <c r="C98" s="4" t="s">
        <v>1349</v>
      </c>
      <c r="D98" s="4">
        <v>39216</v>
      </c>
      <c r="E98" s="4">
        <v>48</v>
      </c>
      <c r="F98" s="4" t="s">
        <v>11</v>
      </c>
      <c r="G98" s="4" t="s">
        <v>19</v>
      </c>
      <c r="H98" s="5">
        <v>2000</v>
      </c>
      <c r="I98" s="4"/>
    </row>
    <row r="99" spans="1:9" ht="15.9" x14ac:dyDescent="0.4">
      <c r="A99" s="3">
        <v>45776</v>
      </c>
      <c r="B99" s="4" t="s">
        <v>150</v>
      </c>
      <c r="C99" s="4" t="s">
        <v>1350</v>
      </c>
      <c r="D99" s="4">
        <v>41800</v>
      </c>
      <c r="E99" s="4">
        <v>44</v>
      </c>
      <c r="F99" s="4" t="s">
        <v>756</v>
      </c>
      <c r="G99" s="4" t="s">
        <v>25</v>
      </c>
      <c r="H99" s="5">
        <v>3600</v>
      </c>
      <c r="I99" s="4"/>
    </row>
    <row r="100" spans="1:9" ht="15.9" x14ac:dyDescent="0.4">
      <c r="A100" s="3">
        <v>45776</v>
      </c>
      <c r="B100" s="4" t="s">
        <v>1348</v>
      </c>
      <c r="C100" s="4" t="s">
        <v>1351</v>
      </c>
      <c r="D100" s="4">
        <v>39840</v>
      </c>
      <c r="E100" s="4">
        <v>48</v>
      </c>
      <c r="F100" s="4" t="s">
        <v>11</v>
      </c>
      <c r="G100" s="4" t="s">
        <v>19</v>
      </c>
      <c r="H100" s="5">
        <v>2000</v>
      </c>
      <c r="I100" s="4"/>
    </row>
    <row r="101" spans="1:9" ht="15.9" x14ac:dyDescent="0.4">
      <c r="A101" s="3">
        <v>45776</v>
      </c>
      <c r="B101" s="4" t="s">
        <v>1346</v>
      </c>
      <c r="C101" s="4" t="s">
        <v>1352</v>
      </c>
      <c r="D101" s="4">
        <v>39216</v>
      </c>
      <c r="E101" s="4">
        <v>48</v>
      </c>
      <c r="F101" s="4" t="s">
        <v>11</v>
      </c>
      <c r="G101" s="4" t="s">
        <v>19</v>
      </c>
      <c r="H101" s="5">
        <v>1675</v>
      </c>
      <c r="I101" s="4"/>
    </row>
    <row r="102" spans="1:9" ht="15.9" x14ac:dyDescent="0.4">
      <c r="A102" s="3">
        <v>45776</v>
      </c>
      <c r="B102" s="4" t="s">
        <v>191</v>
      </c>
      <c r="C102" s="4" t="s">
        <v>1353</v>
      </c>
      <c r="D102" s="4">
        <v>35948</v>
      </c>
      <c r="E102" s="4">
        <v>44</v>
      </c>
      <c r="F102" s="4" t="s">
        <v>756</v>
      </c>
      <c r="G102" s="4" t="s">
        <v>25</v>
      </c>
      <c r="H102" s="5">
        <v>2400</v>
      </c>
      <c r="I102" s="4"/>
    </row>
    <row r="103" spans="1:9" ht="15.9" x14ac:dyDescent="0.4">
      <c r="A103" s="3">
        <v>45776</v>
      </c>
      <c r="B103" s="4" t="s">
        <v>1348</v>
      </c>
      <c r="C103" s="4" t="s">
        <v>1354</v>
      </c>
      <c r="D103" s="4">
        <v>39216</v>
      </c>
      <c r="E103" s="4">
        <v>48</v>
      </c>
      <c r="F103" s="4" t="s">
        <v>11</v>
      </c>
      <c r="G103" s="4" t="s">
        <v>19</v>
      </c>
      <c r="H103" s="5">
        <v>2000</v>
      </c>
      <c r="I103" s="4"/>
    </row>
    <row r="104" spans="1:9" ht="15.9" x14ac:dyDescent="0.4">
      <c r="A104" s="3">
        <v>45777</v>
      </c>
      <c r="B104" s="4" t="s">
        <v>749</v>
      </c>
      <c r="C104" s="4" t="s">
        <v>1355</v>
      </c>
      <c r="D104" s="4">
        <v>12450</v>
      </c>
      <c r="E104" s="4">
        <v>15</v>
      </c>
      <c r="F104" s="4" t="s">
        <v>756</v>
      </c>
      <c r="G104" s="4" t="s">
        <v>1119</v>
      </c>
      <c r="H104" s="5">
        <v>2600</v>
      </c>
      <c r="I104" s="4"/>
    </row>
    <row r="105" spans="1:9" ht="15.9" x14ac:dyDescent="0.4">
      <c r="A105" s="3">
        <v>45777</v>
      </c>
      <c r="B105" s="4" t="s">
        <v>1358</v>
      </c>
      <c r="C105" s="4" t="s">
        <v>1356</v>
      </c>
      <c r="D105" s="4">
        <v>41500</v>
      </c>
      <c r="E105" s="4">
        <v>50</v>
      </c>
      <c r="F105" s="4" t="s">
        <v>11</v>
      </c>
      <c r="G105" s="4" t="s">
        <v>19</v>
      </c>
      <c r="H105" s="5">
        <v>2450</v>
      </c>
      <c r="I105" s="4" t="s">
        <v>1357</v>
      </c>
    </row>
    <row r="106" spans="1:9" ht="15.9" x14ac:dyDescent="0.4">
      <c r="A106" s="3">
        <v>45777</v>
      </c>
      <c r="B106" s="4" t="s">
        <v>1358</v>
      </c>
      <c r="C106" s="4" t="s">
        <v>1359</v>
      </c>
      <c r="D106" s="4">
        <v>41500</v>
      </c>
      <c r="E106" s="4">
        <v>50</v>
      </c>
      <c r="F106" s="4" t="s">
        <v>11</v>
      </c>
      <c r="G106" s="4" t="s">
        <v>19</v>
      </c>
      <c r="H106" s="5">
        <v>2450</v>
      </c>
      <c r="I106" s="4" t="s">
        <v>1357</v>
      </c>
    </row>
    <row r="107" spans="1:9" ht="15.9" x14ac:dyDescent="0.4">
      <c r="A107" s="3">
        <v>45777</v>
      </c>
      <c r="B107" s="4" t="s">
        <v>38</v>
      </c>
      <c r="C107" s="4" t="s">
        <v>1360</v>
      </c>
      <c r="D107" s="4">
        <v>20425</v>
      </c>
      <c r="E107" s="4">
        <v>25</v>
      </c>
      <c r="F107" s="4" t="s">
        <v>756</v>
      </c>
      <c r="G107" s="4" t="s">
        <v>1119</v>
      </c>
      <c r="H107" s="5">
        <v>3300</v>
      </c>
      <c r="I107" s="4"/>
    </row>
    <row r="108" spans="1:9" ht="15.9" x14ac:dyDescent="0.4">
      <c r="A108" s="3">
        <v>45777</v>
      </c>
      <c r="B108" s="4" t="s">
        <v>1348</v>
      </c>
      <c r="C108" s="4" t="s">
        <v>1361</v>
      </c>
      <c r="D108" s="4">
        <v>39216</v>
      </c>
      <c r="E108" s="4">
        <v>48</v>
      </c>
      <c r="F108" s="4" t="s">
        <v>11</v>
      </c>
      <c r="G108" s="4" t="s">
        <v>19</v>
      </c>
      <c r="H108" s="5">
        <v>2000</v>
      </c>
      <c r="I108" s="4"/>
    </row>
    <row r="109" spans="1:9" ht="15.9" x14ac:dyDescent="0.4">
      <c r="A109" s="3">
        <v>45777</v>
      </c>
      <c r="B109" s="4" t="s">
        <v>573</v>
      </c>
      <c r="C109" s="4" t="s">
        <v>1362</v>
      </c>
      <c r="D109" s="4">
        <v>25230</v>
      </c>
      <c r="E109" s="4">
        <v>29</v>
      </c>
      <c r="F109" s="4" t="s">
        <v>11</v>
      </c>
      <c r="G109" s="4" t="s">
        <v>19</v>
      </c>
      <c r="H109" s="5">
        <v>1900</v>
      </c>
      <c r="I109" s="4"/>
    </row>
    <row r="110" spans="1:9" ht="15.9" x14ac:dyDescent="0.4">
      <c r="A110" s="3">
        <v>45777</v>
      </c>
      <c r="B110" s="4" t="s">
        <v>1363</v>
      </c>
      <c r="C110" s="4" t="s">
        <v>1364</v>
      </c>
      <c r="D110" s="4">
        <v>12040</v>
      </c>
      <c r="E110" s="4">
        <v>14</v>
      </c>
      <c r="F110" s="4" t="s">
        <v>756</v>
      </c>
      <c r="G110" s="4" t="s">
        <v>1119</v>
      </c>
      <c r="H110" s="5">
        <v>1950</v>
      </c>
      <c r="I110" s="4"/>
    </row>
    <row r="111" spans="1:9" ht="15.9" x14ac:dyDescent="0.4">
      <c r="A111" s="3">
        <v>45777</v>
      </c>
      <c r="B111" s="4" t="s">
        <v>321</v>
      </c>
      <c r="C111" s="4" t="s">
        <v>1365</v>
      </c>
      <c r="D111" s="4">
        <v>14110</v>
      </c>
      <c r="E111" s="4">
        <v>17</v>
      </c>
      <c r="F111" s="4" t="s">
        <v>756</v>
      </c>
      <c r="G111" s="4" t="s">
        <v>1119</v>
      </c>
      <c r="H111" s="5">
        <v>3200</v>
      </c>
      <c r="I111" s="4"/>
    </row>
    <row r="112" spans="1:9" ht="15.9" x14ac:dyDescent="0.4">
      <c r="A112" s="3">
        <v>45777</v>
      </c>
      <c r="B112" s="4" t="s">
        <v>1366</v>
      </c>
      <c r="C112" s="4" t="s">
        <v>1367</v>
      </c>
      <c r="D112" s="4">
        <v>18791</v>
      </c>
      <c r="E112" s="4">
        <v>23</v>
      </c>
      <c r="F112" s="4" t="s">
        <v>756</v>
      </c>
      <c r="G112" s="4" t="s">
        <v>25</v>
      </c>
      <c r="H112" s="5">
        <v>2800</v>
      </c>
      <c r="I112" s="4"/>
    </row>
    <row r="113" spans="1:9" ht="15.9" x14ac:dyDescent="0.4">
      <c r="A113" s="3">
        <v>45777</v>
      </c>
      <c r="B113" s="4" t="s">
        <v>462</v>
      </c>
      <c r="C113" s="4" t="s">
        <v>1368</v>
      </c>
      <c r="D113" s="4">
        <v>24802</v>
      </c>
      <c r="E113" s="4">
        <v>27</v>
      </c>
      <c r="F113" s="4" t="s">
        <v>756</v>
      </c>
      <c r="G113" s="4" t="s">
        <v>25</v>
      </c>
      <c r="H113" s="5">
        <v>2900</v>
      </c>
      <c r="I113" s="4"/>
    </row>
    <row r="114" spans="1:9" ht="15.9" x14ac:dyDescent="0.4">
      <c r="A114" s="3">
        <v>45777</v>
      </c>
      <c r="B114" s="4" t="s">
        <v>1369</v>
      </c>
      <c r="C114" s="4" t="s">
        <v>1370</v>
      </c>
      <c r="D114" s="4">
        <v>3320</v>
      </c>
      <c r="E114" s="4">
        <v>4</v>
      </c>
      <c r="F114" s="4" t="s">
        <v>35</v>
      </c>
      <c r="G114" s="4" t="s">
        <v>161</v>
      </c>
      <c r="H114" s="5">
        <v>393.19</v>
      </c>
      <c r="I114" s="4"/>
    </row>
    <row r="115" spans="1:9" ht="15.9" x14ac:dyDescent="0.4">
      <c r="A115" s="3">
        <v>45777</v>
      </c>
      <c r="B115" s="4" t="s">
        <v>1348</v>
      </c>
      <c r="C115" s="4" t="s">
        <v>1371</v>
      </c>
      <c r="D115" s="4">
        <v>3268</v>
      </c>
      <c r="E115" s="4">
        <v>4</v>
      </c>
      <c r="F115" s="4" t="s">
        <v>35</v>
      </c>
      <c r="G115" s="4" t="s">
        <v>161</v>
      </c>
      <c r="H115" s="5">
        <v>412.3</v>
      </c>
      <c r="I115" s="4"/>
    </row>
    <row r="116" spans="1:9" ht="15.9" x14ac:dyDescent="0.4">
      <c r="A116" s="3">
        <v>45777</v>
      </c>
      <c r="B116" s="4" t="s">
        <v>1305</v>
      </c>
      <c r="C116" s="4" t="s">
        <v>1372</v>
      </c>
      <c r="D116" s="4">
        <v>960</v>
      </c>
      <c r="E116" s="4">
        <v>1</v>
      </c>
      <c r="F116" s="4" t="s">
        <v>35</v>
      </c>
      <c r="G116" s="4" t="s">
        <v>161</v>
      </c>
      <c r="H116" s="5">
        <v>264.27</v>
      </c>
      <c r="I116" s="4"/>
    </row>
    <row r="117" spans="1:9" ht="15.9" x14ac:dyDescent="0.4">
      <c r="A117" s="3"/>
      <c r="B117" s="4"/>
      <c r="C117" s="4"/>
      <c r="D117" s="4"/>
      <c r="E117" s="4"/>
      <c r="F117" s="4"/>
      <c r="G117" s="4"/>
      <c r="H117" s="5"/>
      <c r="I117" s="4"/>
    </row>
    <row r="118" spans="1:9" ht="15.9" x14ac:dyDescent="0.4">
      <c r="A118" s="3"/>
      <c r="B118" s="4"/>
      <c r="C118" s="4"/>
      <c r="D118" s="4"/>
      <c r="E118" s="4"/>
      <c r="F118" s="4"/>
      <c r="G118" s="4"/>
      <c r="H118" s="5"/>
      <c r="I118" s="4"/>
    </row>
    <row r="119" spans="1:9" ht="15.9" x14ac:dyDescent="0.4">
      <c r="A119" s="3"/>
      <c r="B119" s="4"/>
      <c r="C119" s="4"/>
      <c r="D119" s="4"/>
      <c r="E119" s="4"/>
      <c r="F119" s="4"/>
      <c r="G119" s="4"/>
      <c r="H119" s="5"/>
      <c r="I119" s="4"/>
    </row>
    <row r="120" spans="1:9" ht="15.9" x14ac:dyDescent="0.4">
      <c r="A120" s="3"/>
      <c r="B120" s="4"/>
      <c r="C120" s="4"/>
      <c r="D120" s="4"/>
      <c r="E120" s="4"/>
      <c r="F120" s="4"/>
      <c r="G120" s="4"/>
      <c r="H120" s="5"/>
      <c r="I120" s="4"/>
    </row>
    <row r="121" spans="1:9" ht="15.9" x14ac:dyDescent="0.4">
      <c r="A121" s="3"/>
      <c r="B121" s="4"/>
      <c r="C121" s="4"/>
      <c r="D121" s="4"/>
      <c r="E121" s="4"/>
      <c r="F121" s="4"/>
      <c r="G121" s="4"/>
      <c r="H121" s="5"/>
      <c r="I121" s="4"/>
    </row>
    <row r="122" spans="1:9" ht="15.9" x14ac:dyDescent="0.4">
      <c r="A122" s="3"/>
      <c r="B122" s="4"/>
      <c r="C122" s="4"/>
      <c r="D122" s="4"/>
      <c r="E122" s="4"/>
      <c r="F122" s="4"/>
      <c r="G122" s="4"/>
      <c r="H122" s="5"/>
      <c r="I122" s="4"/>
    </row>
    <row r="123" spans="1:9" ht="15.9" x14ac:dyDescent="0.4">
      <c r="A123" s="3"/>
      <c r="B123" s="4"/>
      <c r="C123" s="4"/>
      <c r="D123" s="4"/>
      <c r="E123" s="4"/>
      <c r="F123" s="4"/>
      <c r="G123" s="4"/>
      <c r="H123" s="5"/>
      <c r="I123" s="4"/>
    </row>
    <row r="124" spans="1:9" ht="15.9" x14ac:dyDescent="0.4">
      <c r="A124" s="3"/>
      <c r="B124" s="4"/>
      <c r="C124" s="4"/>
      <c r="D124" s="4"/>
      <c r="E124" s="4"/>
      <c r="F124" s="4"/>
      <c r="G124" s="4"/>
      <c r="H124" s="5"/>
      <c r="I124" s="4"/>
    </row>
    <row r="125" spans="1:9" ht="15.9" x14ac:dyDescent="0.4">
      <c r="A125" s="3"/>
      <c r="B125" s="4"/>
      <c r="C125" s="4"/>
      <c r="D125" s="4"/>
      <c r="E125" s="4"/>
      <c r="F125" s="4"/>
      <c r="G125" s="4"/>
      <c r="H125" s="5"/>
      <c r="I125" s="4"/>
    </row>
    <row r="126" spans="1:9" ht="15.9" x14ac:dyDescent="0.4">
      <c r="A126" s="3"/>
      <c r="B126" s="4"/>
      <c r="C126" s="4"/>
      <c r="D126" s="4"/>
      <c r="E126" s="4"/>
      <c r="F126" s="4"/>
      <c r="G126" s="4"/>
      <c r="H126" s="5"/>
      <c r="I126" s="4"/>
    </row>
    <row r="127" spans="1:9" ht="15.9" x14ac:dyDescent="0.4">
      <c r="A127" s="3"/>
      <c r="B127" s="4"/>
      <c r="C127" s="4"/>
      <c r="D127" s="4"/>
      <c r="E127" s="4"/>
      <c r="F127" s="4"/>
      <c r="G127" s="4"/>
      <c r="H127" s="5"/>
      <c r="I127" s="4"/>
    </row>
    <row r="128" spans="1:9" ht="15.9" x14ac:dyDescent="0.4">
      <c r="A128" s="4"/>
      <c r="B128" s="4"/>
      <c r="C128" s="4"/>
      <c r="D128" s="4"/>
      <c r="E128" s="4"/>
      <c r="F128" s="4"/>
      <c r="G128" s="4"/>
      <c r="H128" s="4"/>
      <c r="I128" s="4"/>
    </row>
    <row r="129" spans="1:9" ht="15.9" x14ac:dyDescent="0.4">
      <c r="A129" s="4"/>
      <c r="B129" s="4"/>
      <c r="C129" s="4"/>
      <c r="D129" s="4"/>
      <c r="E129" s="4"/>
      <c r="F129" s="4"/>
      <c r="G129" s="4"/>
      <c r="H129" s="4"/>
      <c r="I129" s="4"/>
    </row>
    <row r="130" spans="1:9" ht="15.9" x14ac:dyDescent="0.4">
      <c r="A130" s="4"/>
      <c r="B130" s="4"/>
      <c r="C130" s="4"/>
      <c r="D130" s="4"/>
      <c r="E130" s="4"/>
      <c r="F130" s="4"/>
      <c r="G130" s="4"/>
      <c r="H130" s="4"/>
      <c r="I130" s="4"/>
    </row>
    <row r="131" spans="1:9" ht="15.9" x14ac:dyDescent="0.4">
      <c r="A131" s="4"/>
      <c r="B131" s="4"/>
      <c r="C131" s="4"/>
      <c r="D131" s="4"/>
      <c r="E131" s="4"/>
      <c r="F131" s="4"/>
      <c r="G131" s="4"/>
      <c r="H131" s="4"/>
      <c r="I131" s="4"/>
    </row>
    <row r="132" spans="1:9" ht="15.9" x14ac:dyDescent="0.4">
      <c r="A132" s="4"/>
      <c r="B132" s="4"/>
      <c r="C132" s="4"/>
      <c r="D132" s="4"/>
      <c r="E132" s="4"/>
      <c r="F132" s="4"/>
      <c r="G132" s="4"/>
      <c r="H132" s="4"/>
      <c r="I132" s="4"/>
    </row>
    <row r="133" spans="1:9" ht="15.9" x14ac:dyDescent="0.4">
      <c r="A133" s="4"/>
      <c r="B133" s="4"/>
      <c r="C133" s="4"/>
      <c r="D133" s="4"/>
      <c r="E133" s="4"/>
      <c r="F133" s="4"/>
      <c r="G133" s="4"/>
      <c r="H133" s="4"/>
      <c r="I133" s="4"/>
    </row>
    <row r="134" spans="1:9" ht="15.9" x14ac:dyDescent="0.4">
      <c r="A134" s="4"/>
      <c r="B134" s="4"/>
      <c r="C134" s="4"/>
      <c r="D134" s="4"/>
      <c r="E134" s="4"/>
      <c r="F134" s="4"/>
      <c r="G134" s="4"/>
      <c r="H134" s="4"/>
      <c r="I134" s="4"/>
    </row>
    <row r="135" spans="1:9" ht="15.9" x14ac:dyDescent="0.4">
      <c r="A135" s="4"/>
      <c r="B135" s="4"/>
      <c r="C135" s="4"/>
      <c r="D135" s="4"/>
      <c r="E135" s="4"/>
      <c r="F135" s="4"/>
      <c r="G135" s="4"/>
      <c r="H135" s="4"/>
      <c r="I135" s="4"/>
    </row>
    <row r="136" spans="1:9" ht="15.9" x14ac:dyDescent="0.4">
      <c r="A136" s="4"/>
      <c r="B136" s="4"/>
      <c r="C136" s="4"/>
      <c r="D136" s="4"/>
      <c r="E136" s="4"/>
      <c r="F136" s="4"/>
      <c r="G136" s="4"/>
      <c r="H136" s="4"/>
      <c r="I136" s="4"/>
    </row>
    <row r="137" spans="1:9" ht="15.9" x14ac:dyDescent="0.4">
      <c r="A137" s="4"/>
      <c r="B137" s="4"/>
      <c r="C137" s="4"/>
      <c r="D137" s="4"/>
      <c r="E137" s="4"/>
      <c r="F137" s="4"/>
      <c r="G137" s="4"/>
      <c r="H137" s="4"/>
      <c r="I137" s="4"/>
    </row>
    <row r="138" spans="1:9" ht="15.9" x14ac:dyDescent="0.4">
      <c r="A138" s="4"/>
      <c r="B138" s="4"/>
      <c r="C138" s="4"/>
      <c r="D138" s="4"/>
      <c r="E138" s="4"/>
      <c r="F138" s="4"/>
      <c r="G138" s="4"/>
      <c r="H138" s="4"/>
      <c r="I138" s="4"/>
    </row>
    <row r="139" spans="1:9" ht="15.9" x14ac:dyDescent="0.4">
      <c r="A139" s="4"/>
      <c r="B139" s="4"/>
      <c r="C139" s="4"/>
      <c r="D139" s="4"/>
      <c r="E139" s="4"/>
      <c r="F139" s="4"/>
      <c r="G139" s="4"/>
      <c r="H139" s="4"/>
      <c r="I139" s="4"/>
    </row>
    <row r="140" spans="1:9" ht="15.9" x14ac:dyDescent="0.4">
      <c r="A140" s="4"/>
      <c r="B140" s="4"/>
      <c r="C140" s="4"/>
      <c r="D140" s="4"/>
      <c r="E140" s="4"/>
      <c r="F140" s="4"/>
      <c r="G140" s="4"/>
      <c r="H140" s="4"/>
      <c r="I140" s="4"/>
    </row>
    <row r="141" spans="1:9" ht="15.9" x14ac:dyDescent="0.4">
      <c r="A141" s="4"/>
      <c r="B141" s="4"/>
      <c r="C141" s="4"/>
      <c r="D141" s="4"/>
      <c r="E141" s="4"/>
      <c r="F141" s="4"/>
      <c r="G141" s="4"/>
      <c r="H141" s="4"/>
      <c r="I141" s="4"/>
    </row>
    <row r="142" spans="1:9" ht="15.9" x14ac:dyDescent="0.4">
      <c r="A142" s="4"/>
      <c r="B142" s="4"/>
      <c r="C142" s="4"/>
      <c r="D142" s="4"/>
      <c r="E142" s="4"/>
      <c r="F142" s="4"/>
      <c r="G142" s="4"/>
      <c r="H142" s="4"/>
      <c r="I142" s="4"/>
    </row>
    <row r="143" spans="1:9" ht="15.9" x14ac:dyDescent="0.4">
      <c r="A143" s="4"/>
      <c r="B143" s="4"/>
      <c r="C143" s="4"/>
      <c r="D143" s="4"/>
      <c r="E143" s="4"/>
      <c r="F143" s="4"/>
      <c r="G143" s="4"/>
      <c r="H143" s="4"/>
      <c r="I143" s="4"/>
    </row>
    <row r="144" spans="1:9" ht="15.9" x14ac:dyDescent="0.4">
      <c r="A144" s="4"/>
      <c r="B144" s="4"/>
      <c r="C144" s="4"/>
      <c r="D144" s="4"/>
      <c r="E144" s="4"/>
      <c r="F144" s="4"/>
      <c r="G144" s="4"/>
      <c r="H144" s="4"/>
      <c r="I144" s="4"/>
    </row>
    <row r="145" spans="1:9" ht="15.9" x14ac:dyDescent="0.4">
      <c r="A145" s="4"/>
      <c r="B145" s="4"/>
      <c r="C145" s="4"/>
      <c r="D145" s="4"/>
      <c r="E145" s="4"/>
      <c r="F145" s="4"/>
      <c r="G145" s="4"/>
      <c r="H145" s="4"/>
      <c r="I145" s="4"/>
    </row>
    <row r="146" spans="1:9" ht="15.9" x14ac:dyDescent="0.4">
      <c r="A146" s="4"/>
      <c r="B146" s="4"/>
      <c r="C146" s="4"/>
      <c r="D146" s="4"/>
      <c r="E146" s="4"/>
      <c r="F146" s="4"/>
      <c r="G146" s="4"/>
      <c r="H146" s="4"/>
      <c r="I146" s="4"/>
    </row>
    <row r="147" spans="1:9" ht="15.9" x14ac:dyDescent="0.4">
      <c r="A147" s="4"/>
      <c r="B147" s="4"/>
      <c r="C147" s="4"/>
      <c r="D147" s="4"/>
      <c r="E147" s="4"/>
      <c r="F147" s="4"/>
      <c r="G147" s="4"/>
      <c r="H147" s="4"/>
      <c r="I147" s="4"/>
    </row>
    <row r="148" spans="1:9" ht="15.9" x14ac:dyDescent="0.4">
      <c r="A148" s="4"/>
      <c r="B148" s="4"/>
      <c r="C148" s="4"/>
      <c r="D148" s="4"/>
      <c r="E148" s="4"/>
      <c r="F148" s="4"/>
      <c r="G148" s="4"/>
      <c r="H148" s="4"/>
      <c r="I148" s="4"/>
    </row>
    <row r="149" spans="1:9" ht="15.9" x14ac:dyDescent="0.4">
      <c r="A149" s="4"/>
      <c r="B149" s="4"/>
      <c r="C149" s="4"/>
      <c r="D149" s="4"/>
      <c r="E149" s="4"/>
      <c r="F149" s="4"/>
      <c r="G149" s="4"/>
      <c r="H149" s="4"/>
      <c r="I149" s="4"/>
    </row>
    <row r="150" spans="1:9" ht="15.9" x14ac:dyDescent="0.4">
      <c r="A150" s="4"/>
      <c r="B150" s="4"/>
      <c r="C150" s="4"/>
      <c r="D150" s="4"/>
      <c r="E150" s="4"/>
      <c r="F150" s="4"/>
      <c r="G150" s="4"/>
      <c r="H150" s="4"/>
      <c r="I150" s="4"/>
    </row>
    <row r="151" spans="1:9" ht="15.9" x14ac:dyDescent="0.4">
      <c r="A151" s="4"/>
      <c r="B151" s="4"/>
      <c r="C151" s="4"/>
      <c r="D151" s="4"/>
      <c r="E151" s="4"/>
      <c r="F151" s="4"/>
      <c r="G151" s="4"/>
      <c r="H151" s="4"/>
      <c r="I151" s="4"/>
    </row>
    <row r="152" spans="1:9" ht="15.9" x14ac:dyDescent="0.4">
      <c r="A152" s="4"/>
      <c r="B152" s="4"/>
      <c r="C152" s="4"/>
      <c r="D152" s="4"/>
      <c r="E152" s="4"/>
      <c r="F152" s="4"/>
      <c r="G152" s="4"/>
      <c r="H152" s="4"/>
      <c r="I152" s="4"/>
    </row>
    <row r="153" spans="1:9" ht="15.9" x14ac:dyDescent="0.4">
      <c r="A153" s="4"/>
      <c r="B153" s="4"/>
      <c r="C153" s="4"/>
      <c r="D153" s="4"/>
      <c r="E153" s="4"/>
      <c r="F153" s="4"/>
      <c r="G153" s="4"/>
      <c r="H153" s="4"/>
      <c r="I153" s="4"/>
    </row>
    <row r="154" spans="1:9" ht="15.9" x14ac:dyDescent="0.4">
      <c r="A154" s="4"/>
      <c r="B154" s="4"/>
      <c r="C154" s="4"/>
      <c r="D154" s="4"/>
      <c r="E154" s="4"/>
      <c r="F154" s="4"/>
      <c r="G154" s="4"/>
      <c r="H154" s="4"/>
      <c r="I154" s="4"/>
    </row>
    <row r="155" spans="1:9" ht="15.9" x14ac:dyDescent="0.4">
      <c r="A155" s="4"/>
      <c r="B155" s="4"/>
      <c r="C155" s="4"/>
      <c r="D155" s="4"/>
      <c r="E155" s="4"/>
      <c r="F155" s="4"/>
      <c r="G155" s="4"/>
      <c r="H155" s="4"/>
      <c r="I155" s="4"/>
    </row>
    <row r="156" spans="1:9" ht="15.9" x14ac:dyDescent="0.4">
      <c r="A156" s="4"/>
      <c r="B156" s="4"/>
      <c r="C156" s="4"/>
      <c r="D156" s="4"/>
      <c r="E156" s="4"/>
      <c r="F156" s="4"/>
      <c r="G156" s="4"/>
      <c r="H156" s="4"/>
      <c r="I156" s="4"/>
    </row>
    <row r="157" spans="1:9" ht="15.9" x14ac:dyDescent="0.4">
      <c r="A157" s="4"/>
      <c r="B157" s="4"/>
      <c r="C157" s="4"/>
      <c r="D157" s="4"/>
      <c r="E157" s="4"/>
      <c r="F157" s="4"/>
      <c r="G157" s="4"/>
      <c r="H157" s="4"/>
      <c r="I157" s="4"/>
    </row>
    <row r="158" spans="1:9" ht="15.9" x14ac:dyDescent="0.4">
      <c r="A158" s="4"/>
      <c r="B158" s="4"/>
      <c r="C158" s="4"/>
      <c r="D158" s="4"/>
      <c r="E158" s="4"/>
      <c r="F158" s="4"/>
      <c r="G158" s="4"/>
      <c r="H158" s="4"/>
      <c r="I158" s="4"/>
    </row>
    <row r="159" spans="1:9" ht="15.9" x14ac:dyDescent="0.4">
      <c r="A159" s="4"/>
      <c r="B159" s="4"/>
      <c r="C159" s="4"/>
      <c r="D159" s="4"/>
      <c r="E159" s="4"/>
      <c r="F159" s="4"/>
      <c r="G159" s="4"/>
      <c r="H159" s="4"/>
      <c r="I159" s="4"/>
    </row>
    <row r="160" spans="1:9" ht="15.9" x14ac:dyDescent="0.4">
      <c r="A160" s="4"/>
      <c r="B160" s="4"/>
      <c r="C160" s="4"/>
      <c r="D160" s="4"/>
      <c r="E160" s="4"/>
      <c r="F160" s="4"/>
      <c r="G160" s="4"/>
      <c r="H160" s="4"/>
      <c r="I160" s="4"/>
    </row>
    <row r="161" spans="1:9" ht="15.9" x14ac:dyDescent="0.4">
      <c r="A161" s="4"/>
      <c r="B161" s="4"/>
      <c r="C161" s="4"/>
      <c r="D161" s="4"/>
      <c r="E161" s="4"/>
      <c r="F161" s="4"/>
      <c r="G161" s="4"/>
      <c r="H161" s="4"/>
      <c r="I161" s="4"/>
    </row>
    <row r="162" spans="1:9" ht="15.9" x14ac:dyDescent="0.4">
      <c r="A162" s="4"/>
      <c r="B162" s="4"/>
      <c r="C162" s="4"/>
      <c r="D162" s="4"/>
      <c r="E162" s="4"/>
      <c r="F162" s="4"/>
      <c r="G162" s="4"/>
      <c r="H162" s="4"/>
      <c r="I162" s="4"/>
    </row>
    <row r="163" spans="1:9" ht="15.9" x14ac:dyDescent="0.4">
      <c r="A163" s="4"/>
      <c r="B163" s="4"/>
      <c r="C163" s="4"/>
      <c r="D163" s="4"/>
      <c r="E163" s="4"/>
      <c r="F163" s="4"/>
      <c r="G163" s="4"/>
      <c r="H163" s="4"/>
      <c r="I163" s="4"/>
    </row>
    <row r="164" spans="1:9" ht="15.9" x14ac:dyDescent="0.4">
      <c r="A164" s="4"/>
      <c r="B164" s="4"/>
      <c r="C164" s="4"/>
      <c r="D164" s="4"/>
      <c r="E164" s="4"/>
      <c r="F164" s="4"/>
      <c r="G164" s="4"/>
      <c r="H164" s="4"/>
      <c r="I164" s="4"/>
    </row>
    <row r="165" spans="1:9" ht="15.9" x14ac:dyDescent="0.4">
      <c r="A165" s="4"/>
      <c r="B165" s="4"/>
      <c r="C165" s="4"/>
      <c r="D165" s="4"/>
      <c r="E165" s="4"/>
      <c r="F165" s="4"/>
      <c r="G165" s="4"/>
      <c r="H165" s="4"/>
      <c r="I165" s="4"/>
    </row>
    <row r="166" spans="1:9" ht="15.9" x14ac:dyDescent="0.4">
      <c r="A166" s="4"/>
      <c r="B166" s="4"/>
      <c r="C166" s="4"/>
      <c r="D166" s="4"/>
      <c r="E166" s="4"/>
      <c r="F166" s="4"/>
      <c r="G166" s="4"/>
      <c r="H166" s="4"/>
      <c r="I166" s="4"/>
    </row>
    <row r="167" spans="1:9" ht="15.9" x14ac:dyDescent="0.4">
      <c r="A167" s="4"/>
      <c r="B167" s="4"/>
      <c r="C167" s="4"/>
      <c r="D167" s="4"/>
      <c r="E167" s="4"/>
      <c r="F167" s="4"/>
      <c r="G167" s="4"/>
      <c r="H167" s="4"/>
      <c r="I167" s="4"/>
    </row>
    <row r="168" spans="1:9" ht="15.9" x14ac:dyDescent="0.4">
      <c r="A168" s="4"/>
      <c r="B168" s="4"/>
      <c r="C168" s="4"/>
      <c r="D168" s="4"/>
      <c r="E168" s="4"/>
      <c r="F168" s="4"/>
      <c r="G168" s="4"/>
      <c r="H168" s="4"/>
      <c r="I168" s="4"/>
    </row>
    <row r="169" spans="1:9" ht="15.9" x14ac:dyDescent="0.4">
      <c r="A169" s="4"/>
      <c r="B169" s="4"/>
      <c r="C169" s="4"/>
      <c r="D169" s="4"/>
      <c r="E169" s="4"/>
      <c r="F169" s="4"/>
      <c r="G169" s="4"/>
      <c r="H169" s="4"/>
      <c r="I169" s="4"/>
    </row>
    <row r="170" spans="1:9" ht="15.9" x14ac:dyDescent="0.4">
      <c r="A170" s="4"/>
      <c r="B170" s="4"/>
      <c r="C170" s="4"/>
      <c r="D170" s="4"/>
      <c r="E170" s="4"/>
      <c r="F170" s="4"/>
      <c r="G170" s="4"/>
      <c r="H170" s="4"/>
      <c r="I170" s="4"/>
    </row>
    <row r="171" spans="1:9" ht="15.9" x14ac:dyDescent="0.4">
      <c r="A171" s="4"/>
      <c r="B171" s="4"/>
      <c r="C171" s="4"/>
      <c r="D171" s="4"/>
      <c r="E171" s="4"/>
      <c r="F171" s="4"/>
      <c r="G171" s="4"/>
      <c r="H171" s="4"/>
      <c r="I171" s="4"/>
    </row>
    <row r="172" spans="1:9" ht="15.9" x14ac:dyDescent="0.4">
      <c r="A172" s="4"/>
      <c r="B172" s="4"/>
      <c r="C172" s="4"/>
      <c r="D172" s="4"/>
      <c r="E172" s="4"/>
      <c r="F172" s="4"/>
      <c r="G172" s="4"/>
      <c r="H172" s="4"/>
      <c r="I172" s="4"/>
    </row>
    <row r="173" spans="1:9" ht="15.9" x14ac:dyDescent="0.4">
      <c r="A173" s="4"/>
      <c r="B173" s="4"/>
      <c r="C173" s="4"/>
      <c r="D173" s="4"/>
      <c r="E173" s="4"/>
      <c r="F173" s="4"/>
      <c r="G173" s="4"/>
      <c r="H173" s="4"/>
      <c r="I173" s="4"/>
    </row>
    <row r="174" spans="1:9" ht="15.9" x14ac:dyDescent="0.4">
      <c r="A174" s="4"/>
      <c r="B174" s="4"/>
      <c r="C174" s="4"/>
      <c r="D174" s="4"/>
      <c r="E174" s="4"/>
      <c r="F174" s="4"/>
      <c r="G174" s="4"/>
      <c r="H174" s="4"/>
      <c r="I174" s="4"/>
    </row>
    <row r="175" spans="1:9" ht="15.9" x14ac:dyDescent="0.4">
      <c r="A175" s="4"/>
      <c r="B175" s="4"/>
      <c r="C175" s="4"/>
      <c r="D175" s="4"/>
      <c r="E175" s="4"/>
      <c r="F175" s="4"/>
      <c r="G175" s="4"/>
      <c r="H175" s="4"/>
      <c r="I175" s="4"/>
    </row>
    <row r="176" spans="1:9" ht="15.9" x14ac:dyDescent="0.4">
      <c r="A176" s="4"/>
      <c r="B176" s="4"/>
      <c r="C176" s="4"/>
      <c r="D176" s="4"/>
      <c r="E176" s="4"/>
      <c r="F176" s="4"/>
      <c r="G176" s="4"/>
      <c r="H176" s="4"/>
      <c r="I176" s="4"/>
    </row>
    <row r="177" spans="1:9" ht="15.9" x14ac:dyDescent="0.4">
      <c r="A177" s="4"/>
      <c r="B177" s="4"/>
      <c r="C177" s="4"/>
      <c r="D177" s="4"/>
      <c r="E177" s="4"/>
      <c r="F177" s="4"/>
      <c r="G177" s="4"/>
      <c r="H177" s="4"/>
      <c r="I177" s="4"/>
    </row>
    <row r="178" spans="1:9" ht="15.9" x14ac:dyDescent="0.4">
      <c r="A178" s="4"/>
      <c r="B178" s="4"/>
      <c r="C178" s="4"/>
      <c r="D178" s="4"/>
      <c r="E178" s="4"/>
      <c r="F178" s="4"/>
      <c r="G178" s="4"/>
      <c r="H178" s="4"/>
      <c r="I178" s="4"/>
    </row>
    <row r="179" spans="1:9" ht="15.9" x14ac:dyDescent="0.4">
      <c r="A179" s="4"/>
      <c r="B179" s="4"/>
      <c r="C179" s="4"/>
      <c r="D179" s="4"/>
      <c r="E179" s="4"/>
      <c r="F179" s="4"/>
      <c r="G179" s="4"/>
      <c r="H179" s="4"/>
      <c r="I179" s="4"/>
    </row>
    <row r="180" spans="1:9" ht="15.9" x14ac:dyDescent="0.4">
      <c r="A180" s="4"/>
      <c r="B180" s="4"/>
      <c r="C180" s="4"/>
      <c r="D180" s="4"/>
      <c r="E180" s="4"/>
      <c r="F180" s="4"/>
      <c r="G180" s="4"/>
      <c r="H180" s="4"/>
      <c r="I180" s="4"/>
    </row>
    <row r="181" spans="1:9" ht="15.9" x14ac:dyDescent="0.4">
      <c r="A181" s="4"/>
      <c r="B181" s="4"/>
      <c r="C181" s="4"/>
      <c r="D181" s="4"/>
      <c r="E181" s="4"/>
      <c r="F181" s="4"/>
      <c r="G181" s="4"/>
      <c r="H181" s="4"/>
      <c r="I181" s="4"/>
    </row>
    <row r="182" spans="1:9" ht="15.9" x14ac:dyDescent="0.4">
      <c r="A182" s="4"/>
      <c r="B182" s="4"/>
      <c r="C182" s="4"/>
      <c r="D182" s="4"/>
      <c r="E182" s="4"/>
      <c r="F182" s="4"/>
      <c r="G182" s="4"/>
      <c r="H182" s="4"/>
      <c r="I182" s="4"/>
    </row>
    <row r="183" spans="1:9" ht="15.9" x14ac:dyDescent="0.4">
      <c r="A183" s="4"/>
      <c r="B183" s="4"/>
      <c r="C183" s="4"/>
      <c r="D183" s="4"/>
      <c r="E183" s="4"/>
      <c r="F183" s="4"/>
      <c r="G183" s="4"/>
      <c r="H183" s="4"/>
      <c r="I183" s="4"/>
    </row>
    <row r="184" spans="1:9" ht="15.9" x14ac:dyDescent="0.4">
      <c r="A184" s="4"/>
      <c r="B184" s="4"/>
      <c r="C184" s="4"/>
      <c r="D184" s="4"/>
      <c r="E184" s="4"/>
      <c r="F184" s="4"/>
      <c r="G184" s="4"/>
      <c r="H184" s="4"/>
      <c r="I184" s="4"/>
    </row>
    <row r="185" spans="1:9" ht="15.9" x14ac:dyDescent="0.4">
      <c r="A185" s="4"/>
      <c r="B185" s="4"/>
      <c r="C185" s="4"/>
      <c r="D185" s="4"/>
      <c r="E185" s="4"/>
      <c r="F185" s="4"/>
      <c r="G185" s="4"/>
      <c r="H185" s="4"/>
      <c r="I185" s="4"/>
    </row>
    <row r="186" spans="1:9" ht="15.9" x14ac:dyDescent="0.4">
      <c r="A186" s="4"/>
      <c r="B186" s="4"/>
      <c r="C186" s="4"/>
      <c r="D186" s="4"/>
      <c r="E186" s="4"/>
      <c r="F186" s="4"/>
      <c r="G186" s="4"/>
      <c r="H186" s="4"/>
      <c r="I186" s="4"/>
    </row>
    <row r="187" spans="1:9" ht="15.9" x14ac:dyDescent="0.4">
      <c r="A187" s="4"/>
      <c r="B187" s="4"/>
      <c r="C187" s="4"/>
      <c r="D187" s="4"/>
      <c r="E187" s="4"/>
      <c r="F187" s="4"/>
      <c r="G187" s="4"/>
      <c r="H187" s="4"/>
      <c r="I187" s="4"/>
    </row>
    <row r="188" spans="1:9" ht="15.9" x14ac:dyDescent="0.4">
      <c r="A188" s="4"/>
      <c r="B188" s="4"/>
      <c r="C188" s="4"/>
      <c r="D188" s="4"/>
      <c r="E188" s="4"/>
      <c r="F188" s="4"/>
      <c r="G188" s="4"/>
      <c r="H188" s="4"/>
      <c r="I188" s="4"/>
    </row>
    <row r="189" spans="1:9" ht="15.9" x14ac:dyDescent="0.4">
      <c r="A189" s="4"/>
      <c r="B189" s="4"/>
      <c r="C189" s="4"/>
      <c r="D189" s="4"/>
      <c r="E189" s="4"/>
      <c r="F189" s="4"/>
      <c r="G189" s="4"/>
      <c r="H189" s="4"/>
      <c r="I189" s="4"/>
    </row>
    <row r="190" spans="1:9" ht="15.9" x14ac:dyDescent="0.4">
      <c r="A190" s="4"/>
      <c r="B190" s="4"/>
      <c r="C190" s="4"/>
      <c r="D190" s="4"/>
      <c r="E190" s="4"/>
      <c r="F190" s="4"/>
      <c r="G190" s="4"/>
      <c r="H190" s="4"/>
      <c r="I190" s="4"/>
    </row>
    <row r="191" spans="1:9" ht="15.9" x14ac:dyDescent="0.4">
      <c r="A191" s="4"/>
      <c r="B191" s="4"/>
      <c r="C191" s="4"/>
      <c r="D191" s="4"/>
      <c r="E191" s="4"/>
      <c r="F191" s="4"/>
      <c r="G191" s="4"/>
      <c r="H191" s="4"/>
      <c r="I191" s="4"/>
    </row>
    <row r="192" spans="1:9" ht="15.9" x14ac:dyDescent="0.4">
      <c r="A192" s="4"/>
      <c r="B192" s="4"/>
      <c r="C192" s="4"/>
      <c r="D192" s="4"/>
      <c r="E192" s="4"/>
      <c r="F192" s="4"/>
      <c r="G192" s="4"/>
      <c r="H192" s="4"/>
      <c r="I192" s="4"/>
    </row>
    <row r="193" spans="1:9" ht="15.9" x14ac:dyDescent="0.4">
      <c r="A193" s="4"/>
      <c r="B193" s="4"/>
      <c r="C193" s="4"/>
      <c r="D193" s="4"/>
      <c r="E193" s="4"/>
      <c r="F193" s="4"/>
      <c r="G193" s="4"/>
      <c r="H193" s="4"/>
      <c r="I193" s="4"/>
    </row>
    <row r="194" spans="1:9" ht="15.9" x14ac:dyDescent="0.4">
      <c r="A194" s="4"/>
      <c r="B194" s="4"/>
      <c r="C194" s="4"/>
      <c r="D194" s="4"/>
      <c r="E194" s="4"/>
      <c r="F194" s="4"/>
      <c r="G194" s="4"/>
      <c r="H194" s="4"/>
      <c r="I194" s="4"/>
    </row>
    <row r="195" spans="1:9" ht="15.9" x14ac:dyDescent="0.4">
      <c r="A195" s="4"/>
      <c r="B195" s="4"/>
      <c r="C195" s="4"/>
      <c r="D195" s="4"/>
      <c r="E195" s="4"/>
      <c r="F195" s="4"/>
      <c r="G195" s="4"/>
      <c r="H195" s="4"/>
      <c r="I195" s="4"/>
    </row>
    <row r="196" spans="1:9" ht="15.9" x14ac:dyDescent="0.4">
      <c r="A196" s="4"/>
      <c r="B196" s="4"/>
      <c r="C196" s="4"/>
      <c r="D196" s="4"/>
      <c r="E196" s="4"/>
      <c r="F196" s="4"/>
      <c r="G196" s="4"/>
      <c r="H196" s="4"/>
      <c r="I196" s="4"/>
    </row>
    <row r="197" spans="1:9" ht="15.9" x14ac:dyDescent="0.4">
      <c r="A197" s="4"/>
      <c r="B197" s="4"/>
      <c r="C197" s="4"/>
      <c r="D197" s="4"/>
      <c r="E197" s="4"/>
      <c r="F197" s="4"/>
      <c r="G197" s="4"/>
      <c r="H197" s="4"/>
      <c r="I197" s="4"/>
    </row>
    <row r="198" spans="1:9" ht="15.9" x14ac:dyDescent="0.4">
      <c r="A198" s="4"/>
      <c r="B198" s="4"/>
      <c r="C198" s="4"/>
      <c r="D198" s="4"/>
      <c r="E198" s="4"/>
      <c r="F198" s="4"/>
      <c r="G198" s="4"/>
      <c r="H198" s="4"/>
      <c r="I198" s="4"/>
    </row>
    <row r="199" spans="1:9" ht="15.9" x14ac:dyDescent="0.4">
      <c r="A199" s="4"/>
      <c r="B199" s="4"/>
      <c r="C199" s="4"/>
      <c r="D199" s="4"/>
      <c r="E199" s="4"/>
      <c r="F199" s="4"/>
      <c r="G199" s="4"/>
      <c r="H199" s="4"/>
      <c r="I199" s="4"/>
    </row>
    <row r="200" spans="1:9" ht="15.9" x14ac:dyDescent="0.4">
      <c r="A200" s="4"/>
      <c r="B200" s="4"/>
      <c r="C200" s="4"/>
      <c r="D200" s="4"/>
      <c r="E200" s="4"/>
      <c r="F200" s="4"/>
      <c r="G200" s="4"/>
      <c r="H200" s="4"/>
      <c r="I200" s="4"/>
    </row>
    <row r="201" spans="1:9" ht="15.9" x14ac:dyDescent="0.4">
      <c r="A201" s="4"/>
      <c r="B201" s="4"/>
      <c r="C201" s="4"/>
      <c r="D201" s="4"/>
      <c r="E201" s="4"/>
      <c r="F201" s="4"/>
      <c r="G201" s="4"/>
      <c r="H201" s="4"/>
      <c r="I201" s="4"/>
    </row>
    <row r="202" spans="1:9" ht="15.9" x14ac:dyDescent="0.4">
      <c r="A202" s="4"/>
      <c r="B202" s="4"/>
      <c r="C202" s="4"/>
      <c r="D202" s="4"/>
      <c r="E202" s="4"/>
      <c r="F202" s="4"/>
      <c r="G202" s="4"/>
      <c r="H202" s="4"/>
      <c r="I202" s="4"/>
    </row>
    <row r="203" spans="1:9" ht="15.9" x14ac:dyDescent="0.4">
      <c r="A203" s="4"/>
      <c r="B203" s="4"/>
      <c r="C203" s="4"/>
      <c r="D203" s="4"/>
      <c r="E203" s="4"/>
      <c r="F203" s="4"/>
      <c r="G203" s="4"/>
      <c r="H203" s="4"/>
      <c r="I203" s="4"/>
    </row>
    <row r="204" spans="1:9" ht="15.9" x14ac:dyDescent="0.4">
      <c r="A204" s="4"/>
      <c r="B204" s="4"/>
      <c r="C204" s="4"/>
      <c r="D204" s="4"/>
      <c r="E204" s="4"/>
      <c r="F204" s="4"/>
      <c r="G204" s="4"/>
      <c r="H204" s="4"/>
      <c r="I204" s="4"/>
    </row>
    <row r="205" spans="1:9" ht="15.9" x14ac:dyDescent="0.4">
      <c r="A205" s="4"/>
      <c r="B205" s="4"/>
      <c r="C205" s="4"/>
      <c r="D205" s="4"/>
      <c r="E205" s="4"/>
      <c r="F205" s="4"/>
      <c r="G205" s="4"/>
      <c r="H205" s="4"/>
      <c r="I205" s="4"/>
    </row>
    <row r="206" spans="1:9" ht="15.9" x14ac:dyDescent="0.4">
      <c r="A206" s="4"/>
      <c r="B206" s="4"/>
      <c r="C206" s="4"/>
      <c r="D206" s="4"/>
      <c r="E206" s="4"/>
      <c r="F206" s="4"/>
      <c r="G206" s="4"/>
      <c r="H206" s="4"/>
      <c r="I206" s="4"/>
    </row>
    <row r="207" spans="1:9" ht="15.9" x14ac:dyDescent="0.4">
      <c r="A207" s="4"/>
      <c r="B207" s="4"/>
      <c r="C207" s="4"/>
      <c r="D207" s="4"/>
      <c r="E207" s="4"/>
      <c r="F207" s="4"/>
      <c r="G207" s="4"/>
      <c r="H207" s="4"/>
      <c r="I207" s="4"/>
    </row>
    <row r="208" spans="1:9" ht="15.9" x14ac:dyDescent="0.4">
      <c r="A208" s="4"/>
      <c r="B208" s="4"/>
      <c r="C208" s="4"/>
      <c r="D208" s="4"/>
      <c r="E208" s="4"/>
      <c r="F208" s="4"/>
      <c r="G208" s="4"/>
      <c r="H208" s="4"/>
      <c r="I208" s="4"/>
    </row>
    <row r="209" spans="1:9" ht="15.9" x14ac:dyDescent="0.4">
      <c r="A209" s="4"/>
      <c r="B209" s="4"/>
      <c r="C209" s="4"/>
      <c r="D209" s="4"/>
      <c r="E209" s="4"/>
      <c r="F209" s="4"/>
      <c r="G209" s="4"/>
      <c r="H209" s="4"/>
      <c r="I209" s="4"/>
    </row>
    <row r="210" spans="1:9" ht="15.9" x14ac:dyDescent="0.4">
      <c r="A210" s="4"/>
      <c r="B210" s="4"/>
      <c r="C210" s="4"/>
      <c r="D210" s="4"/>
      <c r="E210" s="4"/>
      <c r="F210" s="4"/>
      <c r="G210" s="4"/>
      <c r="H210" s="4"/>
      <c r="I210" s="4"/>
    </row>
    <row r="211" spans="1:9" ht="15.9" x14ac:dyDescent="0.4">
      <c r="A211" s="4"/>
      <c r="B211" s="4"/>
      <c r="C211" s="4"/>
      <c r="D211" s="4"/>
      <c r="E211" s="4"/>
      <c r="F211" s="4"/>
      <c r="G211" s="4"/>
      <c r="H211" s="4"/>
      <c r="I211" s="4"/>
    </row>
    <row r="212" spans="1:9" ht="15.9" x14ac:dyDescent="0.4">
      <c r="A212" s="4"/>
      <c r="B212" s="4"/>
      <c r="C212" s="4"/>
      <c r="D212" s="4"/>
      <c r="E212" s="4"/>
      <c r="F212" s="4"/>
      <c r="G212" s="4"/>
      <c r="H212" s="4"/>
      <c r="I212" s="4"/>
    </row>
    <row r="213" spans="1:9" ht="15.9" x14ac:dyDescent="0.4">
      <c r="A213" s="4"/>
      <c r="B213" s="4"/>
      <c r="C213" s="4"/>
      <c r="D213" s="4"/>
      <c r="E213" s="4"/>
      <c r="F213" s="4"/>
      <c r="G213" s="4"/>
      <c r="H213" s="4"/>
      <c r="I213" s="4"/>
    </row>
    <row r="214" spans="1:9" ht="15.9" x14ac:dyDescent="0.4">
      <c r="A214" s="4"/>
      <c r="B214" s="4"/>
      <c r="C214" s="4"/>
      <c r="D214" s="4"/>
      <c r="E214" s="4"/>
      <c r="F214" s="4"/>
      <c r="G214" s="4"/>
      <c r="H214" s="4"/>
      <c r="I214" s="4"/>
    </row>
    <row r="215" spans="1:9" ht="15.9" x14ac:dyDescent="0.4">
      <c r="A215" s="4"/>
      <c r="B215" s="4"/>
      <c r="C215" s="4"/>
      <c r="D215" s="4"/>
      <c r="E215" s="4"/>
      <c r="F215" s="4"/>
      <c r="G215" s="4"/>
      <c r="H215" s="4"/>
      <c r="I215" s="4"/>
    </row>
    <row r="216" spans="1:9" ht="15.9" x14ac:dyDescent="0.4">
      <c r="A216" s="4"/>
      <c r="B216" s="4"/>
      <c r="C216" s="4"/>
      <c r="D216" s="4"/>
      <c r="E216" s="4"/>
      <c r="F216" s="4"/>
      <c r="G216" s="4"/>
      <c r="H216" s="4"/>
      <c r="I216" s="4"/>
    </row>
    <row r="217" spans="1:9" ht="15.9" x14ac:dyDescent="0.4">
      <c r="A217" s="4"/>
      <c r="B217" s="4"/>
      <c r="C217" s="4"/>
      <c r="D217" s="4"/>
      <c r="E217" s="4"/>
      <c r="F217" s="4"/>
      <c r="G217" s="4"/>
      <c r="H217" s="4"/>
      <c r="I217" s="4"/>
    </row>
    <row r="218" spans="1:9" ht="15.9" x14ac:dyDescent="0.4">
      <c r="A218" s="4"/>
      <c r="B218" s="4"/>
      <c r="C218" s="4"/>
      <c r="D218" s="4"/>
      <c r="E218" s="4"/>
      <c r="F218" s="4"/>
      <c r="G218" s="4"/>
      <c r="H218" s="4"/>
      <c r="I218" s="4"/>
    </row>
    <row r="219" spans="1:9" ht="15.9" x14ac:dyDescent="0.4">
      <c r="A219" s="4"/>
      <c r="B219" s="4"/>
      <c r="C219" s="4"/>
      <c r="D219" s="4"/>
      <c r="E219" s="4"/>
      <c r="F219" s="4"/>
      <c r="G219" s="4"/>
      <c r="H219" s="4"/>
      <c r="I219" s="4"/>
    </row>
    <row r="220" spans="1:9" ht="15.9" x14ac:dyDescent="0.4">
      <c r="A220" s="4"/>
      <c r="B220" s="4"/>
      <c r="C220" s="4"/>
      <c r="D220" s="4"/>
      <c r="E220" s="4"/>
      <c r="F220" s="4"/>
      <c r="G220" s="4"/>
      <c r="H220" s="4"/>
      <c r="I220" s="4"/>
    </row>
    <row r="221" spans="1:9" ht="15.9" x14ac:dyDescent="0.4">
      <c r="A221" s="4"/>
      <c r="B221" s="4"/>
      <c r="C221" s="4"/>
      <c r="D221" s="4"/>
      <c r="E221" s="4"/>
      <c r="F221" s="4"/>
      <c r="G221" s="4"/>
      <c r="H221" s="4"/>
      <c r="I221" s="4"/>
    </row>
    <row r="222" spans="1:9" ht="15.9" x14ac:dyDescent="0.4">
      <c r="A222" s="4"/>
      <c r="B222" s="4"/>
      <c r="C222" s="4"/>
      <c r="D222" s="4"/>
      <c r="E222" s="4"/>
      <c r="F222" s="4"/>
      <c r="G222" s="4"/>
      <c r="H222" s="4"/>
      <c r="I222" s="4"/>
    </row>
    <row r="223" spans="1:9" ht="15.9" x14ac:dyDescent="0.4">
      <c r="A223" s="4"/>
      <c r="B223" s="4"/>
      <c r="C223" s="4"/>
      <c r="D223" s="4"/>
      <c r="E223" s="4"/>
      <c r="F223" s="4"/>
      <c r="G223" s="4"/>
      <c r="H223" s="4"/>
      <c r="I223" s="4"/>
    </row>
    <row r="224" spans="1:9" ht="15.9" x14ac:dyDescent="0.4">
      <c r="A224" s="4"/>
      <c r="B224" s="4"/>
      <c r="C224" s="4"/>
      <c r="D224" s="4"/>
      <c r="E224" s="4"/>
      <c r="F224" s="4"/>
      <c r="G224" s="4"/>
      <c r="H224" s="4"/>
      <c r="I224" s="4"/>
    </row>
    <row r="225" spans="1:9" ht="15.9" x14ac:dyDescent="0.4">
      <c r="A225" s="4"/>
      <c r="B225" s="4"/>
      <c r="C225" s="4"/>
      <c r="D225" s="4"/>
      <c r="E225" s="4"/>
      <c r="F225" s="4"/>
      <c r="G225" s="4"/>
      <c r="H225" s="4"/>
      <c r="I225" s="4"/>
    </row>
    <row r="226" spans="1:9" ht="15.9" x14ac:dyDescent="0.4">
      <c r="A226" s="4"/>
      <c r="B226" s="4"/>
      <c r="C226" s="4"/>
      <c r="D226" s="4"/>
      <c r="E226" s="4"/>
      <c r="F226" s="4"/>
      <c r="G226" s="4"/>
      <c r="H226" s="4"/>
      <c r="I226" s="4"/>
    </row>
    <row r="227" spans="1:9" ht="15.9" x14ac:dyDescent="0.4">
      <c r="A227" s="4"/>
      <c r="B227" s="4"/>
      <c r="C227" s="4"/>
      <c r="D227" s="4"/>
      <c r="E227" s="4"/>
      <c r="F227" s="4"/>
      <c r="G227" s="4"/>
      <c r="H227" s="4"/>
      <c r="I227" s="4"/>
    </row>
    <row r="228" spans="1:9" ht="15.9" x14ac:dyDescent="0.4">
      <c r="A228" s="4"/>
      <c r="B228" s="4"/>
      <c r="C228" s="4"/>
      <c r="D228" s="4"/>
      <c r="E228" s="4"/>
      <c r="F228" s="4"/>
      <c r="G228" s="4"/>
      <c r="H228" s="4"/>
      <c r="I228" s="4"/>
    </row>
    <row r="229" spans="1:9" ht="15.9" x14ac:dyDescent="0.4">
      <c r="A229" s="4"/>
      <c r="B229" s="4"/>
      <c r="C229" s="4"/>
      <c r="D229" s="4"/>
      <c r="E229" s="4"/>
      <c r="F229" s="4"/>
      <c r="G229" s="4"/>
      <c r="H229" s="4"/>
      <c r="I229" s="4"/>
    </row>
    <row r="230" spans="1:9" ht="15.9" x14ac:dyDescent="0.4">
      <c r="A230" s="4"/>
      <c r="B230" s="4"/>
      <c r="C230" s="4"/>
      <c r="D230" s="4"/>
      <c r="E230" s="4"/>
      <c r="F230" s="4"/>
      <c r="G230" s="4"/>
      <c r="H230" s="4"/>
      <c r="I230" s="4"/>
    </row>
    <row r="231" spans="1:9" ht="15.9" x14ac:dyDescent="0.4">
      <c r="A231" s="4"/>
      <c r="B231" s="4"/>
      <c r="C231" s="4"/>
      <c r="D231" s="4"/>
      <c r="E231" s="4"/>
      <c r="F231" s="4"/>
      <c r="G231" s="4"/>
      <c r="H231" s="4"/>
      <c r="I231" s="4"/>
    </row>
    <row r="232" spans="1:9" ht="15.9" x14ac:dyDescent="0.4">
      <c r="A232" s="4"/>
      <c r="B232" s="4"/>
      <c r="C232" s="4"/>
      <c r="D232" s="4"/>
      <c r="E232" s="4"/>
      <c r="F232" s="4"/>
      <c r="G232" s="4"/>
      <c r="H232" s="4"/>
      <c r="I232" s="4"/>
    </row>
    <row r="233" spans="1:9" ht="15.9" x14ac:dyDescent="0.4">
      <c r="A233" s="4"/>
      <c r="B233" s="4"/>
      <c r="C233" s="4"/>
      <c r="D233" s="4"/>
      <c r="E233" s="4"/>
      <c r="F233" s="4"/>
      <c r="G233" s="4"/>
      <c r="H233" s="4"/>
      <c r="I233" s="4"/>
    </row>
    <row r="234" spans="1:9" ht="15.9" x14ac:dyDescent="0.4">
      <c r="A234" s="4"/>
      <c r="B234" s="4"/>
      <c r="C234" s="4"/>
      <c r="D234" s="4"/>
      <c r="E234" s="4"/>
      <c r="F234" s="4"/>
      <c r="G234" s="4"/>
      <c r="H234" s="4"/>
      <c r="I234" s="4"/>
    </row>
    <row r="235" spans="1:9" ht="15.9" x14ac:dyDescent="0.4">
      <c r="A235" s="4"/>
      <c r="B235" s="4"/>
      <c r="C235" s="4"/>
      <c r="D235" s="4"/>
      <c r="E235" s="4"/>
      <c r="F235" s="4"/>
      <c r="G235" s="4"/>
      <c r="H235" s="4"/>
      <c r="I235" s="4"/>
    </row>
    <row r="236" spans="1:9" ht="15.9" x14ac:dyDescent="0.4">
      <c r="A236" s="4"/>
      <c r="B236" s="4"/>
      <c r="C236" s="4"/>
      <c r="D236" s="4"/>
      <c r="E236" s="4"/>
      <c r="F236" s="4"/>
      <c r="G236" s="4"/>
      <c r="H236" s="4"/>
      <c r="I236" s="4"/>
    </row>
    <row r="237" spans="1:9" ht="15.9" x14ac:dyDescent="0.4">
      <c r="A237" s="4"/>
      <c r="B237" s="4"/>
      <c r="C237" s="4"/>
      <c r="D237" s="4"/>
      <c r="E237" s="4"/>
      <c r="F237" s="4"/>
      <c r="G237" s="4"/>
      <c r="H237" s="4"/>
      <c r="I237" s="4"/>
    </row>
    <row r="238" spans="1:9" ht="15.9" x14ac:dyDescent="0.4">
      <c r="A238" s="4"/>
      <c r="B238" s="4"/>
      <c r="C238" s="4"/>
      <c r="D238" s="4"/>
      <c r="E238" s="4"/>
      <c r="F238" s="4"/>
      <c r="G238" s="4"/>
      <c r="H238" s="4"/>
      <c r="I238" s="4"/>
    </row>
    <row r="239" spans="1:9" ht="15.9" x14ac:dyDescent="0.4">
      <c r="A239" s="4"/>
      <c r="B239" s="4"/>
      <c r="C239" s="4"/>
      <c r="D239" s="4"/>
      <c r="E239" s="4"/>
      <c r="F239" s="4"/>
      <c r="G239" s="4"/>
      <c r="H239" s="4"/>
      <c r="I239" s="4"/>
    </row>
    <row r="240" spans="1:9" ht="15.9" x14ac:dyDescent="0.4">
      <c r="A240" s="4"/>
      <c r="B240" s="4"/>
      <c r="C240" s="4"/>
      <c r="D240" s="4"/>
      <c r="E240" s="4"/>
      <c r="F240" s="4"/>
      <c r="G240" s="4"/>
      <c r="H240" s="4"/>
      <c r="I240" s="4"/>
    </row>
    <row r="241" spans="1:9" ht="15.9" x14ac:dyDescent="0.4">
      <c r="A241" s="4"/>
      <c r="B241" s="4"/>
      <c r="C241" s="4"/>
      <c r="D241" s="4"/>
      <c r="E241" s="4"/>
      <c r="F241" s="4"/>
      <c r="G241" s="4"/>
      <c r="H241" s="4"/>
      <c r="I241" s="4"/>
    </row>
    <row r="242" spans="1:9" ht="15.9" x14ac:dyDescent="0.4">
      <c r="A242" s="4"/>
      <c r="B242" s="4"/>
      <c r="C242" s="4"/>
      <c r="D242" s="4"/>
      <c r="E242" s="4"/>
      <c r="F242" s="4"/>
      <c r="G242" s="4"/>
      <c r="H242" s="4"/>
      <c r="I242" s="4"/>
    </row>
    <row r="243" spans="1:9" ht="15.9" x14ac:dyDescent="0.4">
      <c r="A243" s="4"/>
      <c r="B243" s="4"/>
      <c r="C243" s="4"/>
      <c r="D243" s="4"/>
      <c r="E243" s="4"/>
      <c r="F243" s="4"/>
      <c r="G243" s="4"/>
      <c r="H243" s="4"/>
      <c r="I243" s="4"/>
    </row>
    <row r="244" spans="1:9" ht="15.9" x14ac:dyDescent="0.4">
      <c r="A244" s="4"/>
      <c r="B244" s="4"/>
      <c r="C244" s="4"/>
      <c r="D244" s="4"/>
      <c r="E244" s="4"/>
      <c r="F244" s="4"/>
      <c r="G244" s="4"/>
      <c r="H244" s="4"/>
      <c r="I244" s="4"/>
    </row>
    <row r="245" spans="1:9" ht="15.9" x14ac:dyDescent="0.4">
      <c r="A245" s="4"/>
      <c r="B245" s="4"/>
      <c r="C245" s="4"/>
      <c r="D245" s="4"/>
      <c r="E245" s="4"/>
      <c r="F245" s="4"/>
      <c r="G245" s="4"/>
      <c r="H245" s="4"/>
      <c r="I245" s="4"/>
    </row>
    <row r="246" spans="1:9" ht="15.9" x14ac:dyDescent="0.4">
      <c r="A246" s="4"/>
      <c r="B246" s="4"/>
      <c r="C246" s="4"/>
      <c r="D246" s="4"/>
      <c r="E246" s="4"/>
      <c r="F246" s="4"/>
      <c r="G246" s="4"/>
      <c r="H246" s="4"/>
      <c r="I246" s="4"/>
    </row>
    <row r="247" spans="1:9" ht="15.9" x14ac:dyDescent="0.4">
      <c r="A247" s="4"/>
      <c r="B247" s="4"/>
      <c r="C247" s="4"/>
      <c r="D247" s="4"/>
      <c r="E247" s="4"/>
      <c r="F247" s="4"/>
      <c r="G247" s="4"/>
      <c r="H247" s="4"/>
      <c r="I247" s="4"/>
    </row>
    <row r="248" spans="1:9" ht="15.9" x14ac:dyDescent="0.4">
      <c r="A248" s="4"/>
      <c r="B248" s="4"/>
      <c r="C248" s="4"/>
      <c r="D248" s="4"/>
      <c r="E248" s="4"/>
      <c r="F248" s="4"/>
      <c r="G248" s="4"/>
      <c r="H248" s="4"/>
      <c r="I248" s="4"/>
    </row>
    <row r="249" spans="1:9" ht="15.9" x14ac:dyDescent="0.4">
      <c r="A249" s="4"/>
      <c r="B249" s="4"/>
      <c r="C249" s="4"/>
      <c r="D249" s="4"/>
      <c r="E249" s="4"/>
      <c r="F249" s="4"/>
      <c r="G249" s="4"/>
      <c r="H249" s="4"/>
      <c r="I249" s="4"/>
    </row>
    <row r="250" spans="1:9" ht="15.9" x14ac:dyDescent="0.4">
      <c r="A250" s="4"/>
      <c r="B250" s="4"/>
      <c r="C250" s="4"/>
      <c r="D250" s="4"/>
      <c r="E250" s="4"/>
      <c r="F250" s="4"/>
      <c r="G250" s="4"/>
      <c r="H250" s="4"/>
      <c r="I250" s="4"/>
    </row>
    <row r="251" spans="1:9" ht="15.9" x14ac:dyDescent="0.4">
      <c r="A251" s="4"/>
      <c r="B251" s="4"/>
      <c r="C251" s="4"/>
      <c r="D251" s="4"/>
      <c r="E251" s="4"/>
      <c r="F251" s="4"/>
      <c r="G251" s="4"/>
      <c r="H251" s="4"/>
      <c r="I251" s="4"/>
    </row>
    <row r="252" spans="1:9" ht="15.9" x14ac:dyDescent="0.4">
      <c r="A252" s="4"/>
      <c r="B252" s="4"/>
      <c r="C252" s="4"/>
      <c r="D252" s="4"/>
      <c r="E252" s="4"/>
      <c r="F252" s="4"/>
      <c r="G252" s="4"/>
      <c r="H252" s="4"/>
      <c r="I252" s="4"/>
    </row>
    <row r="253" spans="1:9" ht="15.9" x14ac:dyDescent="0.4">
      <c r="A253" s="4"/>
      <c r="B253" s="4"/>
      <c r="C253" s="4"/>
      <c r="D253" s="4"/>
      <c r="E253" s="4"/>
      <c r="F253" s="4"/>
      <c r="G253" s="4"/>
      <c r="H253" s="4"/>
      <c r="I253" s="4"/>
    </row>
    <row r="254" spans="1:9" ht="15.9" x14ac:dyDescent="0.4">
      <c r="A254" s="4"/>
      <c r="B254" s="4"/>
      <c r="C254" s="4"/>
      <c r="D254" s="4"/>
      <c r="E254" s="4"/>
      <c r="F254" s="4"/>
      <c r="G254" s="4"/>
      <c r="H254" s="4"/>
      <c r="I254" s="4"/>
    </row>
    <row r="255" spans="1:9" ht="15.9" x14ac:dyDescent="0.4">
      <c r="A255" s="4"/>
      <c r="B255" s="4"/>
      <c r="C255" s="4"/>
      <c r="D255" s="4"/>
      <c r="E255" s="4"/>
      <c r="F255" s="4"/>
      <c r="G255" s="4"/>
      <c r="H255" s="4"/>
      <c r="I255" s="4"/>
    </row>
    <row r="256" spans="1:9" ht="15.9" x14ac:dyDescent="0.4">
      <c r="A256" s="4"/>
      <c r="B256" s="4"/>
      <c r="C256" s="4"/>
      <c r="D256" s="4"/>
      <c r="E256" s="4"/>
      <c r="F256" s="4"/>
      <c r="G256" s="4"/>
      <c r="H256" s="4"/>
      <c r="I256" s="4"/>
    </row>
    <row r="257" spans="1:9" ht="15.9" x14ac:dyDescent="0.4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5.9" x14ac:dyDescent="0.4">
      <c r="A258" s="4"/>
      <c r="B258" s="4"/>
      <c r="C258" s="4"/>
      <c r="D258" s="4"/>
      <c r="E258" s="4"/>
      <c r="F258" s="4"/>
      <c r="G258" s="4"/>
      <c r="H258" s="4"/>
      <c r="I258" s="4"/>
    </row>
    <row r="259" spans="1:9" ht="15.9" x14ac:dyDescent="0.4">
      <c r="A259" s="4"/>
      <c r="B259" s="4"/>
      <c r="C259" s="4"/>
      <c r="D259" s="4"/>
      <c r="E259" s="4"/>
      <c r="F259" s="4"/>
      <c r="G259" s="4"/>
      <c r="H259" s="4"/>
      <c r="I259" s="4"/>
    </row>
    <row r="260" spans="1:9" ht="15.9" x14ac:dyDescent="0.4">
      <c r="A260" s="4"/>
      <c r="B260" s="4"/>
      <c r="C260" s="4"/>
      <c r="D260" s="4"/>
      <c r="E260" s="4"/>
      <c r="F260" s="4"/>
      <c r="G260" s="4"/>
      <c r="H260" s="4"/>
      <c r="I260" s="4"/>
    </row>
    <row r="261" spans="1:9" ht="15.9" x14ac:dyDescent="0.4">
      <c r="A261" s="4"/>
      <c r="B261" s="4"/>
      <c r="C261" s="4"/>
      <c r="D261" s="4"/>
      <c r="E261" s="4"/>
      <c r="F261" s="4"/>
      <c r="G261" s="4"/>
      <c r="H261" s="4"/>
      <c r="I261" s="4"/>
    </row>
    <row r="262" spans="1:9" ht="15.9" x14ac:dyDescent="0.4">
      <c r="A262" s="4"/>
      <c r="B262" s="4"/>
      <c r="C262" s="4"/>
      <c r="D262" s="4"/>
      <c r="E262" s="4"/>
      <c r="F262" s="4"/>
      <c r="G262" s="4"/>
      <c r="H262" s="4"/>
      <c r="I262" s="4"/>
    </row>
    <row r="263" spans="1:9" ht="15.9" x14ac:dyDescent="0.4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5.9" x14ac:dyDescent="0.4">
      <c r="A264" s="4"/>
      <c r="B264" s="4"/>
      <c r="C264" s="4"/>
      <c r="D264" s="4"/>
      <c r="E264" s="4"/>
      <c r="F264" s="4"/>
      <c r="G264" s="4"/>
      <c r="H264" s="4"/>
      <c r="I264" s="4"/>
    </row>
    <row r="265" spans="1:9" ht="15.9" x14ac:dyDescent="0.4">
      <c r="A265" s="4"/>
      <c r="B265" s="4"/>
      <c r="C265" s="4"/>
      <c r="D265" s="4"/>
      <c r="E265" s="4"/>
      <c r="F265" s="4"/>
      <c r="G265" s="4"/>
      <c r="H265" s="4"/>
      <c r="I265" s="4"/>
    </row>
    <row r="266" spans="1:9" ht="15.9" x14ac:dyDescent="0.4">
      <c r="A266" s="4"/>
      <c r="B266" s="4"/>
      <c r="C266" s="4"/>
      <c r="D266" s="4"/>
      <c r="E266" s="4"/>
      <c r="F266" s="4"/>
      <c r="G266" s="4"/>
      <c r="H266" s="4"/>
      <c r="I266" s="4"/>
    </row>
    <row r="267" spans="1:9" ht="15.9" x14ac:dyDescent="0.4">
      <c r="A267" s="4"/>
      <c r="B267" s="4"/>
      <c r="C267" s="4"/>
      <c r="D267" s="4"/>
      <c r="E267" s="4"/>
      <c r="F267" s="4"/>
      <c r="G267" s="4"/>
      <c r="H267" s="4"/>
      <c r="I267" s="4"/>
    </row>
    <row r="268" spans="1:9" ht="15.9" x14ac:dyDescent="0.4">
      <c r="A268" s="4"/>
      <c r="B268" s="4"/>
      <c r="C268" s="4"/>
      <c r="D268" s="4"/>
      <c r="E268" s="4"/>
      <c r="F268" s="4"/>
      <c r="G268" s="4"/>
      <c r="H268" s="4"/>
      <c r="I268" s="4"/>
    </row>
    <row r="269" spans="1:9" ht="15.9" x14ac:dyDescent="0.4">
      <c r="A269" s="4"/>
      <c r="B269" s="4"/>
      <c r="C269" s="4"/>
      <c r="D269" s="4"/>
      <c r="E269" s="4"/>
      <c r="F269" s="4"/>
      <c r="G269" s="4"/>
      <c r="H269" s="4"/>
      <c r="I269" s="4"/>
    </row>
    <row r="270" spans="1:9" ht="15.9" x14ac:dyDescent="0.4">
      <c r="A270" s="4"/>
      <c r="B270" s="4"/>
      <c r="C270" s="4"/>
      <c r="D270" s="4"/>
      <c r="E270" s="4"/>
      <c r="F270" s="4"/>
      <c r="G270" s="4"/>
      <c r="H270" s="4"/>
      <c r="I270" s="4"/>
    </row>
    <row r="271" spans="1:9" ht="15.9" x14ac:dyDescent="0.4">
      <c r="A271" s="4"/>
      <c r="B271" s="4"/>
      <c r="C271" s="4"/>
      <c r="D271" s="4"/>
      <c r="E271" s="4"/>
      <c r="F271" s="4"/>
      <c r="G271" s="4"/>
      <c r="H271" s="4"/>
      <c r="I271" s="4"/>
    </row>
    <row r="272" spans="1:9" ht="15.9" x14ac:dyDescent="0.4">
      <c r="A272" s="4"/>
      <c r="B272" s="4"/>
      <c r="C272" s="4"/>
      <c r="D272" s="4"/>
      <c r="E272" s="4"/>
      <c r="F272" s="4"/>
      <c r="G272" s="4"/>
      <c r="H272" s="4"/>
      <c r="I272" s="4"/>
    </row>
    <row r="273" spans="1:9" ht="15.9" x14ac:dyDescent="0.4">
      <c r="A273" s="4"/>
      <c r="B273" s="4"/>
      <c r="C273" s="4"/>
      <c r="D273" s="4"/>
      <c r="E273" s="4"/>
      <c r="F273" s="4"/>
      <c r="G273" s="4"/>
      <c r="H273" s="4"/>
      <c r="I273" s="4"/>
    </row>
    <row r="274" spans="1:9" ht="15.9" x14ac:dyDescent="0.4">
      <c r="A274" s="4"/>
      <c r="B274" s="4"/>
      <c r="C274" s="4"/>
      <c r="D274" s="4"/>
      <c r="E274" s="4"/>
      <c r="F274" s="4"/>
      <c r="G274" s="4"/>
      <c r="H274" s="4"/>
      <c r="I274" s="4"/>
    </row>
    <row r="275" spans="1:9" ht="15.9" x14ac:dyDescent="0.4">
      <c r="A275" s="4"/>
      <c r="B275" s="4"/>
      <c r="C275" s="4"/>
      <c r="D275" s="4"/>
      <c r="E275" s="4"/>
      <c r="F275" s="4"/>
      <c r="G275" s="4"/>
      <c r="H275" s="4"/>
      <c r="I275" s="4"/>
    </row>
    <row r="276" spans="1:9" ht="15.9" x14ac:dyDescent="0.4">
      <c r="A276" s="4"/>
      <c r="B276" s="4"/>
      <c r="C276" s="4"/>
      <c r="D276" s="4"/>
      <c r="E276" s="4"/>
      <c r="F276" s="4"/>
      <c r="G276" s="4"/>
      <c r="H276" s="4"/>
      <c r="I276" s="4"/>
    </row>
    <row r="277" spans="1:9" ht="15.9" x14ac:dyDescent="0.4">
      <c r="A277" s="4"/>
      <c r="B277" s="4"/>
      <c r="C277" s="4"/>
      <c r="D277" s="4"/>
      <c r="E277" s="4"/>
      <c r="F277" s="4"/>
      <c r="G277" s="4"/>
      <c r="H277" s="4"/>
      <c r="I277" s="4"/>
    </row>
    <row r="278" spans="1:9" ht="15.9" x14ac:dyDescent="0.4">
      <c r="A278" s="4"/>
      <c r="B278" s="4"/>
      <c r="C278" s="4"/>
      <c r="D278" s="4"/>
      <c r="E278" s="4"/>
      <c r="F278" s="4"/>
      <c r="G278" s="4"/>
      <c r="H278" s="4"/>
      <c r="I278" s="4"/>
    </row>
    <row r="279" spans="1:9" ht="15.9" x14ac:dyDescent="0.4">
      <c r="A279" s="4"/>
      <c r="B279" s="4"/>
      <c r="C279" s="4"/>
      <c r="D279" s="4"/>
      <c r="E279" s="4"/>
      <c r="F279" s="4"/>
      <c r="G279" s="4"/>
      <c r="H279" s="4"/>
      <c r="I279" s="4"/>
    </row>
    <row r="280" spans="1:9" ht="15.9" x14ac:dyDescent="0.4">
      <c r="A280" s="4"/>
      <c r="B280" s="4"/>
      <c r="C280" s="4"/>
      <c r="D280" s="4"/>
      <c r="E280" s="4"/>
      <c r="F280" s="4"/>
      <c r="G280" s="4"/>
      <c r="H280" s="4"/>
      <c r="I280" s="4"/>
    </row>
    <row r="281" spans="1:9" ht="15.9" x14ac:dyDescent="0.4">
      <c r="A281" s="4"/>
      <c r="B281" s="4"/>
      <c r="C281" s="4"/>
      <c r="D281" s="4"/>
      <c r="E281" s="4"/>
      <c r="F281" s="4"/>
      <c r="G281" s="4"/>
      <c r="H281" s="4"/>
      <c r="I281" s="4"/>
    </row>
    <row r="282" spans="1:9" ht="15.9" x14ac:dyDescent="0.4">
      <c r="A282" s="4"/>
      <c r="B282" s="4"/>
      <c r="C282" s="4"/>
      <c r="D282" s="4"/>
      <c r="E282" s="4"/>
      <c r="F282" s="4"/>
      <c r="G282" s="4"/>
      <c r="H282" s="4"/>
      <c r="I282" s="4"/>
    </row>
    <row r="283" spans="1:9" ht="15.9" x14ac:dyDescent="0.4">
      <c r="A283" s="4"/>
      <c r="B283" s="4"/>
      <c r="C283" s="4"/>
      <c r="D283" s="4"/>
      <c r="E283" s="4"/>
      <c r="F283" s="4"/>
      <c r="G283" s="4"/>
      <c r="H283" s="4"/>
      <c r="I283" s="4"/>
    </row>
    <row r="284" spans="1:9" ht="15.9" x14ac:dyDescent="0.4">
      <c r="A284" s="4"/>
      <c r="B284" s="4"/>
      <c r="C284" s="4"/>
      <c r="D284" s="4"/>
      <c r="E284" s="4"/>
      <c r="F284" s="4"/>
      <c r="G284" s="4"/>
      <c r="H284" s="4"/>
      <c r="I284" s="4"/>
    </row>
    <row r="285" spans="1:9" ht="15.9" x14ac:dyDescent="0.4">
      <c r="A285" s="4"/>
      <c r="B285" s="4"/>
      <c r="C285" s="4"/>
      <c r="D285" s="4"/>
      <c r="E285" s="4"/>
      <c r="F285" s="4"/>
      <c r="G285" s="4"/>
      <c r="H285" s="4"/>
      <c r="I285" s="4"/>
    </row>
    <row r="286" spans="1:9" ht="15.9" x14ac:dyDescent="0.4">
      <c r="A286" s="4"/>
      <c r="B286" s="4"/>
      <c r="C286" s="4"/>
      <c r="D286" s="4"/>
      <c r="E286" s="4"/>
      <c r="F286" s="4"/>
      <c r="G286" s="4"/>
      <c r="H286" s="4"/>
      <c r="I286" s="4"/>
    </row>
    <row r="287" spans="1:9" ht="15.9" x14ac:dyDescent="0.4">
      <c r="A287" s="4"/>
      <c r="B287" s="4"/>
      <c r="C287" s="4"/>
      <c r="D287" s="4"/>
      <c r="E287" s="4"/>
      <c r="F287" s="4"/>
      <c r="G287" s="4"/>
      <c r="H287" s="4"/>
      <c r="I287" s="4"/>
    </row>
    <row r="288" spans="1:9" ht="15.9" x14ac:dyDescent="0.4">
      <c r="A288" s="4"/>
      <c r="B288" s="4"/>
      <c r="C288" s="4"/>
      <c r="D288" s="4"/>
      <c r="E288" s="4"/>
      <c r="F288" s="4"/>
      <c r="G288" s="4"/>
      <c r="H288" s="4"/>
      <c r="I288" s="4"/>
    </row>
    <row r="289" spans="1:9" ht="15.9" x14ac:dyDescent="0.4">
      <c r="A289" s="4"/>
      <c r="B289" s="4"/>
      <c r="C289" s="4"/>
      <c r="D289" s="4"/>
      <c r="E289" s="4"/>
      <c r="F289" s="4"/>
      <c r="G289" s="4"/>
      <c r="H289" s="4"/>
      <c r="I289" s="4"/>
    </row>
    <row r="290" spans="1:9" ht="15.9" x14ac:dyDescent="0.4">
      <c r="A290" s="4"/>
      <c r="B290" s="4"/>
      <c r="C290" s="4"/>
      <c r="D290" s="4"/>
      <c r="E290" s="4"/>
      <c r="F290" s="4"/>
      <c r="G290" s="4"/>
      <c r="H290" s="4"/>
      <c r="I290" s="4"/>
    </row>
    <row r="291" spans="1:9" ht="15.9" x14ac:dyDescent="0.4">
      <c r="A291" s="4"/>
      <c r="B291" s="4"/>
      <c r="C291" s="4"/>
      <c r="D291" s="4"/>
      <c r="E291" s="4"/>
      <c r="F291" s="4"/>
      <c r="G291" s="4"/>
      <c r="H291" s="4"/>
      <c r="I291" s="4"/>
    </row>
    <row r="292" spans="1:9" ht="15.9" x14ac:dyDescent="0.4">
      <c r="A292" s="4"/>
      <c r="B292" s="4"/>
      <c r="C292" s="4"/>
      <c r="D292" s="4"/>
      <c r="E292" s="4"/>
      <c r="F292" s="4"/>
      <c r="G292" s="4"/>
      <c r="H292" s="4"/>
      <c r="I292" s="4"/>
    </row>
    <row r="293" spans="1:9" ht="15.9" x14ac:dyDescent="0.4">
      <c r="A293" s="4"/>
      <c r="B293" s="4"/>
      <c r="C293" s="4"/>
      <c r="D293" s="4"/>
      <c r="E293" s="4"/>
      <c r="F293" s="4"/>
      <c r="G293" s="4"/>
      <c r="H293" s="4"/>
      <c r="I293" s="4"/>
    </row>
    <row r="294" spans="1:9" ht="15.9" x14ac:dyDescent="0.4">
      <c r="A294" s="4"/>
      <c r="B294" s="4"/>
      <c r="C294" s="4"/>
      <c r="D294" s="4"/>
      <c r="E294" s="4"/>
      <c r="F294" s="4"/>
      <c r="G294" s="4"/>
      <c r="H294" s="4"/>
      <c r="I294" s="4"/>
    </row>
    <row r="295" spans="1:9" ht="15.9" x14ac:dyDescent="0.4">
      <c r="A295" s="4"/>
      <c r="B295" s="4"/>
      <c r="C295" s="4"/>
      <c r="D295" s="4"/>
      <c r="E295" s="4"/>
      <c r="F295" s="4"/>
      <c r="G295" s="4"/>
      <c r="H295" s="4"/>
      <c r="I295" s="4"/>
    </row>
    <row r="296" spans="1:9" ht="15.9" x14ac:dyDescent="0.4">
      <c r="A296" s="4"/>
      <c r="B296" s="4"/>
      <c r="C296" s="4"/>
      <c r="D296" s="4"/>
      <c r="E296" s="4"/>
      <c r="F296" s="4"/>
      <c r="G296" s="4"/>
      <c r="H296" s="4"/>
      <c r="I296" s="4"/>
    </row>
    <row r="297" spans="1:9" ht="15.9" x14ac:dyDescent="0.4">
      <c r="A297" s="4"/>
      <c r="B297" s="4"/>
      <c r="C297" s="4"/>
      <c r="D297" s="4"/>
      <c r="E297" s="4"/>
      <c r="F297" s="4"/>
      <c r="G297" s="4"/>
      <c r="H297" s="4"/>
      <c r="I297" s="4"/>
    </row>
    <row r="298" spans="1:9" ht="15.9" x14ac:dyDescent="0.4">
      <c r="A298" s="4"/>
      <c r="B298" s="4"/>
      <c r="C298" s="4"/>
      <c r="D298" s="4"/>
      <c r="E298" s="4"/>
      <c r="F298" s="4"/>
      <c r="G298" s="4"/>
      <c r="H298" s="4"/>
      <c r="I298" s="4"/>
    </row>
    <row r="299" spans="1:9" ht="15.9" x14ac:dyDescent="0.4">
      <c r="A299" s="4"/>
      <c r="B299" s="4"/>
      <c r="C299" s="4"/>
      <c r="D299" s="4"/>
      <c r="E299" s="4"/>
      <c r="F299" s="4"/>
      <c r="G299" s="4"/>
      <c r="H299" s="4"/>
      <c r="I299" s="4"/>
    </row>
    <row r="300" spans="1:9" ht="15.9" x14ac:dyDescent="0.4">
      <c r="A300" s="4"/>
      <c r="B300" s="4"/>
      <c r="C300" s="4"/>
      <c r="D300" s="4"/>
      <c r="E300" s="4"/>
      <c r="F300" s="4"/>
      <c r="G300" s="4"/>
      <c r="H300" s="4"/>
      <c r="I300" s="4"/>
    </row>
    <row r="301" spans="1:9" ht="15.9" x14ac:dyDescent="0.4">
      <c r="A301" s="4"/>
      <c r="B301" s="4"/>
      <c r="C301" s="4"/>
      <c r="D301" s="4"/>
      <c r="E301" s="4"/>
      <c r="F301" s="4"/>
      <c r="G301" s="4"/>
      <c r="H301" s="4"/>
      <c r="I301" s="4"/>
    </row>
    <row r="302" spans="1:9" ht="15.9" x14ac:dyDescent="0.4">
      <c r="A302" s="4"/>
      <c r="B302" s="4"/>
      <c r="C302" s="4"/>
      <c r="D302" s="4"/>
      <c r="E302" s="4"/>
      <c r="F302" s="4"/>
      <c r="G302" s="4"/>
      <c r="H302" s="4"/>
      <c r="I302" s="4"/>
    </row>
    <row r="303" spans="1:9" ht="15.9" x14ac:dyDescent="0.4">
      <c r="A303" s="4"/>
      <c r="B303" s="4"/>
      <c r="C303" s="4"/>
      <c r="D303" s="4"/>
      <c r="E303" s="4"/>
      <c r="F303" s="4"/>
      <c r="G303" s="4"/>
      <c r="H303" s="4"/>
      <c r="I303" s="4"/>
    </row>
    <row r="304" spans="1:9" ht="15.9" x14ac:dyDescent="0.4">
      <c r="A304" s="4"/>
      <c r="B304" s="4"/>
      <c r="C304" s="4"/>
      <c r="D304" s="4"/>
      <c r="E304" s="4"/>
      <c r="F304" s="4"/>
      <c r="G304" s="4"/>
      <c r="H304" s="4"/>
      <c r="I304" s="4"/>
    </row>
    <row r="305" spans="1:9" ht="15.9" x14ac:dyDescent="0.4">
      <c r="A305" s="4"/>
      <c r="B305" s="4"/>
      <c r="C305" s="4"/>
      <c r="D305" s="4"/>
      <c r="E305" s="4"/>
      <c r="F305" s="4"/>
      <c r="G305" s="4"/>
      <c r="H305" s="4"/>
      <c r="I305" s="4"/>
    </row>
    <row r="306" spans="1:9" ht="15.9" x14ac:dyDescent="0.4">
      <c r="A306" s="4"/>
      <c r="B306" s="4"/>
      <c r="C306" s="4"/>
      <c r="D306" s="4"/>
      <c r="E306" s="4"/>
      <c r="F306" s="4"/>
      <c r="G306" s="4"/>
      <c r="H306" s="4"/>
      <c r="I306" s="4"/>
    </row>
    <row r="307" spans="1:9" ht="15.9" x14ac:dyDescent="0.4">
      <c r="A307" s="4"/>
      <c r="B307" s="4"/>
      <c r="C307" s="4"/>
      <c r="D307" s="4"/>
      <c r="E307" s="4"/>
      <c r="F307" s="4"/>
      <c r="G307" s="4"/>
      <c r="H307" s="4"/>
      <c r="I307" s="4"/>
    </row>
    <row r="308" spans="1:9" ht="15.9" x14ac:dyDescent="0.4">
      <c r="A308" s="4"/>
      <c r="B308" s="4"/>
      <c r="C308" s="4"/>
      <c r="D308" s="4"/>
      <c r="E308" s="4"/>
      <c r="F308" s="4"/>
      <c r="G308" s="4"/>
      <c r="H308" s="4"/>
      <c r="I308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2B363-0226-436C-8332-3FB6111C3A56}">
  <dimension ref="A1:I300"/>
  <sheetViews>
    <sheetView topLeftCell="A85" workbookViewId="0">
      <selection activeCell="B95" sqref="B95"/>
    </sheetView>
  </sheetViews>
  <sheetFormatPr defaultRowHeight="14.6" x14ac:dyDescent="0.4"/>
  <cols>
    <col min="1" max="1" width="16.53515625" customWidth="1"/>
    <col min="2" max="2" width="37.84375" customWidth="1"/>
    <col min="3" max="3" width="22.3046875" customWidth="1"/>
    <col min="4" max="4" width="14" customWidth="1"/>
    <col min="5" max="5" width="17.15234375" customWidth="1"/>
    <col min="6" max="6" width="26" customWidth="1"/>
    <col min="7" max="7" width="20.3828125" customWidth="1"/>
    <col min="8" max="8" width="13.53515625" customWidth="1"/>
    <col min="9" max="9" width="49.3828125" customWidth="1"/>
  </cols>
  <sheetData>
    <row r="1" spans="1:9" s="2" customFormat="1" ht="18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9" x14ac:dyDescent="0.4">
      <c r="A2" s="3">
        <v>45778</v>
      </c>
      <c r="B2" s="4" t="s">
        <v>1373</v>
      </c>
      <c r="C2" s="4" t="s">
        <v>1374</v>
      </c>
      <c r="D2" s="4">
        <v>34860</v>
      </c>
      <c r="E2" s="4">
        <v>42</v>
      </c>
      <c r="F2" s="4" t="s">
        <v>15</v>
      </c>
      <c r="G2" s="4" t="s">
        <v>25</v>
      </c>
      <c r="H2" s="5">
        <v>1950</v>
      </c>
      <c r="I2" s="4"/>
    </row>
    <row r="3" spans="1:9" ht="15.9" x14ac:dyDescent="0.4">
      <c r="A3" s="3">
        <v>45778</v>
      </c>
      <c r="B3" s="4" t="s">
        <v>1239</v>
      </c>
      <c r="C3" s="4" t="s">
        <v>1375</v>
      </c>
      <c r="D3" s="4">
        <v>39216</v>
      </c>
      <c r="E3" s="4">
        <v>48</v>
      </c>
      <c r="F3" s="4" t="s">
        <v>15</v>
      </c>
      <c r="G3" s="4" t="s">
        <v>25</v>
      </c>
      <c r="H3" s="5">
        <v>2200</v>
      </c>
      <c r="I3" s="4"/>
    </row>
    <row r="4" spans="1:9" ht="15.9" x14ac:dyDescent="0.4">
      <c r="A4" s="3">
        <v>45778</v>
      </c>
      <c r="B4" s="4" t="s">
        <v>1376</v>
      </c>
      <c r="C4" s="4" t="s">
        <v>1377</v>
      </c>
      <c r="D4" s="4">
        <v>6939</v>
      </c>
      <c r="E4" s="4">
        <v>9</v>
      </c>
      <c r="F4" s="4" t="s">
        <v>1378</v>
      </c>
      <c r="G4" s="4" t="s">
        <v>19</v>
      </c>
      <c r="H4" s="5">
        <v>4500</v>
      </c>
      <c r="I4" s="4" t="s">
        <v>1379</v>
      </c>
    </row>
    <row r="5" spans="1:9" ht="15.9" x14ac:dyDescent="0.4">
      <c r="A5" s="3">
        <v>45782</v>
      </c>
      <c r="B5" s="4" t="s">
        <v>129</v>
      </c>
      <c r="C5" s="4" t="s">
        <v>1380</v>
      </c>
      <c r="D5" s="4">
        <v>39216</v>
      </c>
      <c r="E5" s="4">
        <v>48</v>
      </c>
      <c r="F5" s="4" t="s">
        <v>15</v>
      </c>
      <c r="G5" s="4" t="s">
        <v>25</v>
      </c>
      <c r="H5" s="5">
        <v>2900</v>
      </c>
      <c r="I5" s="4"/>
    </row>
    <row r="6" spans="1:9" ht="15.9" x14ac:dyDescent="0.4">
      <c r="A6" s="3">
        <v>45782</v>
      </c>
      <c r="B6" s="4" t="s">
        <v>120</v>
      </c>
      <c r="C6" s="4" t="s">
        <v>1381</v>
      </c>
      <c r="D6" s="4">
        <v>35948</v>
      </c>
      <c r="E6" s="4">
        <v>44</v>
      </c>
      <c r="F6" s="4" t="s">
        <v>15</v>
      </c>
      <c r="G6" s="4" t="s">
        <v>1382</v>
      </c>
      <c r="H6" s="5">
        <v>2400</v>
      </c>
      <c r="I6" s="4"/>
    </row>
    <row r="7" spans="1:9" ht="15.9" x14ac:dyDescent="0.4">
      <c r="A7" s="3">
        <v>45782</v>
      </c>
      <c r="B7" s="4" t="s">
        <v>129</v>
      </c>
      <c r="C7" s="4" t="s">
        <v>1383</v>
      </c>
      <c r="D7" s="4">
        <v>7353</v>
      </c>
      <c r="E7" s="4">
        <v>9</v>
      </c>
      <c r="F7" s="4" t="s">
        <v>35</v>
      </c>
      <c r="G7" s="4" t="s">
        <v>161</v>
      </c>
      <c r="H7" s="5">
        <v>918.59</v>
      </c>
      <c r="I7" s="4"/>
    </row>
    <row r="8" spans="1:9" ht="15.9" x14ac:dyDescent="0.4">
      <c r="A8" s="3">
        <v>45782</v>
      </c>
      <c r="B8" s="4" t="s">
        <v>1384</v>
      </c>
      <c r="C8" s="4" t="s">
        <v>1385</v>
      </c>
      <c r="D8" s="4">
        <v>475</v>
      </c>
      <c r="E8" s="4">
        <v>1</v>
      </c>
      <c r="F8" s="4" t="s">
        <v>35</v>
      </c>
      <c r="G8" s="4" t="s">
        <v>161</v>
      </c>
      <c r="H8" s="5">
        <v>251.64</v>
      </c>
      <c r="I8" s="4"/>
    </row>
    <row r="9" spans="1:9" ht="15.9" x14ac:dyDescent="0.4">
      <c r="A9" s="3">
        <v>45782</v>
      </c>
      <c r="B9" s="4" t="s">
        <v>462</v>
      </c>
      <c r="C9" s="4" t="s">
        <v>1386</v>
      </c>
      <c r="D9" s="4">
        <v>35232</v>
      </c>
      <c r="E9" s="4">
        <v>48</v>
      </c>
      <c r="F9" s="4" t="s">
        <v>15</v>
      </c>
      <c r="G9" s="4" t="s">
        <v>25</v>
      </c>
      <c r="H9" s="5">
        <v>2900</v>
      </c>
      <c r="I9" s="4"/>
    </row>
    <row r="10" spans="1:9" ht="15.9" x14ac:dyDescent="0.4">
      <c r="A10" s="3">
        <v>45782</v>
      </c>
      <c r="B10" s="4" t="s">
        <v>1387</v>
      </c>
      <c r="C10" s="4" t="s">
        <v>1388</v>
      </c>
      <c r="D10" s="4">
        <v>8170</v>
      </c>
      <c r="E10" s="4">
        <v>10</v>
      </c>
      <c r="F10" s="4" t="s">
        <v>1378</v>
      </c>
      <c r="G10" s="4" t="s">
        <v>19</v>
      </c>
      <c r="H10" s="5">
        <v>2300</v>
      </c>
      <c r="I10" s="4"/>
    </row>
    <row r="11" spans="1:9" ht="15.9" x14ac:dyDescent="0.4">
      <c r="A11" s="3">
        <v>45782</v>
      </c>
      <c r="B11" s="4" t="s">
        <v>1389</v>
      </c>
      <c r="C11" s="4" t="s">
        <v>1390</v>
      </c>
      <c r="D11" s="4">
        <v>3922</v>
      </c>
      <c r="E11" s="4">
        <v>5</v>
      </c>
      <c r="F11" s="4" t="s">
        <v>35</v>
      </c>
      <c r="G11" s="4" t="s">
        <v>12</v>
      </c>
      <c r="H11" s="5"/>
      <c r="I11" s="4"/>
    </row>
    <row r="12" spans="1:9" ht="15.9" x14ac:dyDescent="0.4">
      <c r="A12" s="3">
        <v>45783</v>
      </c>
      <c r="B12" s="4" t="s">
        <v>129</v>
      </c>
      <c r="C12" s="4" t="s">
        <v>1391</v>
      </c>
      <c r="D12" s="4">
        <v>35948</v>
      </c>
      <c r="E12" s="4">
        <v>44</v>
      </c>
      <c r="F12" s="4" t="s">
        <v>15</v>
      </c>
      <c r="G12" s="4" t="s">
        <v>25</v>
      </c>
      <c r="H12" s="5">
        <v>2900</v>
      </c>
      <c r="I12" s="4"/>
    </row>
    <row r="13" spans="1:9" ht="15.9" x14ac:dyDescent="0.4">
      <c r="A13" s="3">
        <v>45783</v>
      </c>
      <c r="B13" s="4" t="s">
        <v>129</v>
      </c>
      <c r="C13" s="4" t="s">
        <v>1392</v>
      </c>
      <c r="D13" s="4">
        <v>35948</v>
      </c>
      <c r="E13" s="4">
        <v>44</v>
      </c>
      <c r="F13" s="4" t="s">
        <v>15</v>
      </c>
      <c r="G13" s="4" t="s">
        <v>25</v>
      </c>
      <c r="H13" s="5">
        <v>2900</v>
      </c>
      <c r="I13" s="4"/>
    </row>
    <row r="14" spans="1:9" ht="15.9" x14ac:dyDescent="0.4">
      <c r="A14" s="3">
        <v>45783</v>
      </c>
      <c r="B14" s="4" t="s">
        <v>120</v>
      </c>
      <c r="C14" s="4" t="s">
        <v>1393</v>
      </c>
      <c r="D14" s="4">
        <v>32760</v>
      </c>
      <c r="E14" s="4">
        <v>38</v>
      </c>
      <c r="F14" s="4" t="s">
        <v>15</v>
      </c>
      <c r="G14" s="4" t="s">
        <v>1382</v>
      </c>
      <c r="H14" s="5">
        <v>2400</v>
      </c>
      <c r="I14" s="4"/>
    </row>
    <row r="15" spans="1:9" ht="15.9" x14ac:dyDescent="0.4">
      <c r="A15" s="3">
        <v>45783</v>
      </c>
      <c r="B15" s="4" t="s">
        <v>875</v>
      </c>
      <c r="C15" s="4" t="s">
        <v>1394</v>
      </c>
      <c r="D15" s="4">
        <v>39840</v>
      </c>
      <c r="E15" s="4">
        <v>48</v>
      </c>
      <c r="F15" s="4" t="s">
        <v>11</v>
      </c>
      <c r="G15" s="4" t="s">
        <v>19</v>
      </c>
      <c r="H15" s="5">
        <v>2400</v>
      </c>
      <c r="I15" s="4"/>
    </row>
    <row r="16" spans="1:9" ht="15.9" x14ac:dyDescent="0.4">
      <c r="A16" s="3">
        <v>45784</v>
      </c>
      <c r="B16" s="4" t="s">
        <v>1395</v>
      </c>
      <c r="C16" s="4" t="s">
        <v>1396</v>
      </c>
      <c r="D16" s="4">
        <v>39010</v>
      </c>
      <c r="E16" s="4">
        <v>47</v>
      </c>
      <c r="F16" s="4" t="s">
        <v>11</v>
      </c>
      <c r="G16" s="4" t="s">
        <v>19</v>
      </c>
      <c r="H16" s="5">
        <v>5000</v>
      </c>
      <c r="I16" s="4" t="s">
        <v>1397</v>
      </c>
    </row>
    <row r="17" spans="1:9" ht="15.9" x14ac:dyDescent="0.4">
      <c r="A17" s="3">
        <v>45784</v>
      </c>
      <c r="B17" s="4" t="s">
        <v>615</v>
      </c>
      <c r="C17" s="4" t="s">
        <v>1398</v>
      </c>
      <c r="D17" s="4">
        <v>701</v>
      </c>
      <c r="E17" s="4">
        <v>1</v>
      </c>
      <c r="F17" s="4" t="s">
        <v>35</v>
      </c>
      <c r="G17" s="4" t="s">
        <v>12</v>
      </c>
      <c r="H17" s="5"/>
      <c r="I17" s="4"/>
    </row>
    <row r="18" spans="1:9" ht="15.9" x14ac:dyDescent="0.4">
      <c r="A18" s="3">
        <v>45784</v>
      </c>
      <c r="B18" s="4" t="s">
        <v>1348</v>
      </c>
      <c r="C18" s="4" t="s">
        <v>1399</v>
      </c>
      <c r="D18" s="4">
        <v>17500</v>
      </c>
      <c r="E18" s="4">
        <v>16</v>
      </c>
      <c r="F18" s="4" t="s">
        <v>11</v>
      </c>
      <c r="G18" s="4" t="s">
        <v>19</v>
      </c>
      <c r="H18" s="5">
        <v>2000</v>
      </c>
      <c r="I18" s="4"/>
    </row>
    <row r="19" spans="1:9" ht="15.9" x14ac:dyDescent="0.4">
      <c r="A19" s="3">
        <v>45784</v>
      </c>
      <c r="B19" s="4" t="s">
        <v>875</v>
      </c>
      <c r="C19" s="4" t="s">
        <v>1400</v>
      </c>
      <c r="D19" s="4">
        <v>39215</v>
      </c>
      <c r="E19" s="4">
        <v>48</v>
      </c>
      <c r="F19" s="4" t="s">
        <v>11</v>
      </c>
      <c r="G19" s="4" t="s">
        <v>19</v>
      </c>
      <c r="H19" s="5">
        <v>2400</v>
      </c>
      <c r="I19" s="4"/>
    </row>
    <row r="20" spans="1:9" ht="15.9" x14ac:dyDescent="0.4">
      <c r="A20" s="3">
        <v>45784</v>
      </c>
      <c r="B20" s="4" t="s">
        <v>1401</v>
      </c>
      <c r="C20" s="4" t="s">
        <v>1402</v>
      </c>
      <c r="D20" s="4">
        <v>19000</v>
      </c>
      <c r="E20" s="4">
        <v>20</v>
      </c>
      <c r="F20" s="4" t="s">
        <v>11</v>
      </c>
      <c r="G20" s="4" t="s">
        <v>19</v>
      </c>
      <c r="H20" s="5">
        <v>2575</v>
      </c>
      <c r="I20" s="4"/>
    </row>
    <row r="21" spans="1:9" ht="15.9" x14ac:dyDescent="0.4">
      <c r="A21" s="3">
        <v>45785</v>
      </c>
      <c r="B21" s="4" t="s">
        <v>349</v>
      </c>
      <c r="C21" s="4" t="s">
        <v>1403</v>
      </c>
      <c r="D21" s="4">
        <v>35948</v>
      </c>
      <c r="E21" s="4">
        <v>44</v>
      </c>
      <c r="F21" s="4" t="s">
        <v>15</v>
      </c>
      <c r="G21" s="4" t="s">
        <v>25</v>
      </c>
      <c r="H21" s="5">
        <v>1555.56</v>
      </c>
      <c r="I21" s="4"/>
    </row>
    <row r="22" spans="1:9" ht="15.9" x14ac:dyDescent="0.4">
      <c r="A22" s="3">
        <v>45785</v>
      </c>
      <c r="B22" s="4" t="s">
        <v>875</v>
      </c>
      <c r="C22" s="4" t="s">
        <v>1404</v>
      </c>
      <c r="D22" s="4">
        <v>40752</v>
      </c>
      <c r="E22" s="4">
        <v>48</v>
      </c>
      <c r="F22" s="4" t="s">
        <v>11</v>
      </c>
      <c r="G22" s="4" t="s">
        <v>19</v>
      </c>
      <c r="H22" s="5">
        <v>2400</v>
      </c>
      <c r="I22" s="4"/>
    </row>
    <row r="23" spans="1:9" ht="15.9" x14ac:dyDescent="0.4">
      <c r="A23" s="3">
        <v>45785</v>
      </c>
      <c r="B23" s="4" t="s">
        <v>52</v>
      </c>
      <c r="C23" s="4" t="s">
        <v>1405</v>
      </c>
      <c r="D23" s="4">
        <v>42240</v>
      </c>
      <c r="E23" s="4">
        <v>44</v>
      </c>
      <c r="F23" s="4" t="s">
        <v>15</v>
      </c>
      <c r="G23" s="4" t="s">
        <v>25</v>
      </c>
      <c r="H23" s="5">
        <v>2950</v>
      </c>
      <c r="I23" s="4"/>
    </row>
    <row r="24" spans="1:9" ht="15.9" x14ac:dyDescent="0.4">
      <c r="A24" s="3">
        <v>45786</v>
      </c>
      <c r="B24" s="4" t="s">
        <v>1406</v>
      </c>
      <c r="C24" s="6" t="s">
        <v>1407</v>
      </c>
      <c r="D24" s="4">
        <v>35280</v>
      </c>
      <c r="E24" s="4">
        <v>48</v>
      </c>
      <c r="F24" s="4" t="s">
        <v>11</v>
      </c>
      <c r="G24" s="4" t="s">
        <v>19</v>
      </c>
      <c r="H24" s="5">
        <v>1050</v>
      </c>
      <c r="I24" s="4"/>
    </row>
    <row r="25" spans="1:9" ht="15.9" x14ac:dyDescent="0.4">
      <c r="A25" s="3">
        <v>45786</v>
      </c>
      <c r="B25" s="4" t="s">
        <v>1406</v>
      </c>
      <c r="C25" s="4" t="s">
        <v>1408</v>
      </c>
      <c r="D25" s="4">
        <v>35280</v>
      </c>
      <c r="E25" s="4">
        <v>48</v>
      </c>
      <c r="F25" s="4" t="s">
        <v>11</v>
      </c>
      <c r="G25" s="4" t="s">
        <v>19</v>
      </c>
      <c r="H25" s="5">
        <v>1050</v>
      </c>
      <c r="I25" s="4"/>
    </row>
    <row r="26" spans="1:9" ht="15.9" x14ac:dyDescent="0.4">
      <c r="A26" s="3">
        <v>45789</v>
      </c>
      <c r="B26" s="4" t="s">
        <v>875</v>
      </c>
      <c r="C26" s="4" t="s">
        <v>1409</v>
      </c>
      <c r="D26" s="4">
        <v>24360</v>
      </c>
      <c r="E26" s="4">
        <v>26</v>
      </c>
      <c r="F26" s="4" t="s">
        <v>11</v>
      </c>
      <c r="G26" s="4" t="s">
        <v>19</v>
      </c>
      <c r="H26" s="5">
        <v>2400</v>
      </c>
      <c r="I26" s="4"/>
    </row>
    <row r="27" spans="1:9" ht="15.9" x14ac:dyDescent="0.4">
      <c r="A27" s="3">
        <v>45789</v>
      </c>
      <c r="B27" s="4" t="s">
        <v>1406</v>
      </c>
      <c r="C27" s="4" t="s">
        <v>1410</v>
      </c>
      <c r="D27" s="4">
        <v>10290</v>
      </c>
      <c r="E27" s="4">
        <v>14</v>
      </c>
      <c r="F27" s="4" t="s">
        <v>11</v>
      </c>
      <c r="G27" s="4" t="s">
        <v>19</v>
      </c>
      <c r="H27" s="5">
        <v>1050</v>
      </c>
      <c r="I27" s="4"/>
    </row>
    <row r="28" spans="1:9" ht="15.9" x14ac:dyDescent="0.4">
      <c r="A28" s="3">
        <v>45789</v>
      </c>
      <c r="B28" s="4" t="s">
        <v>52</v>
      </c>
      <c r="C28" s="4" t="s">
        <v>1411</v>
      </c>
      <c r="D28" s="4">
        <v>30400</v>
      </c>
      <c r="E28" s="4">
        <v>32</v>
      </c>
      <c r="F28" s="4" t="s">
        <v>15</v>
      </c>
      <c r="G28" s="4" t="s">
        <v>25</v>
      </c>
      <c r="H28" s="5">
        <v>2950</v>
      </c>
      <c r="I28" s="4"/>
    </row>
    <row r="29" spans="1:9" ht="15.9" x14ac:dyDescent="0.4">
      <c r="A29" s="3">
        <v>45790</v>
      </c>
      <c r="B29" s="4" t="s">
        <v>1401</v>
      </c>
      <c r="C29" s="4" t="s">
        <v>1412</v>
      </c>
      <c r="D29" s="4">
        <v>29607</v>
      </c>
      <c r="E29" s="4">
        <v>36</v>
      </c>
      <c r="F29" s="4" t="s">
        <v>11</v>
      </c>
      <c r="G29" s="4" t="s">
        <v>19</v>
      </c>
      <c r="H29" s="5">
        <v>2575</v>
      </c>
      <c r="I29" s="4"/>
    </row>
    <row r="30" spans="1:9" ht="15.9" x14ac:dyDescent="0.4">
      <c r="A30" s="3">
        <v>45790</v>
      </c>
      <c r="B30" s="4" t="s">
        <v>13</v>
      </c>
      <c r="C30" s="4" t="s">
        <v>1413</v>
      </c>
      <c r="D30" s="4">
        <v>26961</v>
      </c>
      <c r="E30" s="4">
        <v>33</v>
      </c>
      <c r="F30" s="4" t="s">
        <v>15</v>
      </c>
      <c r="G30" s="4" t="s">
        <v>25</v>
      </c>
      <c r="H30" s="5">
        <v>1950</v>
      </c>
      <c r="I30" s="4"/>
    </row>
    <row r="31" spans="1:9" ht="15.9" x14ac:dyDescent="0.4">
      <c r="A31" s="3">
        <v>45790</v>
      </c>
      <c r="B31" s="4" t="s">
        <v>202</v>
      </c>
      <c r="C31" s="4" t="s">
        <v>1414</v>
      </c>
      <c r="D31" s="4">
        <v>22410</v>
      </c>
      <c r="E31" s="4">
        <v>27</v>
      </c>
      <c r="F31" s="4" t="s">
        <v>15</v>
      </c>
      <c r="G31" s="4" t="s">
        <v>1382</v>
      </c>
      <c r="H31" s="5">
        <v>1950</v>
      </c>
      <c r="I31" s="4"/>
    </row>
    <row r="32" spans="1:9" ht="15.9" x14ac:dyDescent="0.4">
      <c r="A32" s="3">
        <v>45790</v>
      </c>
      <c r="B32" s="4" t="s">
        <v>875</v>
      </c>
      <c r="C32" s="4" t="s">
        <v>1415</v>
      </c>
      <c r="D32" s="4">
        <v>40752</v>
      </c>
      <c r="E32" s="4">
        <v>48</v>
      </c>
      <c r="F32" s="4" t="s">
        <v>11</v>
      </c>
      <c r="G32" s="4" t="s">
        <v>19</v>
      </c>
      <c r="H32" s="5">
        <v>2400</v>
      </c>
      <c r="I32" s="4"/>
    </row>
    <row r="33" spans="1:9" ht="15.9" x14ac:dyDescent="0.4">
      <c r="A33" s="3">
        <v>45790</v>
      </c>
      <c r="B33" s="4" t="s">
        <v>1416</v>
      </c>
      <c r="C33" s="4" t="s">
        <v>1417</v>
      </c>
      <c r="D33" s="4">
        <v>14796</v>
      </c>
      <c r="E33" s="4">
        <v>18</v>
      </c>
      <c r="F33" s="4" t="s">
        <v>15</v>
      </c>
      <c r="G33" s="4" t="s">
        <v>1382</v>
      </c>
      <c r="H33" s="5">
        <v>700</v>
      </c>
      <c r="I33" s="4"/>
    </row>
    <row r="34" spans="1:9" ht="15.9" x14ac:dyDescent="0.4">
      <c r="A34" s="3">
        <v>45790</v>
      </c>
      <c r="B34" s="4" t="s">
        <v>1418</v>
      </c>
      <c r="C34" s="4" t="s">
        <v>1419</v>
      </c>
      <c r="D34" s="4">
        <v>24440</v>
      </c>
      <c r="E34" s="4">
        <v>26</v>
      </c>
      <c r="F34" s="4" t="s">
        <v>15</v>
      </c>
      <c r="G34" s="4" t="s">
        <v>19</v>
      </c>
      <c r="H34" s="5">
        <v>2725</v>
      </c>
      <c r="I34" s="4"/>
    </row>
    <row r="35" spans="1:9" ht="15.9" x14ac:dyDescent="0.4">
      <c r="A35" s="3">
        <v>45791</v>
      </c>
      <c r="B35" s="4" t="s">
        <v>1420</v>
      </c>
      <c r="C35" s="4" t="s">
        <v>1421</v>
      </c>
      <c r="D35" s="4">
        <v>1660</v>
      </c>
      <c r="E35" s="4">
        <v>2</v>
      </c>
      <c r="F35" s="4" t="s">
        <v>35</v>
      </c>
      <c r="G35" s="4" t="s">
        <v>161</v>
      </c>
      <c r="H35" s="5">
        <v>575.01</v>
      </c>
      <c r="I35" s="4"/>
    </row>
    <row r="36" spans="1:9" ht="15.9" x14ac:dyDescent="0.4">
      <c r="A36" s="3">
        <v>45791</v>
      </c>
      <c r="B36" s="4" t="s">
        <v>1422</v>
      </c>
      <c r="C36" s="4" t="s">
        <v>1423</v>
      </c>
      <c r="D36" s="4">
        <v>960</v>
      </c>
      <c r="E36" s="4">
        <v>1</v>
      </c>
      <c r="F36" s="4" t="s">
        <v>35</v>
      </c>
      <c r="G36" s="4" t="s">
        <v>161</v>
      </c>
      <c r="H36" s="5">
        <v>442.66</v>
      </c>
      <c r="I36" s="4"/>
    </row>
    <row r="37" spans="1:9" ht="15.9" x14ac:dyDescent="0.4">
      <c r="A37" s="3">
        <v>45791</v>
      </c>
      <c r="B37" s="4" t="s">
        <v>96</v>
      </c>
      <c r="C37" s="4" t="s">
        <v>1424</v>
      </c>
      <c r="D37" s="4">
        <v>10560</v>
      </c>
      <c r="E37" s="4">
        <v>11</v>
      </c>
      <c r="F37" s="4" t="s">
        <v>35</v>
      </c>
      <c r="G37" s="4" t="s">
        <v>12</v>
      </c>
      <c r="H37" s="5"/>
      <c r="I37" s="4"/>
    </row>
    <row r="38" spans="1:9" ht="15.9" x14ac:dyDescent="0.4">
      <c r="A38" s="3">
        <v>45791</v>
      </c>
      <c r="B38" s="4" t="s">
        <v>96</v>
      </c>
      <c r="C38" s="4" t="s">
        <v>1425</v>
      </c>
      <c r="D38" s="4">
        <v>7060</v>
      </c>
      <c r="E38" s="4">
        <v>7</v>
      </c>
      <c r="F38" s="4" t="s">
        <v>35</v>
      </c>
      <c r="G38" s="4" t="s">
        <v>12</v>
      </c>
      <c r="H38" s="5"/>
      <c r="I38" s="4"/>
    </row>
    <row r="39" spans="1:9" ht="15.9" x14ac:dyDescent="0.4">
      <c r="A39" s="3">
        <v>45791</v>
      </c>
      <c r="B39" s="4" t="s">
        <v>13</v>
      </c>
      <c r="C39" s="4" t="s">
        <v>1426</v>
      </c>
      <c r="D39" s="4">
        <v>35948</v>
      </c>
      <c r="E39" s="4">
        <v>44</v>
      </c>
      <c r="F39" s="4" t="s">
        <v>15</v>
      </c>
      <c r="G39" s="4" t="s">
        <v>25</v>
      </c>
      <c r="H39" s="5">
        <v>1950</v>
      </c>
      <c r="I39" s="4"/>
    </row>
    <row r="40" spans="1:9" ht="15.9" x14ac:dyDescent="0.4">
      <c r="A40" s="3">
        <v>45791</v>
      </c>
      <c r="B40" s="4" t="s">
        <v>202</v>
      </c>
      <c r="C40" s="4" t="s">
        <v>1414</v>
      </c>
      <c r="D40" s="4">
        <v>22410</v>
      </c>
      <c r="E40" s="4">
        <v>27</v>
      </c>
      <c r="F40" s="4" t="s">
        <v>15</v>
      </c>
      <c r="G40" s="4" t="s">
        <v>1382</v>
      </c>
      <c r="H40" s="5">
        <v>1950</v>
      </c>
      <c r="I40" s="4"/>
    </row>
    <row r="41" spans="1:9" ht="15.9" x14ac:dyDescent="0.4">
      <c r="A41" s="3">
        <v>45792</v>
      </c>
      <c r="B41" s="4" t="s">
        <v>593</v>
      </c>
      <c r="C41" s="4" t="s">
        <v>1427</v>
      </c>
      <c r="D41" s="4">
        <v>33200</v>
      </c>
      <c r="E41" s="4">
        <v>40</v>
      </c>
      <c r="F41" s="4" t="s">
        <v>11</v>
      </c>
      <c r="G41" s="4" t="s">
        <v>19</v>
      </c>
      <c r="H41" s="5">
        <v>4100</v>
      </c>
      <c r="I41" s="4"/>
    </row>
    <row r="42" spans="1:9" ht="15.9" x14ac:dyDescent="0.4">
      <c r="A42" s="3">
        <v>45792</v>
      </c>
      <c r="B42" s="4" t="s">
        <v>17</v>
      </c>
      <c r="C42" s="4" t="s">
        <v>1428</v>
      </c>
      <c r="D42" s="4">
        <v>17430</v>
      </c>
      <c r="E42" s="4">
        <v>21</v>
      </c>
      <c r="F42" s="4" t="s">
        <v>15</v>
      </c>
      <c r="G42" s="4" t="s">
        <v>1382</v>
      </c>
      <c r="H42" s="5">
        <v>1450</v>
      </c>
      <c r="I42" s="4"/>
    </row>
    <row r="43" spans="1:9" ht="15.9" x14ac:dyDescent="0.4">
      <c r="A43" s="3">
        <v>45792</v>
      </c>
      <c r="B43" s="4" t="s">
        <v>1429</v>
      </c>
      <c r="C43" s="4" t="s">
        <v>1430</v>
      </c>
      <c r="D43" s="4">
        <v>18260</v>
      </c>
      <c r="E43" s="4">
        <v>22</v>
      </c>
      <c r="F43" s="4" t="s">
        <v>15</v>
      </c>
      <c r="G43" s="4" t="s">
        <v>25</v>
      </c>
      <c r="H43" s="5">
        <v>1900</v>
      </c>
      <c r="I43" s="4"/>
    </row>
    <row r="44" spans="1:9" ht="15.9" x14ac:dyDescent="0.4">
      <c r="A44" s="3">
        <v>45792</v>
      </c>
      <c r="B44" s="4" t="s">
        <v>1401</v>
      </c>
      <c r="C44" s="4" t="s">
        <v>1431</v>
      </c>
      <c r="D44" s="4">
        <v>16600</v>
      </c>
      <c r="E44" s="4">
        <v>20</v>
      </c>
      <c r="F44" s="4" t="s">
        <v>11</v>
      </c>
      <c r="G44" s="4" t="s">
        <v>19</v>
      </c>
      <c r="H44" s="5">
        <v>2575</v>
      </c>
      <c r="I44" s="4"/>
    </row>
    <row r="45" spans="1:9" ht="15.9" x14ac:dyDescent="0.4">
      <c r="A45" s="3">
        <v>45792</v>
      </c>
      <c r="B45" s="4" t="s">
        <v>615</v>
      </c>
      <c r="C45" s="4" t="s">
        <v>1432</v>
      </c>
      <c r="D45" s="4">
        <v>1100</v>
      </c>
      <c r="E45" s="4">
        <v>1</v>
      </c>
      <c r="F45" s="4" t="s">
        <v>35</v>
      </c>
      <c r="G45" s="4" t="s">
        <v>161</v>
      </c>
      <c r="H45" s="5">
        <v>400.32</v>
      </c>
      <c r="I45" s="4"/>
    </row>
    <row r="46" spans="1:9" ht="15.9" x14ac:dyDescent="0.4">
      <c r="A46" s="3">
        <v>45793</v>
      </c>
      <c r="B46" s="4" t="s">
        <v>38</v>
      </c>
      <c r="C46" s="4" t="s">
        <v>1433</v>
      </c>
      <c r="D46" s="4">
        <v>15360</v>
      </c>
      <c r="E46" s="4">
        <v>16</v>
      </c>
      <c r="F46" s="4" t="s">
        <v>15</v>
      </c>
      <c r="G46" s="4" t="s">
        <v>1382</v>
      </c>
      <c r="H46" s="5">
        <v>3300</v>
      </c>
      <c r="I46" s="4"/>
    </row>
    <row r="47" spans="1:9" ht="15.9" x14ac:dyDescent="0.4">
      <c r="A47" s="3">
        <v>45796</v>
      </c>
      <c r="B47" s="4" t="s">
        <v>1434</v>
      </c>
      <c r="C47" s="4" t="s">
        <v>1435</v>
      </c>
      <c r="D47" s="4">
        <v>17430</v>
      </c>
      <c r="E47" s="4">
        <v>21</v>
      </c>
      <c r="F47" s="4" t="s">
        <v>11</v>
      </c>
      <c r="G47" s="4" t="s">
        <v>19</v>
      </c>
      <c r="H47" s="5">
        <v>1250</v>
      </c>
      <c r="I47" s="4" t="s">
        <v>1436</v>
      </c>
    </row>
    <row r="48" spans="1:9" ht="15.9" x14ac:dyDescent="0.4">
      <c r="A48" s="3">
        <v>45796</v>
      </c>
      <c r="B48" s="4" t="s">
        <v>52</v>
      </c>
      <c r="C48" s="4" t="s">
        <v>1437</v>
      </c>
      <c r="D48" s="4">
        <v>39218</v>
      </c>
      <c r="E48" s="4">
        <v>48</v>
      </c>
      <c r="F48" s="4" t="s">
        <v>15</v>
      </c>
      <c r="G48" s="4" t="s">
        <v>25</v>
      </c>
      <c r="H48" s="5">
        <v>2950</v>
      </c>
      <c r="I48" s="4"/>
    </row>
    <row r="49" spans="1:9" ht="15.9" x14ac:dyDescent="0.4">
      <c r="A49" s="3">
        <v>45796</v>
      </c>
      <c r="B49" s="4" t="s">
        <v>1346</v>
      </c>
      <c r="C49" s="4" t="s">
        <v>1347</v>
      </c>
      <c r="D49" s="4">
        <v>4675</v>
      </c>
      <c r="E49" s="4">
        <v>7</v>
      </c>
      <c r="F49" s="4" t="s">
        <v>11</v>
      </c>
      <c r="G49" s="4" t="s">
        <v>19</v>
      </c>
      <c r="H49" s="5">
        <v>1100</v>
      </c>
      <c r="I49" s="4"/>
    </row>
    <row r="50" spans="1:9" ht="15.9" x14ac:dyDescent="0.4">
      <c r="A50" s="3">
        <v>45797</v>
      </c>
      <c r="B50" s="4" t="s">
        <v>749</v>
      </c>
      <c r="C50" s="4" t="s">
        <v>1438</v>
      </c>
      <c r="D50" s="4">
        <v>13280</v>
      </c>
      <c r="E50" s="4">
        <v>16</v>
      </c>
      <c r="F50" s="4" t="s">
        <v>15</v>
      </c>
      <c r="G50" s="4" t="s">
        <v>19</v>
      </c>
      <c r="H50" s="5">
        <v>2250</v>
      </c>
      <c r="I50" s="4"/>
    </row>
    <row r="51" spans="1:9" ht="15.9" x14ac:dyDescent="0.4">
      <c r="A51" s="3">
        <v>45797</v>
      </c>
      <c r="B51" s="4" t="s">
        <v>1401</v>
      </c>
      <c r="C51" s="4" t="s">
        <v>1439</v>
      </c>
      <c r="D51" s="4">
        <v>11620</v>
      </c>
      <c r="E51" s="4">
        <v>14</v>
      </c>
      <c r="F51" s="4" t="s">
        <v>11</v>
      </c>
      <c r="G51" s="4" t="s">
        <v>19</v>
      </c>
      <c r="H51" s="5">
        <v>2100</v>
      </c>
      <c r="I51" s="4"/>
    </row>
    <row r="52" spans="1:9" ht="15.9" x14ac:dyDescent="0.4">
      <c r="A52" s="3">
        <v>45797</v>
      </c>
      <c r="B52" s="4" t="s">
        <v>52</v>
      </c>
      <c r="C52" s="4" t="s">
        <v>1440</v>
      </c>
      <c r="D52" s="4">
        <v>39216</v>
      </c>
      <c r="E52" s="4">
        <v>48</v>
      </c>
      <c r="F52" s="4" t="s">
        <v>15</v>
      </c>
      <c r="G52" s="4" t="s">
        <v>25</v>
      </c>
      <c r="H52" s="5">
        <v>2950</v>
      </c>
      <c r="I52" s="4"/>
    </row>
    <row r="53" spans="1:9" ht="15.9" x14ac:dyDescent="0.4">
      <c r="A53" s="3">
        <v>45798</v>
      </c>
      <c r="B53" s="4" t="s">
        <v>191</v>
      </c>
      <c r="C53" s="4" t="s">
        <v>1441</v>
      </c>
      <c r="D53" s="4">
        <v>35948</v>
      </c>
      <c r="E53" s="4">
        <v>44</v>
      </c>
      <c r="F53" s="4" t="s">
        <v>15</v>
      </c>
      <c r="G53" s="4" t="s">
        <v>19</v>
      </c>
      <c r="H53" s="5">
        <v>1625</v>
      </c>
      <c r="I53" s="4"/>
    </row>
    <row r="54" spans="1:9" ht="15.9" x14ac:dyDescent="0.4">
      <c r="A54" s="3">
        <v>45798</v>
      </c>
      <c r="B54" s="4" t="s">
        <v>1442</v>
      </c>
      <c r="C54" s="4" t="s">
        <v>1443</v>
      </c>
      <c r="D54" s="4">
        <v>1182</v>
      </c>
      <c r="E54" s="4">
        <v>2</v>
      </c>
      <c r="F54" s="4" t="s">
        <v>35</v>
      </c>
      <c r="G54" s="4" t="s">
        <v>161</v>
      </c>
      <c r="H54" s="5">
        <v>364.68</v>
      </c>
      <c r="I54" s="4"/>
    </row>
    <row r="55" spans="1:9" ht="15.9" x14ac:dyDescent="0.4">
      <c r="A55" s="3">
        <v>45798</v>
      </c>
      <c r="B55" s="4" t="s">
        <v>150</v>
      </c>
      <c r="C55" s="4" t="s">
        <v>1339</v>
      </c>
      <c r="D55" s="4">
        <v>3720</v>
      </c>
      <c r="E55" s="4">
        <v>4</v>
      </c>
      <c r="F55" s="4" t="s">
        <v>35</v>
      </c>
      <c r="G55" s="4" t="s">
        <v>161</v>
      </c>
      <c r="H55" s="5">
        <v>818.75</v>
      </c>
      <c r="I55" s="4"/>
    </row>
    <row r="56" spans="1:9" ht="15.9" x14ac:dyDescent="0.4">
      <c r="A56" s="3">
        <v>45799</v>
      </c>
      <c r="B56" s="4" t="s">
        <v>191</v>
      </c>
      <c r="C56" s="4" t="s">
        <v>1444</v>
      </c>
      <c r="D56" s="4">
        <v>33497</v>
      </c>
      <c r="E56" s="4">
        <v>41</v>
      </c>
      <c r="F56" s="4" t="s">
        <v>15</v>
      </c>
      <c r="G56" s="4" t="s">
        <v>19</v>
      </c>
      <c r="H56" s="5">
        <v>1625</v>
      </c>
      <c r="I56" s="4"/>
    </row>
    <row r="57" spans="1:9" ht="15.9" x14ac:dyDescent="0.4">
      <c r="A57" s="3">
        <v>45799</v>
      </c>
      <c r="B57" s="4" t="s">
        <v>52</v>
      </c>
      <c r="C57" s="4" t="s">
        <v>1445</v>
      </c>
      <c r="D57" s="4">
        <v>15230</v>
      </c>
      <c r="E57" s="4">
        <v>16</v>
      </c>
      <c r="F57" s="4" t="s">
        <v>15</v>
      </c>
      <c r="G57" s="4" t="s">
        <v>25</v>
      </c>
      <c r="H57" s="5">
        <v>2950</v>
      </c>
      <c r="I57" s="4"/>
    </row>
    <row r="58" spans="1:9" ht="15.9" x14ac:dyDescent="0.4">
      <c r="A58" s="3">
        <v>45799</v>
      </c>
      <c r="B58" s="4" t="s">
        <v>349</v>
      </c>
      <c r="C58" s="4" t="s">
        <v>1446</v>
      </c>
      <c r="D58" s="4">
        <v>37840</v>
      </c>
      <c r="E58" s="4">
        <v>44</v>
      </c>
      <c r="F58" s="4" t="s">
        <v>15</v>
      </c>
      <c r="G58" s="4" t="s">
        <v>1382</v>
      </c>
      <c r="H58" s="5">
        <v>1600</v>
      </c>
      <c r="I58" s="4"/>
    </row>
    <row r="59" spans="1:9" ht="15.9" x14ac:dyDescent="0.4">
      <c r="A59" s="3">
        <v>45799</v>
      </c>
      <c r="B59" s="4" t="s">
        <v>150</v>
      </c>
      <c r="C59" s="4" t="s">
        <v>1330</v>
      </c>
      <c r="D59" s="4">
        <v>39456</v>
      </c>
      <c r="E59" s="4">
        <v>48</v>
      </c>
      <c r="F59" s="4" t="s">
        <v>15</v>
      </c>
      <c r="G59" s="4" t="s">
        <v>25</v>
      </c>
      <c r="H59" s="5">
        <v>3600</v>
      </c>
      <c r="I59" s="4"/>
    </row>
    <row r="60" spans="1:9" ht="15.9" x14ac:dyDescent="0.4">
      <c r="A60" s="3">
        <v>45799</v>
      </c>
      <c r="B60" s="4" t="s">
        <v>1447</v>
      </c>
      <c r="C60" s="4" t="s">
        <v>1448</v>
      </c>
      <c r="D60" s="4">
        <v>33924</v>
      </c>
      <c r="E60" s="4">
        <v>44</v>
      </c>
      <c r="F60" s="4" t="s">
        <v>11</v>
      </c>
      <c r="G60" s="4" t="s">
        <v>25</v>
      </c>
      <c r="H60" s="5">
        <v>7000</v>
      </c>
      <c r="I60" s="4"/>
    </row>
    <row r="61" spans="1:9" ht="15.9" x14ac:dyDescent="0.4">
      <c r="A61" s="3">
        <v>45800</v>
      </c>
      <c r="B61" s="4" t="s">
        <v>1447</v>
      </c>
      <c r="C61" s="4" t="s">
        <v>1449</v>
      </c>
      <c r="D61" s="4">
        <v>12336</v>
      </c>
      <c r="E61" s="4">
        <v>16</v>
      </c>
      <c r="F61" s="4" t="s">
        <v>11</v>
      </c>
      <c r="G61" s="4" t="s">
        <v>25</v>
      </c>
      <c r="H61" s="5">
        <v>5000</v>
      </c>
      <c r="I61" s="4"/>
    </row>
    <row r="62" spans="1:9" ht="15.9" x14ac:dyDescent="0.4">
      <c r="A62" s="3">
        <v>45800</v>
      </c>
      <c r="B62" s="4" t="s">
        <v>1265</v>
      </c>
      <c r="C62" s="4" t="s">
        <v>1450</v>
      </c>
      <c r="D62" s="4">
        <v>39456</v>
      </c>
      <c r="E62" s="4">
        <v>48</v>
      </c>
      <c r="F62" s="4" t="s">
        <v>15</v>
      </c>
      <c r="G62" s="4" t="s">
        <v>19</v>
      </c>
      <c r="H62" s="5">
        <v>2800</v>
      </c>
      <c r="I62" s="4"/>
    </row>
    <row r="63" spans="1:9" ht="15.9" x14ac:dyDescent="0.4">
      <c r="A63" s="3">
        <v>45800</v>
      </c>
      <c r="B63" s="4" t="s">
        <v>1265</v>
      </c>
      <c r="C63" s="4" t="s">
        <v>1451</v>
      </c>
      <c r="D63" s="4">
        <v>39456</v>
      </c>
      <c r="E63" s="4">
        <v>48</v>
      </c>
      <c r="F63" s="4" t="s">
        <v>15</v>
      </c>
      <c r="G63" s="4" t="s">
        <v>19</v>
      </c>
      <c r="H63" s="5">
        <v>2800</v>
      </c>
      <c r="I63" s="4"/>
    </row>
    <row r="64" spans="1:9" ht="15.9" x14ac:dyDescent="0.4">
      <c r="A64" s="3">
        <v>45804</v>
      </c>
      <c r="B64" s="4" t="s">
        <v>1452</v>
      </c>
      <c r="C64" s="4" t="s">
        <v>1453</v>
      </c>
      <c r="D64" s="4">
        <v>29050</v>
      </c>
      <c r="E64" s="4">
        <v>35</v>
      </c>
      <c r="F64" s="4" t="s">
        <v>11</v>
      </c>
      <c r="G64" s="4" t="s">
        <v>19</v>
      </c>
      <c r="H64" s="5">
        <v>6100</v>
      </c>
      <c r="I64" s="4"/>
    </row>
    <row r="65" spans="1:9" ht="15.9" x14ac:dyDescent="0.4">
      <c r="A65" s="3">
        <v>45804</v>
      </c>
      <c r="B65" s="4" t="s">
        <v>1452</v>
      </c>
      <c r="C65" s="4" t="s">
        <v>1454</v>
      </c>
      <c r="D65" s="4">
        <v>39360</v>
      </c>
      <c r="E65" s="4">
        <v>48</v>
      </c>
      <c r="F65" s="4" t="s">
        <v>11</v>
      </c>
      <c r="G65" s="4" t="s">
        <v>19</v>
      </c>
      <c r="H65" s="5">
        <v>6100</v>
      </c>
      <c r="I65" s="4"/>
    </row>
    <row r="66" spans="1:9" ht="15.9" x14ac:dyDescent="0.4">
      <c r="A66" s="3">
        <v>45804</v>
      </c>
      <c r="B66" s="4" t="s">
        <v>1452</v>
      </c>
      <c r="C66" s="4" t="s">
        <v>1455</v>
      </c>
      <c r="D66" s="4">
        <v>39360</v>
      </c>
      <c r="E66" s="4">
        <v>48</v>
      </c>
      <c r="F66" s="4" t="s">
        <v>11</v>
      </c>
      <c r="G66" s="4" t="s">
        <v>19</v>
      </c>
      <c r="H66" s="5">
        <v>6100</v>
      </c>
      <c r="I66" s="4"/>
    </row>
    <row r="67" spans="1:9" ht="15.9" x14ac:dyDescent="0.4">
      <c r="A67" s="3">
        <v>45804</v>
      </c>
      <c r="B67" s="4" t="s">
        <v>1452</v>
      </c>
      <c r="C67" s="4" t="s">
        <v>1456</v>
      </c>
      <c r="D67" s="4">
        <v>39360</v>
      </c>
      <c r="E67" s="4">
        <v>48</v>
      </c>
      <c r="F67" s="4" t="s">
        <v>11</v>
      </c>
      <c r="G67" s="4" t="s">
        <v>19</v>
      </c>
      <c r="H67" s="5">
        <v>6100</v>
      </c>
      <c r="I67" s="4"/>
    </row>
    <row r="68" spans="1:9" ht="15.9" x14ac:dyDescent="0.4">
      <c r="A68" s="3">
        <v>45804</v>
      </c>
      <c r="B68" s="4" t="s">
        <v>1452</v>
      </c>
      <c r="C68" s="4" t="s">
        <v>1457</v>
      </c>
      <c r="D68" s="4">
        <v>39360</v>
      </c>
      <c r="E68" s="4">
        <v>48</v>
      </c>
      <c r="F68" s="4" t="s">
        <v>11</v>
      </c>
      <c r="G68" s="4" t="s">
        <v>19</v>
      </c>
      <c r="H68" s="5">
        <v>6100</v>
      </c>
      <c r="I68" s="4"/>
    </row>
    <row r="69" spans="1:9" ht="15.9" x14ac:dyDescent="0.4">
      <c r="A69" s="3">
        <v>45804</v>
      </c>
      <c r="B69" s="4" t="s">
        <v>1452</v>
      </c>
      <c r="C69" s="4" t="s">
        <v>1458</v>
      </c>
      <c r="D69" s="4">
        <v>39360</v>
      </c>
      <c r="E69" s="4">
        <v>48</v>
      </c>
      <c r="F69" s="4" t="s">
        <v>11</v>
      </c>
      <c r="G69" s="4" t="s">
        <v>19</v>
      </c>
      <c r="H69" s="5">
        <v>6100</v>
      </c>
      <c r="I69" s="4"/>
    </row>
    <row r="70" spans="1:9" ht="15.9" x14ac:dyDescent="0.4">
      <c r="A70" s="3">
        <v>45804</v>
      </c>
      <c r="B70" s="4" t="s">
        <v>1452</v>
      </c>
      <c r="C70" s="4" t="s">
        <v>1459</v>
      </c>
      <c r="D70" s="4">
        <v>39360</v>
      </c>
      <c r="E70" s="4">
        <v>48</v>
      </c>
      <c r="F70" s="4" t="s">
        <v>11</v>
      </c>
      <c r="G70" s="4" t="s">
        <v>19</v>
      </c>
      <c r="H70" s="5">
        <v>6100</v>
      </c>
      <c r="I70" s="4"/>
    </row>
    <row r="71" spans="1:9" ht="15.9" x14ac:dyDescent="0.4">
      <c r="A71" s="3">
        <v>45804</v>
      </c>
      <c r="B71" s="4" t="s">
        <v>1452</v>
      </c>
      <c r="C71" s="4" t="s">
        <v>1460</v>
      </c>
      <c r="D71" s="4">
        <v>39360</v>
      </c>
      <c r="E71" s="4">
        <v>48</v>
      </c>
      <c r="F71" s="4" t="s">
        <v>11</v>
      </c>
      <c r="G71" s="4" t="s">
        <v>19</v>
      </c>
      <c r="H71" s="5">
        <v>6100</v>
      </c>
      <c r="I71" s="4"/>
    </row>
    <row r="72" spans="1:9" ht="15.9" x14ac:dyDescent="0.4">
      <c r="A72" s="3">
        <v>45804</v>
      </c>
      <c r="B72" s="4" t="s">
        <v>1452</v>
      </c>
      <c r="C72" s="4" t="s">
        <v>1461</v>
      </c>
      <c r="D72" s="4">
        <v>39360</v>
      </c>
      <c r="E72" s="4">
        <v>48</v>
      </c>
      <c r="F72" s="4" t="s">
        <v>11</v>
      </c>
      <c r="G72" s="4" t="s">
        <v>19</v>
      </c>
      <c r="H72" s="5">
        <v>6100</v>
      </c>
      <c r="I72" s="4"/>
    </row>
    <row r="73" spans="1:9" ht="15.9" x14ac:dyDescent="0.4">
      <c r="A73" s="3">
        <v>45804</v>
      </c>
      <c r="B73" s="4" t="s">
        <v>1462</v>
      </c>
      <c r="C73" s="4" t="s">
        <v>1463</v>
      </c>
      <c r="D73" s="4">
        <v>39360</v>
      </c>
      <c r="E73" s="4">
        <v>48</v>
      </c>
      <c r="F73" s="4" t="s">
        <v>11</v>
      </c>
      <c r="G73" s="4" t="s">
        <v>19</v>
      </c>
      <c r="H73" s="5">
        <v>6100</v>
      </c>
      <c r="I73" s="4"/>
    </row>
    <row r="74" spans="1:9" ht="15.9" x14ac:dyDescent="0.4">
      <c r="A74" s="3">
        <v>45804</v>
      </c>
      <c r="B74" s="4" t="s">
        <v>1462</v>
      </c>
      <c r="C74" s="4" t="s">
        <v>1464</v>
      </c>
      <c r="D74" s="4">
        <v>39360</v>
      </c>
      <c r="E74" s="4">
        <v>48</v>
      </c>
      <c r="F74" s="4" t="s">
        <v>11</v>
      </c>
      <c r="G74" s="4" t="s">
        <v>19</v>
      </c>
      <c r="H74" s="5">
        <v>6100</v>
      </c>
      <c r="I74" s="4"/>
    </row>
    <row r="75" spans="1:9" ht="15.9" x14ac:dyDescent="0.4">
      <c r="A75" s="3">
        <v>45804</v>
      </c>
      <c r="B75" s="4" t="s">
        <v>1462</v>
      </c>
      <c r="C75" s="4" t="s">
        <v>1465</v>
      </c>
      <c r="D75" s="4">
        <v>23510</v>
      </c>
      <c r="E75" s="4">
        <v>27</v>
      </c>
      <c r="F75" s="4" t="s">
        <v>11</v>
      </c>
      <c r="G75" s="4" t="s">
        <v>19</v>
      </c>
      <c r="H75" s="5">
        <v>6100</v>
      </c>
      <c r="I75" s="4"/>
    </row>
    <row r="76" spans="1:9" ht="15.9" x14ac:dyDescent="0.4">
      <c r="A76" s="3">
        <v>45805</v>
      </c>
      <c r="B76" s="4" t="s">
        <v>1462</v>
      </c>
      <c r="C76" s="4" t="s">
        <v>1466</v>
      </c>
      <c r="D76" s="4">
        <v>39360</v>
      </c>
      <c r="E76" s="4">
        <v>48</v>
      </c>
      <c r="F76" s="4" t="s">
        <v>11</v>
      </c>
      <c r="G76" s="4" t="s">
        <v>19</v>
      </c>
      <c r="H76" s="5">
        <v>6100</v>
      </c>
      <c r="I76" s="4"/>
    </row>
    <row r="77" spans="1:9" ht="15.9" x14ac:dyDescent="0.4">
      <c r="A77" s="3">
        <v>45805</v>
      </c>
      <c r="B77" s="4" t="s">
        <v>1452</v>
      </c>
      <c r="C77" s="4" t="s">
        <v>1467</v>
      </c>
      <c r="D77" s="4">
        <v>39360</v>
      </c>
      <c r="E77" s="4">
        <v>48</v>
      </c>
      <c r="F77" s="4" t="s">
        <v>11</v>
      </c>
      <c r="G77" s="4" t="s">
        <v>19</v>
      </c>
      <c r="H77" s="5">
        <v>6100</v>
      </c>
      <c r="I77" s="4"/>
    </row>
    <row r="78" spans="1:9" ht="15.9" x14ac:dyDescent="0.4">
      <c r="A78" s="3">
        <v>45805</v>
      </c>
      <c r="B78" s="4" t="s">
        <v>1452</v>
      </c>
      <c r="C78" s="4" t="s">
        <v>1468</v>
      </c>
      <c r="D78" s="4">
        <v>39360</v>
      </c>
      <c r="E78" s="4">
        <v>48</v>
      </c>
      <c r="F78" s="4" t="s">
        <v>11</v>
      </c>
      <c r="G78" s="4" t="s">
        <v>19</v>
      </c>
      <c r="H78" s="5">
        <v>6100</v>
      </c>
      <c r="I78" s="4"/>
    </row>
    <row r="79" spans="1:9" ht="15.9" x14ac:dyDescent="0.4">
      <c r="A79" s="3">
        <v>45805</v>
      </c>
      <c r="B79" s="4" t="s">
        <v>1068</v>
      </c>
      <c r="C79" s="4" t="s">
        <v>1469</v>
      </c>
      <c r="D79" s="4">
        <v>39840</v>
      </c>
      <c r="E79" s="4">
        <v>48</v>
      </c>
      <c r="F79" s="4" t="s">
        <v>15</v>
      </c>
      <c r="G79" s="4" t="s">
        <v>1382</v>
      </c>
      <c r="H79" s="5">
        <v>2750</v>
      </c>
      <c r="I79" s="4"/>
    </row>
    <row r="80" spans="1:9" ht="15.9" x14ac:dyDescent="0.4">
      <c r="A80" s="3">
        <v>45805</v>
      </c>
      <c r="B80" s="4" t="s">
        <v>1068</v>
      </c>
      <c r="C80" s="4" t="s">
        <v>1470</v>
      </c>
      <c r="D80" s="4">
        <v>36520</v>
      </c>
      <c r="E80" s="4">
        <v>44</v>
      </c>
      <c r="F80" s="4" t="s">
        <v>15</v>
      </c>
      <c r="G80" s="4" t="s">
        <v>1382</v>
      </c>
      <c r="H80" s="5">
        <v>2750</v>
      </c>
      <c r="I80" s="4"/>
    </row>
    <row r="81" spans="1:9" ht="15.9" x14ac:dyDescent="0.4">
      <c r="A81" s="3">
        <v>45805</v>
      </c>
      <c r="B81" s="4" t="s">
        <v>1462</v>
      </c>
      <c r="C81" s="4" t="s">
        <v>1471</v>
      </c>
      <c r="D81" s="4">
        <v>34440</v>
      </c>
      <c r="E81" s="4">
        <v>42</v>
      </c>
      <c r="F81" s="4" t="s">
        <v>11</v>
      </c>
      <c r="G81" s="4" t="s">
        <v>19</v>
      </c>
      <c r="H81" s="5">
        <v>6100</v>
      </c>
      <c r="I81" s="4"/>
    </row>
    <row r="82" spans="1:9" ht="15.9" x14ac:dyDescent="0.4">
      <c r="A82" s="3">
        <v>45805</v>
      </c>
      <c r="B82" s="4" t="s">
        <v>1452</v>
      </c>
      <c r="C82" s="4" t="s">
        <v>1472</v>
      </c>
      <c r="D82" s="4">
        <v>39360</v>
      </c>
      <c r="E82" s="4">
        <v>48</v>
      </c>
      <c r="F82" s="4" t="s">
        <v>11</v>
      </c>
      <c r="G82" s="4" t="s">
        <v>19</v>
      </c>
      <c r="H82" s="5">
        <v>6100</v>
      </c>
      <c r="I82" s="4"/>
    </row>
    <row r="83" spans="1:9" ht="15.9" x14ac:dyDescent="0.4">
      <c r="A83" s="3">
        <v>45805</v>
      </c>
      <c r="B83" s="4" t="s">
        <v>103</v>
      </c>
      <c r="C83" s="4" t="s">
        <v>1473</v>
      </c>
      <c r="D83" s="4">
        <v>13889</v>
      </c>
      <c r="E83" s="4">
        <v>17</v>
      </c>
      <c r="F83" s="4" t="s">
        <v>35</v>
      </c>
      <c r="G83" s="4" t="s">
        <v>25</v>
      </c>
      <c r="H83" s="5">
        <v>2900</v>
      </c>
      <c r="I83" s="4"/>
    </row>
    <row r="84" spans="1:9" ht="15.9" x14ac:dyDescent="0.4">
      <c r="A84" s="3">
        <v>45805</v>
      </c>
      <c r="B84" s="4" t="s">
        <v>150</v>
      </c>
      <c r="C84" s="4" t="s">
        <v>1474</v>
      </c>
      <c r="D84" s="4">
        <v>9500</v>
      </c>
      <c r="E84" s="4">
        <v>10</v>
      </c>
      <c r="F84" s="4" t="s">
        <v>35</v>
      </c>
      <c r="G84" s="4" t="s">
        <v>161</v>
      </c>
      <c r="H84" s="5">
        <v>1945.81</v>
      </c>
      <c r="I84" s="4"/>
    </row>
    <row r="85" spans="1:9" ht="15.9" x14ac:dyDescent="0.4">
      <c r="A85" s="3">
        <v>45806</v>
      </c>
      <c r="B85" s="4" t="s">
        <v>1452</v>
      </c>
      <c r="C85" s="4" t="s">
        <v>1475</v>
      </c>
      <c r="D85" s="4">
        <v>39456</v>
      </c>
      <c r="E85" s="4">
        <v>48</v>
      </c>
      <c r="F85" s="4" t="s">
        <v>11</v>
      </c>
      <c r="G85" s="4" t="s">
        <v>19</v>
      </c>
      <c r="H85" s="5">
        <v>6100</v>
      </c>
      <c r="I85" s="4"/>
    </row>
    <row r="86" spans="1:9" ht="15.9" x14ac:dyDescent="0.4">
      <c r="A86" s="3">
        <v>45806</v>
      </c>
      <c r="B86" s="4" t="s">
        <v>1452</v>
      </c>
      <c r="C86" s="4" t="s">
        <v>1476</v>
      </c>
      <c r="D86" s="4">
        <v>39360</v>
      </c>
      <c r="E86" s="4">
        <v>48</v>
      </c>
      <c r="F86" s="4" t="s">
        <v>11</v>
      </c>
      <c r="G86" s="4" t="s">
        <v>19</v>
      </c>
      <c r="H86" s="5">
        <v>6100</v>
      </c>
      <c r="I86" s="4"/>
    </row>
    <row r="87" spans="1:9" ht="15.9" x14ac:dyDescent="0.4">
      <c r="A87" s="3">
        <v>45806</v>
      </c>
      <c r="B87" s="4" t="s">
        <v>1452</v>
      </c>
      <c r="C87" s="4" t="s">
        <v>1477</v>
      </c>
      <c r="D87" s="4">
        <v>39360</v>
      </c>
      <c r="E87" s="4">
        <v>48</v>
      </c>
      <c r="F87" s="4" t="s">
        <v>11</v>
      </c>
      <c r="G87" s="4" t="s">
        <v>19</v>
      </c>
      <c r="H87" s="5">
        <v>6100</v>
      </c>
      <c r="I87" s="4"/>
    </row>
    <row r="88" spans="1:9" ht="15.9" x14ac:dyDescent="0.4">
      <c r="A88" s="3">
        <v>45806</v>
      </c>
      <c r="B88" s="4" t="s">
        <v>1452</v>
      </c>
      <c r="C88" s="4" t="s">
        <v>1478</v>
      </c>
      <c r="D88" s="4">
        <v>39456</v>
      </c>
      <c r="E88" s="4">
        <v>48</v>
      </c>
      <c r="F88" s="4" t="s">
        <v>11</v>
      </c>
      <c r="G88" s="4" t="s">
        <v>19</v>
      </c>
      <c r="H88" s="5">
        <v>6100</v>
      </c>
      <c r="I88" s="4"/>
    </row>
    <row r="89" spans="1:9" ht="15.9" x14ac:dyDescent="0.4">
      <c r="A89" s="3">
        <v>45806</v>
      </c>
      <c r="B89" s="4" t="s">
        <v>150</v>
      </c>
      <c r="C89" s="4" t="s">
        <v>1350</v>
      </c>
      <c r="D89" s="4">
        <v>39456</v>
      </c>
      <c r="E89" s="4">
        <v>48</v>
      </c>
      <c r="F89" s="4" t="s">
        <v>15</v>
      </c>
      <c r="G89" s="4" t="s">
        <v>25</v>
      </c>
      <c r="H89" s="5">
        <v>3600</v>
      </c>
      <c r="I89" s="4"/>
    </row>
    <row r="90" spans="1:9" ht="15.9" x14ac:dyDescent="0.4">
      <c r="A90" s="3">
        <v>45806</v>
      </c>
      <c r="B90" s="4" t="s">
        <v>1265</v>
      </c>
      <c r="C90" s="4" t="s">
        <v>1479</v>
      </c>
      <c r="D90" s="4">
        <v>41540</v>
      </c>
      <c r="E90" s="4">
        <v>48</v>
      </c>
      <c r="F90" s="4" t="s">
        <v>15</v>
      </c>
      <c r="G90" s="4" t="s">
        <v>19</v>
      </c>
      <c r="H90" s="5">
        <v>2800</v>
      </c>
      <c r="I90" s="4"/>
    </row>
    <row r="91" spans="1:9" ht="15.9" x14ac:dyDescent="0.4">
      <c r="A91" s="3">
        <v>45806</v>
      </c>
      <c r="B91" s="4" t="s">
        <v>1480</v>
      </c>
      <c r="C91" s="4" t="s">
        <v>1481</v>
      </c>
      <c r="D91" s="4">
        <v>16740</v>
      </c>
      <c r="E91" s="4">
        <v>18</v>
      </c>
      <c r="F91" s="4" t="s">
        <v>11</v>
      </c>
      <c r="G91" s="4" t="s">
        <v>25</v>
      </c>
      <c r="H91" s="5">
        <v>5000</v>
      </c>
      <c r="I91" s="4"/>
    </row>
    <row r="92" spans="1:9" ht="15.9" x14ac:dyDescent="0.4">
      <c r="A92" s="3">
        <v>45806</v>
      </c>
      <c r="B92" s="4" t="s">
        <v>1482</v>
      </c>
      <c r="C92" s="4" t="s">
        <v>1483</v>
      </c>
      <c r="D92" s="4">
        <v>32711</v>
      </c>
      <c r="E92" s="4">
        <v>38</v>
      </c>
      <c r="F92" s="4" t="s">
        <v>11</v>
      </c>
      <c r="G92" s="4" t="s">
        <v>25</v>
      </c>
      <c r="H92" s="5">
        <v>4500</v>
      </c>
      <c r="I92" s="4"/>
    </row>
    <row r="93" spans="1:9" ht="15.9" x14ac:dyDescent="0.4">
      <c r="A93" s="3">
        <v>45806</v>
      </c>
      <c r="B93" s="4" t="s">
        <v>191</v>
      </c>
      <c r="C93" s="4" t="s">
        <v>1484</v>
      </c>
      <c r="D93" s="4">
        <v>817</v>
      </c>
      <c r="E93" s="4">
        <v>1</v>
      </c>
      <c r="F93" s="4" t="s">
        <v>35</v>
      </c>
      <c r="G93" s="4" t="s">
        <v>161</v>
      </c>
      <c r="H93" s="5">
        <v>319.12</v>
      </c>
      <c r="I93" s="4"/>
    </row>
    <row r="94" spans="1:9" ht="15.9" x14ac:dyDescent="0.4">
      <c r="A94" s="3">
        <v>45806</v>
      </c>
      <c r="B94" s="4" t="s">
        <v>1452</v>
      </c>
      <c r="C94" s="4" t="s">
        <v>1485</v>
      </c>
      <c r="D94" s="4">
        <v>29770</v>
      </c>
      <c r="E94" s="4">
        <v>36</v>
      </c>
      <c r="F94" s="4" t="s">
        <v>11</v>
      </c>
      <c r="G94" s="4" t="s">
        <v>19</v>
      </c>
      <c r="H94" s="5">
        <v>6100</v>
      </c>
      <c r="I94" s="4"/>
    </row>
    <row r="95" spans="1:9" ht="15.9" x14ac:dyDescent="0.4">
      <c r="A95" s="3">
        <v>45807</v>
      </c>
      <c r="B95" s="4" t="s">
        <v>1482</v>
      </c>
      <c r="C95" s="4" t="s">
        <v>1486</v>
      </c>
      <c r="D95" s="4">
        <v>36615</v>
      </c>
      <c r="E95" s="4">
        <v>39</v>
      </c>
      <c r="F95" s="4" t="s">
        <v>11</v>
      </c>
      <c r="G95" s="4" t="s">
        <v>25</v>
      </c>
      <c r="H95" s="5">
        <v>4500</v>
      </c>
      <c r="I95" s="4"/>
    </row>
    <row r="96" spans="1:9" ht="15.9" x14ac:dyDescent="0.4">
      <c r="A96" s="3">
        <v>45807</v>
      </c>
      <c r="B96" s="4" t="s">
        <v>1482</v>
      </c>
      <c r="C96" s="4" t="s">
        <v>1487</v>
      </c>
      <c r="D96" s="4">
        <v>39218</v>
      </c>
      <c r="E96" s="4">
        <v>48</v>
      </c>
      <c r="F96" s="4" t="s">
        <v>11</v>
      </c>
      <c r="G96" s="4" t="s">
        <v>25</v>
      </c>
      <c r="H96" s="5">
        <v>4500</v>
      </c>
      <c r="I96" s="4"/>
    </row>
    <row r="97" spans="1:9" ht="15.9" x14ac:dyDescent="0.4">
      <c r="A97" s="3">
        <v>45807</v>
      </c>
      <c r="B97" s="4" t="s">
        <v>1482</v>
      </c>
      <c r="C97" s="4" t="s">
        <v>1488</v>
      </c>
      <c r="D97" s="4">
        <v>39984</v>
      </c>
      <c r="E97" s="4">
        <v>48</v>
      </c>
      <c r="F97" s="4" t="s">
        <v>11</v>
      </c>
      <c r="G97" s="4" t="s">
        <v>25</v>
      </c>
      <c r="H97" s="5">
        <v>4500</v>
      </c>
      <c r="I97" s="4"/>
    </row>
    <row r="98" spans="1:9" ht="15.9" x14ac:dyDescent="0.4">
      <c r="A98" s="3">
        <v>45807</v>
      </c>
      <c r="B98" s="4" t="s">
        <v>1482</v>
      </c>
      <c r="C98" s="4" t="s">
        <v>1489</v>
      </c>
      <c r="D98" s="4">
        <v>39456</v>
      </c>
      <c r="E98" s="4">
        <v>48</v>
      </c>
      <c r="F98" s="4" t="s">
        <v>11</v>
      </c>
      <c r="G98" s="4" t="s">
        <v>25</v>
      </c>
      <c r="H98" s="5">
        <v>4500</v>
      </c>
      <c r="I98" s="4"/>
    </row>
    <row r="99" spans="1:9" ht="15.9" x14ac:dyDescent="0.4">
      <c r="A99" s="3">
        <v>45807</v>
      </c>
      <c r="B99" s="4" t="s">
        <v>1482</v>
      </c>
      <c r="C99" s="4" t="s">
        <v>1490</v>
      </c>
      <c r="D99" s="4">
        <v>42666</v>
      </c>
      <c r="E99" s="4">
        <v>46</v>
      </c>
      <c r="F99" s="4" t="s">
        <v>11</v>
      </c>
      <c r="G99" s="4" t="s">
        <v>25</v>
      </c>
      <c r="H99" s="5">
        <v>4500</v>
      </c>
      <c r="I99" s="4"/>
    </row>
    <row r="100" spans="1:9" ht="15.9" x14ac:dyDescent="0.4">
      <c r="A100" s="3">
        <v>45807</v>
      </c>
      <c r="B100" s="4" t="s">
        <v>1482</v>
      </c>
      <c r="C100" s="4" t="s">
        <v>1491</v>
      </c>
      <c r="D100" s="4">
        <v>39216</v>
      </c>
      <c r="E100" s="4">
        <v>48</v>
      </c>
      <c r="F100" s="4" t="s">
        <v>11</v>
      </c>
      <c r="G100" s="4" t="s">
        <v>25</v>
      </c>
      <c r="H100" s="5">
        <v>4500</v>
      </c>
      <c r="I100" s="4"/>
    </row>
    <row r="101" spans="1:9" ht="15.9" x14ac:dyDescent="0.4">
      <c r="A101" s="3">
        <v>45807</v>
      </c>
      <c r="B101" s="4" t="s">
        <v>1452</v>
      </c>
      <c r="C101" s="4" t="s">
        <v>1492</v>
      </c>
      <c r="D101" s="4">
        <v>39456</v>
      </c>
      <c r="E101" s="4">
        <v>48</v>
      </c>
      <c r="F101" s="4" t="s">
        <v>11</v>
      </c>
      <c r="G101" s="4" t="s">
        <v>19</v>
      </c>
      <c r="H101" s="5">
        <v>6100</v>
      </c>
      <c r="I101" s="4"/>
    </row>
    <row r="102" spans="1:9" ht="15.9" x14ac:dyDescent="0.4">
      <c r="A102" s="3"/>
      <c r="B102" s="4"/>
      <c r="C102" s="4"/>
      <c r="D102" s="4"/>
      <c r="E102" s="4"/>
      <c r="F102" s="4"/>
      <c r="G102" s="4"/>
      <c r="H102" s="5"/>
      <c r="I102" s="4"/>
    </row>
    <row r="103" spans="1:9" ht="15.9" x14ac:dyDescent="0.4">
      <c r="A103" s="3"/>
      <c r="B103" s="4"/>
      <c r="C103" s="4"/>
      <c r="D103" s="4"/>
      <c r="E103" s="4"/>
      <c r="F103" s="4"/>
      <c r="G103" s="4"/>
      <c r="H103" s="4"/>
      <c r="I103" s="4"/>
    </row>
    <row r="104" spans="1:9" ht="15.9" x14ac:dyDescent="0.4">
      <c r="A104" s="3"/>
      <c r="B104" s="4"/>
      <c r="C104" s="4"/>
      <c r="D104" s="4"/>
      <c r="E104" s="4"/>
      <c r="F104" s="4"/>
      <c r="G104" s="4"/>
      <c r="H104" s="5"/>
      <c r="I104" s="4"/>
    </row>
    <row r="105" spans="1:9" ht="15.9" x14ac:dyDescent="0.4">
      <c r="A105" s="3"/>
      <c r="B105" s="4"/>
      <c r="C105" s="4"/>
      <c r="D105" s="4"/>
      <c r="E105" s="4"/>
      <c r="F105" s="4"/>
      <c r="G105" s="4"/>
      <c r="H105" s="5"/>
      <c r="I105" s="4"/>
    </row>
    <row r="106" spans="1:9" ht="15.9" x14ac:dyDescent="0.4">
      <c r="A106" s="3"/>
      <c r="B106" s="4"/>
      <c r="C106" s="4"/>
      <c r="D106" s="4"/>
      <c r="E106" s="4"/>
      <c r="F106" s="4"/>
      <c r="G106" s="4"/>
      <c r="H106" s="5"/>
      <c r="I106" s="4"/>
    </row>
    <row r="107" spans="1:9" ht="15.9" x14ac:dyDescent="0.4">
      <c r="A107" s="3"/>
      <c r="B107" s="4"/>
      <c r="C107" s="4"/>
      <c r="D107" s="4"/>
      <c r="E107" s="4"/>
      <c r="F107" s="4"/>
      <c r="G107" s="4"/>
      <c r="H107" s="5"/>
      <c r="I107" s="4"/>
    </row>
    <row r="108" spans="1:9" ht="15.9" x14ac:dyDescent="0.4">
      <c r="A108" s="3"/>
      <c r="B108" s="4"/>
      <c r="C108" s="4"/>
      <c r="D108" s="4"/>
      <c r="E108" s="4"/>
      <c r="F108" s="4"/>
      <c r="G108" s="4"/>
      <c r="H108" s="5"/>
      <c r="I108" s="4"/>
    </row>
    <row r="109" spans="1:9" ht="15.9" x14ac:dyDescent="0.4">
      <c r="A109" s="3"/>
      <c r="B109" s="4"/>
      <c r="C109" s="4"/>
      <c r="D109" s="4"/>
      <c r="E109" s="4"/>
      <c r="F109" s="4"/>
      <c r="G109" s="4"/>
      <c r="H109" s="5"/>
      <c r="I109" s="4"/>
    </row>
    <row r="110" spans="1:9" ht="15.9" x14ac:dyDescent="0.4">
      <c r="A110" s="3"/>
      <c r="B110" s="4"/>
      <c r="C110" s="4"/>
      <c r="D110" s="4"/>
      <c r="E110" s="4"/>
      <c r="F110" s="4"/>
      <c r="G110" s="4"/>
      <c r="H110" s="5"/>
      <c r="I110" s="4"/>
    </row>
    <row r="111" spans="1:9" ht="15.9" x14ac:dyDescent="0.4">
      <c r="A111" s="3"/>
      <c r="B111" s="4"/>
      <c r="C111" s="4"/>
      <c r="D111" s="4"/>
      <c r="E111" s="4"/>
      <c r="F111" s="4"/>
      <c r="G111" s="4"/>
      <c r="H111" s="5"/>
      <c r="I111" s="4"/>
    </row>
    <row r="112" spans="1:9" ht="15.9" x14ac:dyDescent="0.4">
      <c r="A112" s="3"/>
      <c r="B112" s="4"/>
      <c r="C112" s="4"/>
      <c r="D112" s="4"/>
      <c r="E112" s="4"/>
      <c r="F112" s="4"/>
      <c r="G112" s="4"/>
      <c r="H112" s="5"/>
      <c r="I112" s="4"/>
    </row>
    <row r="113" spans="1:9" ht="15.9" x14ac:dyDescent="0.4">
      <c r="A113" s="3"/>
      <c r="B113" s="4"/>
      <c r="C113" s="4"/>
      <c r="D113" s="4"/>
      <c r="E113" s="4"/>
      <c r="F113" s="4"/>
      <c r="G113" s="4"/>
      <c r="H113" s="4"/>
      <c r="I113" s="4"/>
    </row>
    <row r="114" spans="1:9" ht="15.9" x14ac:dyDescent="0.4">
      <c r="A114" s="3"/>
      <c r="B114" s="4"/>
      <c r="C114" s="4"/>
      <c r="D114" s="4"/>
      <c r="E114" s="4"/>
      <c r="F114" s="4"/>
      <c r="G114" s="4"/>
      <c r="H114" s="5"/>
      <c r="I114" s="4"/>
    </row>
    <row r="115" spans="1:9" ht="15.9" x14ac:dyDescent="0.4">
      <c r="A115" s="3"/>
      <c r="B115" s="4"/>
      <c r="C115" s="4"/>
      <c r="D115" s="4"/>
      <c r="E115" s="4"/>
      <c r="F115" s="4"/>
      <c r="G115" s="4"/>
      <c r="H115" s="5"/>
      <c r="I115" s="4"/>
    </row>
    <row r="116" spans="1:9" ht="15.9" x14ac:dyDescent="0.4">
      <c r="A116" s="3"/>
      <c r="B116" s="4"/>
      <c r="C116" s="4"/>
      <c r="D116" s="4"/>
      <c r="E116" s="4"/>
      <c r="F116" s="4"/>
      <c r="G116" s="4"/>
      <c r="H116" s="5"/>
      <c r="I116" s="4"/>
    </row>
    <row r="117" spans="1:9" ht="15.9" x14ac:dyDescent="0.4">
      <c r="A117" s="3"/>
      <c r="B117" s="4"/>
      <c r="C117" s="4"/>
      <c r="D117" s="4"/>
      <c r="E117" s="4"/>
      <c r="F117" s="4"/>
      <c r="G117" s="4"/>
      <c r="H117" s="5"/>
      <c r="I117" s="4"/>
    </row>
    <row r="118" spans="1:9" ht="15.9" x14ac:dyDescent="0.4">
      <c r="A118" s="4"/>
      <c r="B118" s="4"/>
      <c r="C118" s="4"/>
      <c r="D118" s="4"/>
      <c r="E118" s="4"/>
      <c r="F118" s="4"/>
      <c r="G118" s="4"/>
      <c r="H118" s="4"/>
      <c r="I118" s="4"/>
    </row>
    <row r="119" spans="1:9" ht="15.9" x14ac:dyDescent="0.4">
      <c r="A119" s="4"/>
      <c r="B119" s="4"/>
      <c r="C119" s="4"/>
      <c r="D119" s="4"/>
      <c r="E119" s="4"/>
      <c r="F119" s="4"/>
      <c r="G119" s="4"/>
      <c r="H119" s="4"/>
      <c r="I119" s="4"/>
    </row>
    <row r="120" spans="1:9" ht="15.9" x14ac:dyDescent="0.4">
      <c r="A120" s="4"/>
      <c r="B120" s="4"/>
      <c r="C120" s="4"/>
      <c r="D120" s="4"/>
      <c r="E120" s="4"/>
      <c r="F120" s="4"/>
      <c r="G120" s="4"/>
      <c r="H120" s="4"/>
      <c r="I120" s="4"/>
    </row>
    <row r="121" spans="1:9" ht="15.9" x14ac:dyDescent="0.4">
      <c r="A121" s="4"/>
      <c r="B121" s="4"/>
      <c r="C121" s="4"/>
      <c r="D121" s="4"/>
      <c r="E121" s="4"/>
      <c r="F121" s="4"/>
      <c r="G121" s="4"/>
      <c r="H121" s="4"/>
      <c r="I121" s="4"/>
    </row>
    <row r="122" spans="1:9" ht="15.9" x14ac:dyDescent="0.4">
      <c r="A122" s="4"/>
      <c r="B122" s="4"/>
      <c r="C122" s="4"/>
      <c r="D122" s="4"/>
      <c r="E122" s="4"/>
      <c r="F122" s="4"/>
      <c r="G122" s="4"/>
      <c r="H122" s="4"/>
      <c r="I122" s="4"/>
    </row>
    <row r="123" spans="1:9" ht="15.9" x14ac:dyDescent="0.4">
      <c r="A123" s="4"/>
      <c r="B123" s="4"/>
      <c r="C123" s="4"/>
      <c r="D123" s="4"/>
      <c r="E123" s="4"/>
      <c r="F123" s="4"/>
      <c r="G123" s="4"/>
      <c r="H123" s="4"/>
      <c r="I123" s="4"/>
    </row>
    <row r="124" spans="1:9" ht="15.9" x14ac:dyDescent="0.4">
      <c r="A124" s="4"/>
      <c r="B124" s="4"/>
      <c r="C124" s="4"/>
      <c r="D124" s="4"/>
      <c r="E124" s="4"/>
      <c r="F124" s="4"/>
      <c r="G124" s="4"/>
      <c r="H124" s="4"/>
      <c r="I124" s="4"/>
    </row>
    <row r="125" spans="1:9" ht="15.9" x14ac:dyDescent="0.4">
      <c r="A125" s="4"/>
      <c r="B125" s="4"/>
      <c r="C125" s="4"/>
      <c r="D125" s="4"/>
      <c r="E125" s="4"/>
      <c r="F125" s="4"/>
      <c r="G125" s="4"/>
      <c r="H125" s="4"/>
      <c r="I125" s="4"/>
    </row>
    <row r="126" spans="1:9" ht="15.9" x14ac:dyDescent="0.4">
      <c r="A126" s="4"/>
      <c r="B126" s="4"/>
      <c r="C126" s="4"/>
      <c r="D126" s="4"/>
      <c r="E126" s="4"/>
      <c r="F126" s="4"/>
      <c r="G126" s="4"/>
      <c r="H126" s="4"/>
      <c r="I126" s="4"/>
    </row>
    <row r="127" spans="1:9" ht="15.9" x14ac:dyDescent="0.4">
      <c r="A127" s="4"/>
      <c r="B127" s="4"/>
      <c r="C127" s="4"/>
      <c r="D127" s="4"/>
      <c r="E127" s="4"/>
      <c r="F127" s="4"/>
      <c r="G127" s="4"/>
      <c r="H127" s="4"/>
      <c r="I127" s="4"/>
    </row>
    <row r="128" spans="1:9" ht="15.9" x14ac:dyDescent="0.4">
      <c r="A128" s="4"/>
      <c r="B128" s="4"/>
      <c r="C128" s="4"/>
      <c r="D128" s="4"/>
      <c r="E128" s="4"/>
      <c r="F128" s="4"/>
      <c r="G128" s="4"/>
      <c r="H128" s="4"/>
      <c r="I128" s="4"/>
    </row>
    <row r="129" spans="1:9" ht="15.9" x14ac:dyDescent="0.4">
      <c r="A129" s="4"/>
      <c r="B129" s="4"/>
      <c r="C129" s="4"/>
      <c r="D129" s="4"/>
      <c r="E129" s="4"/>
      <c r="F129" s="4"/>
      <c r="G129" s="4"/>
      <c r="H129" s="4"/>
      <c r="I129" s="4"/>
    </row>
    <row r="130" spans="1:9" ht="15.9" x14ac:dyDescent="0.4">
      <c r="A130" s="4"/>
      <c r="B130" s="4"/>
      <c r="C130" s="4"/>
      <c r="D130" s="4"/>
      <c r="E130" s="4"/>
      <c r="F130" s="4"/>
      <c r="G130" s="4"/>
      <c r="H130" s="4"/>
      <c r="I130" s="4"/>
    </row>
    <row r="131" spans="1:9" ht="15.9" x14ac:dyDescent="0.4">
      <c r="A131" s="4"/>
      <c r="B131" s="4"/>
      <c r="C131" s="4"/>
      <c r="D131" s="4"/>
      <c r="E131" s="4"/>
      <c r="F131" s="4"/>
      <c r="G131" s="4"/>
      <c r="H131" s="4"/>
      <c r="I131" s="4"/>
    </row>
    <row r="132" spans="1:9" ht="15.9" x14ac:dyDescent="0.4">
      <c r="A132" s="4"/>
      <c r="B132" s="4"/>
      <c r="C132" s="4"/>
      <c r="D132" s="4"/>
      <c r="E132" s="4"/>
      <c r="F132" s="4"/>
      <c r="G132" s="4"/>
      <c r="H132" s="4"/>
      <c r="I132" s="4"/>
    </row>
    <row r="133" spans="1:9" ht="15.9" x14ac:dyDescent="0.4">
      <c r="A133" s="4"/>
      <c r="B133" s="4"/>
      <c r="C133" s="4"/>
      <c r="D133" s="4"/>
      <c r="E133" s="4"/>
      <c r="F133" s="4"/>
      <c r="G133" s="4"/>
      <c r="H133" s="4"/>
      <c r="I133" s="4"/>
    </row>
    <row r="134" spans="1:9" ht="15.9" x14ac:dyDescent="0.4">
      <c r="A134" s="4"/>
      <c r="B134" s="4"/>
      <c r="C134" s="4"/>
      <c r="D134" s="4"/>
      <c r="E134" s="4"/>
      <c r="F134" s="4"/>
      <c r="G134" s="4"/>
      <c r="H134" s="4"/>
      <c r="I134" s="4"/>
    </row>
    <row r="135" spans="1:9" ht="15.9" x14ac:dyDescent="0.4">
      <c r="A135" s="4"/>
      <c r="B135" s="4"/>
      <c r="C135" s="4"/>
      <c r="D135" s="4"/>
      <c r="E135" s="4"/>
      <c r="F135" s="4"/>
      <c r="G135" s="4"/>
      <c r="H135" s="4"/>
      <c r="I135" s="4"/>
    </row>
    <row r="136" spans="1:9" ht="15.9" x14ac:dyDescent="0.4">
      <c r="A136" s="4"/>
      <c r="B136" s="4"/>
      <c r="C136" s="4"/>
      <c r="D136" s="4"/>
      <c r="E136" s="4"/>
      <c r="F136" s="4"/>
      <c r="G136" s="4"/>
      <c r="H136" s="4"/>
      <c r="I136" s="4"/>
    </row>
    <row r="137" spans="1:9" ht="15.9" x14ac:dyDescent="0.4">
      <c r="A137" s="4"/>
      <c r="B137" s="4"/>
      <c r="C137" s="4"/>
      <c r="D137" s="4"/>
      <c r="E137" s="4"/>
      <c r="F137" s="4"/>
      <c r="G137" s="4"/>
      <c r="H137" s="4"/>
      <c r="I137" s="4"/>
    </row>
    <row r="138" spans="1:9" ht="15.9" x14ac:dyDescent="0.4">
      <c r="A138" s="4"/>
      <c r="B138" s="4"/>
      <c r="C138" s="4"/>
      <c r="D138" s="4"/>
      <c r="E138" s="4"/>
      <c r="F138" s="4"/>
      <c r="G138" s="4"/>
      <c r="H138" s="4"/>
      <c r="I138" s="4"/>
    </row>
    <row r="139" spans="1:9" ht="15.9" x14ac:dyDescent="0.4">
      <c r="A139" s="4"/>
      <c r="B139" s="4"/>
      <c r="C139" s="4"/>
      <c r="D139" s="4"/>
      <c r="E139" s="4"/>
      <c r="F139" s="4"/>
      <c r="G139" s="4"/>
      <c r="H139" s="4"/>
      <c r="I139" s="4"/>
    </row>
    <row r="140" spans="1:9" ht="15.9" x14ac:dyDescent="0.4">
      <c r="A140" s="4"/>
      <c r="B140" s="4"/>
      <c r="C140" s="4"/>
      <c r="D140" s="4"/>
      <c r="E140" s="4"/>
      <c r="F140" s="4"/>
      <c r="G140" s="4"/>
      <c r="H140" s="4"/>
      <c r="I140" s="4"/>
    </row>
    <row r="141" spans="1:9" ht="15.9" x14ac:dyDescent="0.4">
      <c r="A141" s="4"/>
      <c r="B141" s="4"/>
      <c r="C141" s="4"/>
      <c r="D141" s="4"/>
      <c r="E141" s="4"/>
      <c r="F141" s="4"/>
      <c r="G141" s="4"/>
      <c r="H141" s="4"/>
      <c r="I141" s="4"/>
    </row>
    <row r="142" spans="1:9" ht="15.9" x14ac:dyDescent="0.4">
      <c r="A142" s="4"/>
      <c r="B142" s="4"/>
      <c r="C142" s="4"/>
      <c r="D142" s="4"/>
      <c r="E142" s="4"/>
      <c r="F142" s="4"/>
      <c r="G142" s="4"/>
      <c r="H142" s="4"/>
      <c r="I142" s="4"/>
    </row>
    <row r="143" spans="1:9" ht="15.9" x14ac:dyDescent="0.4">
      <c r="A143" s="4"/>
      <c r="B143" s="4"/>
      <c r="C143" s="4"/>
      <c r="D143" s="4"/>
      <c r="E143" s="4"/>
      <c r="F143" s="4"/>
      <c r="G143" s="4"/>
      <c r="H143" s="4"/>
      <c r="I143" s="4"/>
    </row>
    <row r="144" spans="1:9" ht="15.9" x14ac:dyDescent="0.4">
      <c r="A144" s="4"/>
      <c r="B144" s="4"/>
      <c r="C144" s="4"/>
      <c r="D144" s="4"/>
      <c r="E144" s="4"/>
      <c r="F144" s="4"/>
      <c r="G144" s="4"/>
      <c r="H144" s="4"/>
      <c r="I144" s="4"/>
    </row>
    <row r="145" spans="1:9" ht="15.9" x14ac:dyDescent="0.4">
      <c r="A145" s="4"/>
      <c r="B145" s="4"/>
      <c r="C145" s="4"/>
      <c r="D145" s="4"/>
      <c r="E145" s="4"/>
      <c r="F145" s="4"/>
      <c r="G145" s="4"/>
      <c r="H145" s="4"/>
      <c r="I145" s="4"/>
    </row>
    <row r="146" spans="1:9" ht="15.9" x14ac:dyDescent="0.4">
      <c r="A146" s="4"/>
      <c r="B146" s="4"/>
      <c r="C146" s="4"/>
      <c r="D146" s="4"/>
      <c r="E146" s="4"/>
      <c r="F146" s="4"/>
      <c r="G146" s="4"/>
      <c r="H146" s="4"/>
      <c r="I146" s="4"/>
    </row>
    <row r="147" spans="1:9" ht="15.9" x14ac:dyDescent="0.4">
      <c r="A147" s="4"/>
      <c r="B147" s="4"/>
      <c r="C147" s="4"/>
      <c r="D147" s="4"/>
      <c r="E147" s="4"/>
      <c r="F147" s="4"/>
      <c r="G147" s="4"/>
      <c r="H147" s="4"/>
      <c r="I147" s="4"/>
    </row>
    <row r="148" spans="1:9" ht="15.9" x14ac:dyDescent="0.4">
      <c r="A148" s="4"/>
      <c r="B148" s="4"/>
      <c r="C148" s="4"/>
      <c r="D148" s="4"/>
      <c r="E148" s="4"/>
      <c r="F148" s="4"/>
      <c r="G148" s="4"/>
      <c r="H148" s="4"/>
      <c r="I148" s="4"/>
    </row>
    <row r="149" spans="1:9" ht="15.9" x14ac:dyDescent="0.4">
      <c r="A149" s="4"/>
      <c r="B149" s="4"/>
      <c r="C149" s="4"/>
      <c r="D149" s="4"/>
      <c r="E149" s="4"/>
      <c r="F149" s="4"/>
      <c r="G149" s="4"/>
      <c r="H149" s="4"/>
      <c r="I149" s="4"/>
    </row>
    <row r="150" spans="1:9" ht="15.9" x14ac:dyDescent="0.4">
      <c r="A150" s="4"/>
      <c r="B150" s="4"/>
      <c r="C150" s="4"/>
      <c r="D150" s="4"/>
      <c r="E150" s="4"/>
      <c r="F150" s="4"/>
      <c r="G150" s="4"/>
      <c r="H150" s="4"/>
      <c r="I150" s="4"/>
    </row>
    <row r="151" spans="1:9" ht="15.9" x14ac:dyDescent="0.4">
      <c r="A151" s="4"/>
      <c r="B151" s="4"/>
      <c r="C151" s="4"/>
      <c r="D151" s="4"/>
      <c r="E151" s="4"/>
      <c r="F151" s="4"/>
      <c r="G151" s="4"/>
      <c r="H151" s="4"/>
      <c r="I151" s="4"/>
    </row>
    <row r="152" spans="1:9" ht="15.9" x14ac:dyDescent="0.4">
      <c r="A152" s="4"/>
      <c r="B152" s="4"/>
      <c r="C152" s="4"/>
      <c r="D152" s="4"/>
      <c r="E152" s="4"/>
      <c r="F152" s="4"/>
      <c r="G152" s="4"/>
      <c r="H152" s="4"/>
      <c r="I152" s="4"/>
    </row>
    <row r="153" spans="1:9" ht="15.9" x14ac:dyDescent="0.4">
      <c r="A153" s="4"/>
      <c r="B153" s="4"/>
      <c r="C153" s="4"/>
      <c r="D153" s="4"/>
      <c r="E153" s="4"/>
      <c r="F153" s="4"/>
      <c r="G153" s="4"/>
      <c r="H153" s="4"/>
      <c r="I153" s="4"/>
    </row>
    <row r="154" spans="1:9" ht="15.9" x14ac:dyDescent="0.4">
      <c r="A154" s="4"/>
      <c r="B154" s="4"/>
      <c r="C154" s="4"/>
      <c r="D154" s="4"/>
      <c r="E154" s="4"/>
      <c r="F154" s="4"/>
      <c r="G154" s="4"/>
      <c r="H154" s="4"/>
      <c r="I154" s="4"/>
    </row>
    <row r="155" spans="1:9" ht="15.9" x14ac:dyDescent="0.4">
      <c r="A155" s="4"/>
      <c r="B155" s="4"/>
      <c r="C155" s="4"/>
      <c r="D155" s="4"/>
      <c r="E155" s="4"/>
      <c r="F155" s="4"/>
      <c r="G155" s="4"/>
      <c r="H155" s="4"/>
      <c r="I155" s="4"/>
    </row>
    <row r="156" spans="1:9" ht="15.9" x14ac:dyDescent="0.4">
      <c r="A156" s="4"/>
      <c r="B156" s="4"/>
      <c r="C156" s="4"/>
      <c r="D156" s="4"/>
      <c r="E156" s="4"/>
      <c r="F156" s="4"/>
      <c r="G156" s="4"/>
      <c r="H156" s="4"/>
      <c r="I156" s="4"/>
    </row>
    <row r="157" spans="1:9" ht="15.9" x14ac:dyDescent="0.4">
      <c r="A157" s="4"/>
      <c r="B157" s="4"/>
      <c r="C157" s="4"/>
      <c r="D157" s="4"/>
      <c r="E157" s="4"/>
      <c r="F157" s="4"/>
      <c r="G157" s="4"/>
      <c r="H157" s="4"/>
      <c r="I157" s="4"/>
    </row>
    <row r="158" spans="1:9" ht="15.9" x14ac:dyDescent="0.4">
      <c r="A158" s="4"/>
      <c r="B158" s="4"/>
      <c r="C158" s="4"/>
      <c r="D158" s="4"/>
      <c r="E158" s="4"/>
      <c r="F158" s="4"/>
      <c r="G158" s="4"/>
      <c r="H158" s="4"/>
      <c r="I158" s="4"/>
    </row>
    <row r="159" spans="1:9" ht="15.9" x14ac:dyDescent="0.4">
      <c r="A159" s="4"/>
      <c r="B159" s="4"/>
      <c r="C159" s="4"/>
      <c r="D159" s="4"/>
      <c r="E159" s="4"/>
      <c r="F159" s="4"/>
      <c r="G159" s="4"/>
      <c r="H159" s="4"/>
      <c r="I159" s="4"/>
    </row>
    <row r="160" spans="1:9" ht="15.9" x14ac:dyDescent="0.4">
      <c r="A160" s="4"/>
      <c r="B160" s="4"/>
      <c r="C160" s="4"/>
      <c r="D160" s="4"/>
      <c r="E160" s="4"/>
      <c r="F160" s="4"/>
      <c r="G160" s="4"/>
      <c r="H160" s="4"/>
      <c r="I160" s="4"/>
    </row>
    <row r="161" spans="1:9" ht="15.9" x14ac:dyDescent="0.4">
      <c r="A161" s="4"/>
      <c r="B161" s="4"/>
      <c r="C161" s="4"/>
      <c r="D161" s="4"/>
      <c r="E161" s="4"/>
      <c r="F161" s="4"/>
      <c r="G161" s="4"/>
      <c r="H161" s="4"/>
      <c r="I161" s="4"/>
    </row>
    <row r="162" spans="1:9" ht="15.9" x14ac:dyDescent="0.4">
      <c r="A162" s="4"/>
      <c r="B162" s="4"/>
      <c r="C162" s="4"/>
      <c r="D162" s="4"/>
      <c r="E162" s="4"/>
      <c r="F162" s="4"/>
      <c r="G162" s="4"/>
      <c r="H162" s="4"/>
      <c r="I162" s="4"/>
    </row>
    <row r="163" spans="1:9" ht="15.9" x14ac:dyDescent="0.4">
      <c r="A163" s="4"/>
      <c r="B163" s="4"/>
      <c r="C163" s="4"/>
      <c r="D163" s="4"/>
      <c r="E163" s="4"/>
      <c r="F163" s="4"/>
      <c r="G163" s="4"/>
      <c r="H163" s="4"/>
      <c r="I163" s="4"/>
    </row>
    <row r="164" spans="1:9" ht="15.9" x14ac:dyDescent="0.4">
      <c r="A164" s="4"/>
      <c r="B164" s="4"/>
      <c r="C164" s="4"/>
      <c r="D164" s="4"/>
      <c r="E164" s="4"/>
      <c r="F164" s="4"/>
      <c r="G164" s="4"/>
      <c r="H164" s="4"/>
      <c r="I164" s="4"/>
    </row>
    <row r="165" spans="1:9" ht="15.9" x14ac:dyDescent="0.4">
      <c r="A165" s="4"/>
      <c r="B165" s="4"/>
      <c r="C165" s="4"/>
      <c r="D165" s="4"/>
      <c r="E165" s="4"/>
      <c r="F165" s="4"/>
      <c r="G165" s="4"/>
      <c r="H165" s="4"/>
      <c r="I165" s="4"/>
    </row>
    <row r="166" spans="1:9" ht="15.9" x14ac:dyDescent="0.4">
      <c r="A166" s="4"/>
      <c r="B166" s="4"/>
      <c r="C166" s="4"/>
      <c r="D166" s="4"/>
      <c r="E166" s="4"/>
      <c r="F166" s="4"/>
      <c r="G166" s="4"/>
      <c r="H166" s="4"/>
      <c r="I166" s="4"/>
    </row>
    <row r="167" spans="1:9" ht="15.9" x14ac:dyDescent="0.4">
      <c r="A167" s="4"/>
      <c r="B167" s="4"/>
      <c r="C167" s="4"/>
      <c r="D167" s="4"/>
      <c r="E167" s="4"/>
      <c r="F167" s="4"/>
      <c r="G167" s="4"/>
      <c r="H167" s="4"/>
      <c r="I167" s="4"/>
    </row>
    <row r="168" spans="1:9" ht="15.9" x14ac:dyDescent="0.4">
      <c r="A168" s="4"/>
      <c r="B168" s="4"/>
      <c r="C168" s="4"/>
      <c r="D168" s="4"/>
      <c r="E168" s="4"/>
      <c r="F168" s="4"/>
      <c r="G168" s="4"/>
      <c r="H168" s="4"/>
      <c r="I168" s="4"/>
    </row>
    <row r="169" spans="1:9" ht="15.9" x14ac:dyDescent="0.4">
      <c r="A169" s="4"/>
      <c r="B169" s="4"/>
      <c r="C169" s="4"/>
      <c r="D169" s="4"/>
      <c r="E169" s="4"/>
      <c r="F169" s="4"/>
      <c r="G169" s="4"/>
      <c r="H169" s="4"/>
      <c r="I169" s="4"/>
    </row>
    <row r="170" spans="1:9" ht="15.9" x14ac:dyDescent="0.4">
      <c r="A170" s="4"/>
      <c r="B170" s="4"/>
      <c r="C170" s="4"/>
      <c r="D170" s="4"/>
      <c r="E170" s="4"/>
      <c r="F170" s="4"/>
      <c r="G170" s="4"/>
      <c r="H170" s="4"/>
      <c r="I170" s="4"/>
    </row>
    <row r="171" spans="1:9" ht="15.9" x14ac:dyDescent="0.4">
      <c r="A171" s="4"/>
      <c r="B171" s="4"/>
      <c r="C171" s="4"/>
      <c r="D171" s="4"/>
      <c r="E171" s="4"/>
      <c r="F171" s="4"/>
      <c r="G171" s="4"/>
      <c r="H171" s="4"/>
      <c r="I171" s="4"/>
    </row>
    <row r="172" spans="1:9" ht="15.9" x14ac:dyDescent="0.4">
      <c r="A172" s="4"/>
      <c r="B172" s="4"/>
      <c r="C172" s="4"/>
      <c r="D172" s="4"/>
      <c r="E172" s="4"/>
      <c r="F172" s="4"/>
      <c r="G172" s="4"/>
      <c r="H172" s="4"/>
      <c r="I172" s="4"/>
    </row>
    <row r="173" spans="1:9" ht="15.9" x14ac:dyDescent="0.4">
      <c r="A173" s="4"/>
      <c r="B173" s="4"/>
      <c r="C173" s="4"/>
      <c r="D173" s="4"/>
      <c r="E173" s="4"/>
      <c r="F173" s="4"/>
      <c r="G173" s="4"/>
      <c r="H173" s="4"/>
      <c r="I173" s="4"/>
    </row>
    <row r="174" spans="1:9" ht="15.9" x14ac:dyDescent="0.4">
      <c r="A174" s="4"/>
      <c r="B174" s="4"/>
      <c r="C174" s="4"/>
      <c r="D174" s="4"/>
      <c r="E174" s="4"/>
      <c r="F174" s="4"/>
      <c r="G174" s="4"/>
      <c r="H174" s="4"/>
      <c r="I174" s="4"/>
    </row>
    <row r="175" spans="1:9" ht="15.9" x14ac:dyDescent="0.4">
      <c r="A175" s="4"/>
      <c r="B175" s="4"/>
      <c r="C175" s="4"/>
      <c r="D175" s="4"/>
      <c r="E175" s="4"/>
      <c r="F175" s="4"/>
      <c r="G175" s="4"/>
      <c r="H175" s="4"/>
      <c r="I175" s="4"/>
    </row>
    <row r="176" spans="1:9" ht="15.9" x14ac:dyDescent="0.4">
      <c r="A176" s="4"/>
      <c r="B176" s="4"/>
      <c r="C176" s="4"/>
      <c r="D176" s="4"/>
      <c r="E176" s="4"/>
      <c r="F176" s="4"/>
      <c r="G176" s="4"/>
      <c r="H176" s="4"/>
      <c r="I176" s="4"/>
    </row>
    <row r="177" spans="1:9" ht="15.9" x14ac:dyDescent="0.4">
      <c r="A177" s="4"/>
      <c r="B177" s="4"/>
      <c r="C177" s="4"/>
      <c r="D177" s="4"/>
      <c r="E177" s="4"/>
      <c r="F177" s="4"/>
      <c r="G177" s="4"/>
      <c r="H177" s="4"/>
      <c r="I177" s="4"/>
    </row>
    <row r="178" spans="1:9" ht="15.9" x14ac:dyDescent="0.4">
      <c r="A178" s="4"/>
      <c r="B178" s="4"/>
      <c r="C178" s="4"/>
      <c r="D178" s="4"/>
      <c r="E178" s="4"/>
      <c r="F178" s="4"/>
      <c r="G178" s="4"/>
      <c r="H178" s="4"/>
      <c r="I178" s="4"/>
    </row>
    <row r="179" spans="1:9" ht="15.9" x14ac:dyDescent="0.4">
      <c r="A179" s="4"/>
      <c r="B179" s="4"/>
      <c r="C179" s="4"/>
      <c r="D179" s="4"/>
      <c r="E179" s="4"/>
      <c r="F179" s="4"/>
      <c r="G179" s="4"/>
      <c r="H179" s="4"/>
      <c r="I179" s="4"/>
    </row>
    <row r="180" spans="1:9" ht="15.9" x14ac:dyDescent="0.4">
      <c r="A180" s="4"/>
      <c r="B180" s="4"/>
      <c r="C180" s="4"/>
      <c r="D180" s="4"/>
      <c r="E180" s="4"/>
      <c r="F180" s="4"/>
      <c r="G180" s="4"/>
      <c r="H180" s="4"/>
      <c r="I180" s="4"/>
    </row>
    <row r="181" spans="1:9" ht="15.9" x14ac:dyDescent="0.4">
      <c r="A181" s="4"/>
      <c r="B181" s="4"/>
      <c r="C181" s="4"/>
      <c r="D181" s="4"/>
      <c r="E181" s="4"/>
      <c r="F181" s="4"/>
      <c r="G181" s="4"/>
      <c r="H181" s="4"/>
      <c r="I181" s="4"/>
    </row>
    <row r="182" spans="1:9" ht="15.9" x14ac:dyDescent="0.4">
      <c r="A182" s="4"/>
      <c r="B182" s="4"/>
      <c r="C182" s="4"/>
      <c r="D182" s="4"/>
      <c r="E182" s="4"/>
      <c r="F182" s="4"/>
      <c r="G182" s="4"/>
      <c r="H182" s="4"/>
      <c r="I182" s="4"/>
    </row>
    <row r="183" spans="1:9" ht="15.9" x14ac:dyDescent="0.4">
      <c r="A183" s="4"/>
      <c r="B183" s="4"/>
      <c r="C183" s="4"/>
      <c r="D183" s="4"/>
      <c r="E183" s="4"/>
      <c r="F183" s="4"/>
      <c r="G183" s="4"/>
      <c r="H183" s="4"/>
      <c r="I183" s="4"/>
    </row>
    <row r="184" spans="1:9" ht="15.9" x14ac:dyDescent="0.4">
      <c r="A184" s="4"/>
      <c r="B184" s="4"/>
      <c r="C184" s="4"/>
      <c r="D184" s="4"/>
      <c r="E184" s="4"/>
      <c r="F184" s="4"/>
      <c r="G184" s="4"/>
      <c r="H184" s="4"/>
      <c r="I184" s="4"/>
    </row>
    <row r="185" spans="1:9" ht="15.9" x14ac:dyDescent="0.4">
      <c r="A185" s="4"/>
      <c r="B185" s="4"/>
      <c r="C185" s="4"/>
      <c r="D185" s="4"/>
      <c r="E185" s="4"/>
      <c r="F185" s="4"/>
      <c r="G185" s="4"/>
      <c r="H185" s="4"/>
      <c r="I185" s="4"/>
    </row>
    <row r="186" spans="1:9" ht="15.9" x14ac:dyDescent="0.4">
      <c r="A186" s="4"/>
      <c r="B186" s="4"/>
      <c r="C186" s="4"/>
      <c r="D186" s="4"/>
      <c r="E186" s="4"/>
      <c r="F186" s="4"/>
      <c r="G186" s="4"/>
      <c r="H186" s="4"/>
      <c r="I186" s="4"/>
    </row>
    <row r="187" spans="1:9" ht="15.9" x14ac:dyDescent="0.4">
      <c r="A187" s="4"/>
      <c r="B187" s="4"/>
      <c r="C187" s="4"/>
      <c r="D187" s="4"/>
      <c r="E187" s="4"/>
      <c r="F187" s="4"/>
      <c r="G187" s="4"/>
      <c r="H187" s="4"/>
      <c r="I187" s="4"/>
    </row>
    <row r="188" spans="1:9" ht="15.9" x14ac:dyDescent="0.4">
      <c r="A188" s="4"/>
      <c r="B188" s="4"/>
      <c r="C188" s="4"/>
      <c r="D188" s="4"/>
      <c r="E188" s="4"/>
      <c r="F188" s="4"/>
      <c r="G188" s="4"/>
      <c r="H188" s="4"/>
      <c r="I188" s="4"/>
    </row>
    <row r="189" spans="1:9" ht="15.9" x14ac:dyDescent="0.4">
      <c r="A189" s="4"/>
      <c r="B189" s="4"/>
      <c r="C189" s="4"/>
      <c r="D189" s="4"/>
      <c r="E189" s="4"/>
      <c r="F189" s="4"/>
      <c r="G189" s="4"/>
      <c r="H189" s="4"/>
      <c r="I189" s="4"/>
    </row>
    <row r="190" spans="1:9" ht="15.9" x14ac:dyDescent="0.4">
      <c r="A190" s="4"/>
      <c r="B190" s="4"/>
      <c r="C190" s="4"/>
      <c r="D190" s="4"/>
      <c r="E190" s="4"/>
      <c r="F190" s="4"/>
      <c r="G190" s="4"/>
      <c r="H190" s="4"/>
      <c r="I190" s="4"/>
    </row>
    <row r="191" spans="1:9" ht="15.9" x14ac:dyDescent="0.4">
      <c r="A191" s="4"/>
      <c r="B191" s="4"/>
      <c r="C191" s="4"/>
      <c r="D191" s="4"/>
      <c r="E191" s="4"/>
      <c r="F191" s="4"/>
      <c r="G191" s="4"/>
      <c r="H191" s="4"/>
      <c r="I191" s="4"/>
    </row>
    <row r="192" spans="1:9" ht="15.9" x14ac:dyDescent="0.4">
      <c r="A192" s="4"/>
      <c r="B192" s="4"/>
      <c r="C192" s="4"/>
      <c r="D192" s="4"/>
      <c r="E192" s="4"/>
      <c r="F192" s="4"/>
      <c r="G192" s="4"/>
      <c r="H192" s="4"/>
      <c r="I192" s="4"/>
    </row>
    <row r="193" spans="1:9" ht="15.9" x14ac:dyDescent="0.4">
      <c r="A193" s="4"/>
      <c r="B193" s="4"/>
      <c r="C193" s="4"/>
      <c r="D193" s="4"/>
      <c r="E193" s="4"/>
      <c r="F193" s="4"/>
      <c r="G193" s="4"/>
      <c r="H193" s="4"/>
      <c r="I193" s="4"/>
    </row>
    <row r="194" spans="1:9" ht="15.9" x14ac:dyDescent="0.4">
      <c r="A194" s="4"/>
      <c r="B194" s="4"/>
      <c r="C194" s="4"/>
      <c r="D194" s="4"/>
      <c r="E194" s="4"/>
      <c r="F194" s="4"/>
      <c r="G194" s="4"/>
      <c r="H194" s="4"/>
      <c r="I194" s="4"/>
    </row>
    <row r="195" spans="1:9" ht="15.9" x14ac:dyDescent="0.4">
      <c r="A195" s="4"/>
      <c r="B195" s="4"/>
      <c r="C195" s="4"/>
      <c r="D195" s="4"/>
      <c r="E195" s="4"/>
      <c r="F195" s="4"/>
      <c r="G195" s="4"/>
      <c r="H195" s="4"/>
      <c r="I195" s="4"/>
    </row>
    <row r="196" spans="1:9" ht="15.9" x14ac:dyDescent="0.4">
      <c r="A196" s="4"/>
      <c r="B196" s="4"/>
      <c r="C196" s="4"/>
      <c r="D196" s="4"/>
      <c r="E196" s="4"/>
      <c r="F196" s="4"/>
      <c r="G196" s="4"/>
      <c r="H196" s="4"/>
      <c r="I196" s="4"/>
    </row>
    <row r="197" spans="1:9" ht="15.9" x14ac:dyDescent="0.4">
      <c r="A197" s="4"/>
      <c r="B197" s="4"/>
      <c r="C197" s="4"/>
      <c r="D197" s="4"/>
      <c r="E197" s="4"/>
      <c r="F197" s="4"/>
      <c r="G197" s="4"/>
      <c r="H197" s="4"/>
      <c r="I197" s="4"/>
    </row>
    <row r="198" spans="1:9" ht="15.9" x14ac:dyDescent="0.4">
      <c r="A198" s="4"/>
      <c r="B198" s="4"/>
      <c r="C198" s="4"/>
      <c r="D198" s="4"/>
      <c r="E198" s="4"/>
      <c r="F198" s="4"/>
      <c r="G198" s="4"/>
      <c r="H198" s="4"/>
      <c r="I198" s="4"/>
    </row>
    <row r="199" spans="1:9" ht="15.9" x14ac:dyDescent="0.4">
      <c r="A199" s="4"/>
      <c r="B199" s="4"/>
      <c r="C199" s="4"/>
      <c r="D199" s="4"/>
      <c r="E199" s="4"/>
      <c r="F199" s="4"/>
      <c r="G199" s="4"/>
      <c r="H199" s="4"/>
      <c r="I199" s="4"/>
    </row>
    <row r="200" spans="1:9" ht="15.9" x14ac:dyDescent="0.4">
      <c r="A200" s="4"/>
      <c r="B200" s="4"/>
      <c r="C200" s="4"/>
      <c r="D200" s="4"/>
      <c r="E200" s="4"/>
      <c r="F200" s="4"/>
      <c r="G200" s="4"/>
      <c r="H200" s="4"/>
      <c r="I200" s="4"/>
    </row>
    <row r="201" spans="1:9" ht="15.9" x14ac:dyDescent="0.4">
      <c r="A201" s="4"/>
      <c r="B201" s="4"/>
      <c r="C201" s="4"/>
      <c r="D201" s="4"/>
      <c r="E201" s="4"/>
      <c r="F201" s="4"/>
      <c r="G201" s="4"/>
      <c r="H201" s="4"/>
      <c r="I201" s="4"/>
    </row>
    <row r="202" spans="1:9" ht="15.9" x14ac:dyDescent="0.4">
      <c r="A202" s="4"/>
      <c r="B202" s="4"/>
      <c r="C202" s="4"/>
      <c r="D202" s="4"/>
      <c r="E202" s="4"/>
      <c r="F202" s="4"/>
      <c r="G202" s="4"/>
      <c r="H202" s="4"/>
      <c r="I202" s="4"/>
    </row>
    <row r="203" spans="1:9" ht="15.9" x14ac:dyDescent="0.4">
      <c r="A203" s="4"/>
      <c r="B203" s="4"/>
      <c r="C203" s="4"/>
      <c r="D203" s="4"/>
      <c r="E203" s="4"/>
      <c r="F203" s="4"/>
      <c r="G203" s="4"/>
      <c r="H203" s="4"/>
      <c r="I203" s="4"/>
    </row>
    <row r="204" spans="1:9" ht="15.9" x14ac:dyDescent="0.4">
      <c r="A204" s="4"/>
      <c r="B204" s="4"/>
      <c r="C204" s="4"/>
      <c r="D204" s="4"/>
      <c r="E204" s="4"/>
      <c r="F204" s="4"/>
      <c r="G204" s="4"/>
      <c r="H204" s="4"/>
      <c r="I204" s="4"/>
    </row>
    <row r="205" spans="1:9" ht="15.9" x14ac:dyDescent="0.4">
      <c r="A205" s="4"/>
      <c r="B205" s="4"/>
      <c r="C205" s="4"/>
      <c r="D205" s="4"/>
      <c r="E205" s="4"/>
      <c r="F205" s="4"/>
      <c r="G205" s="4"/>
      <c r="H205" s="4"/>
      <c r="I205" s="4"/>
    </row>
    <row r="206" spans="1:9" ht="15.9" x14ac:dyDescent="0.4">
      <c r="A206" s="4"/>
      <c r="B206" s="4"/>
      <c r="C206" s="4"/>
      <c r="D206" s="4"/>
      <c r="E206" s="4"/>
      <c r="F206" s="4"/>
      <c r="G206" s="4"/>
      <c r="H206" s="4"/>
      <c r="I206" s="4"/>
    </row>
    <row r="207" spans="1:9" ht="15.9" x14ac:dyDescent="0.4">
      <c r="A207" s="4"/>
      <c r="B207" s="4"/>
      <c r="C207" s="4"/>
      <c r="D207" s="4"/>
      <c r="E207" s="4"/>
      <c r="F207" s="4"/>
      <c r="G207" s="4"/>
      <c r="H207" s="4"/>
      <c r="I207" s="4"/>
    </row>
    <row r="208" spans="1:9" ht="15.9" x14ac:dyDescent="0.4">
      <c r="A208" s="4"/>
      <c r="B208" s="4"/>
      <c r="C208" s="4"/>
      <c r="D208" s="4"/>
      <c r="E208" s="4"/>
      <c r="F208" s="4"/>
      <c r="G208" s="4"/>
      <c r="H208" s="4"/>
      <c r="I208" s="4"/>
    </row>
    <row r="209" spans="1:9" ht="15.9" x14ac:dyDescent="0.4">
      <c r="A209" s="4"/>
      <c r="B209" s="4"/>
      <c r="C209" s="4"/>
      <c r="D209" s="4"/>
      <c r="E209" s="4"/>
      <c r="F209" s="4"/>
      <c r="G209" s="4"/>
      <c r="H209" s="4"/>
      <c r="I209" s="4"/>
    </row>
    <row r="210" spans="1:9" ht="15.9" x14ac:dyDescent="0.4">
      <c r="A210" s="4"/>
      <c r="B210" s="4"/>
      <c r="C210" s="4"/>
      <c r="D210" s="4"/>
      <c r="E210" s="4"/>
      <c r="F210" s="4"/>
      <c r="G210" s="4"/>
      <c r="H210" s="4"/>
      <c r="I210" s="4"/>
    </row>
    <row r="211" spans="1:9" ht="15.9" x14ac:dyDescent="0.4">
      <c r="A211" s="4"/>
      <c r="B211" s="4"/>
      <c r="C211" s="4"/>
      <c r="D211" s="4"/>
      <c r="E211" s="4"/>
      <c r="F211" s="4"/>
      <c r="G211" s="4"/>
      <c r="H211" s="4"/>
      <c r="I211" s="4"/>
    </row>
    <row r="212" spans="1:9" ht="15.9" x14ac:dyDescent="0.4">
      <c r="A212" s="4"/>
      <c r="B212" s="4"/>
      <c r="C212" s="4"/>
      <c r="D212" s="4"/>
      <c r="E212" s="4"/>
      <c r="F212" s="4"/>
      <c r="G212" s="4"/>
      <c r="H212" s="4"/>
      <c r="I212" s="4"/>
    </row>
    <row r="213" spans="1:9" ht="15.9" x14ac:dyDescent="0.4">
      <c r="A213" s="4"/>
      <c r="B213" s="4"/>
      <c r="C213" s="4"/>
      <c r="D213" s="4"/>
      <c r="E213" s="4"/>
      <c r="F213" s="4"/>
      <c r="G213" s="4"/>
      <c r="H213" s="4"/>
      <c r="I213" s="4"/>
    </row>
    <row r="214" spans="1:9" ht="15.9" x14ac:dyDescent="0.4">
      <c r="A214" s="4"/>
      <c r="B214" s="4"/>
      <c r="C214" s="4"/>
      <c r="D214" s="4"/>
      <c r="E214" s="4"/>
      <c r="F214" s="4"/>
      <c r="G214" s="4"/>
      <c r="H214" s="4"/>
      <c r="I214" s="4"/>
    </row>
    <row r="215" spans="1:9" ht="15.9" x14ac:dyDescent="0.4">
      <c r="A215" s="4"/>
      <c r="B215" s="4"/>
      <c r="C215" s="4"/>
      <c r="D215" s="4"/>
      <c r="E215" s="4"/>
      <c r="F215" s="4"/>
      <c r="G215" s="4"/>
      <c r="H215" s="4"/>
      <c r="I215" s="4"/>
    </row>
    <row r="216" spans="1:9" ht="15.9" x14ac:dyDescent="0.4">
      <c r="A216" s="4"/>
      <c r="B216" s="4"/>
      <c r="C216" s="4"/>
      <c r="D216" s="4"/>
      <c r="E216" s="4"/>
      <c r="F216" s="4"/>
      <c r="G216" s="4"/>
      <c r="H216" s="4"/>
      <c r="I216" s="4"/>
    </row>
    <row r="217" spans="1:9" ht="15.9" x14ac:dyDescent="0.4">
      <c r="A217" s="4"/>
      <c r="B217" s="4"/>
      <c r="C217" s="4"/>
      <c r="D217" s="4"/>
      <c r="E217" s="4"/>
      <c r="F217" s="4"/>
      <c r="G217" s="4"/>
      <c r="H217" s="4"/>
      <c r="I217" s="4"/>
    </row>
    <row r="218" spans="1:9" ht="15.9" x14ac:dyDescent="0.4">
      <c r="A218" s="4"/>
      <c r="B218" s="4"/>
      <c r="C218" s="4"/>
      <c r="D218" s="4"/>
      <c r="E218" s="4"/>
      <c r="F218" s="4"/>
      <c r="G218" s="4"/>
      <c r="H218" s="4"/>
      <c r="I218" s="4"/>
    </row>
    <row r="219" spans="1:9" ht="15.9" x14ac:dyDescent="0.4">
      <c r="A219" s="4"/>
      <c r="B219" s="4"/>
      <c r="C219" s="4"/>
      <c r="D219" s="4"/>
      <c r="E219" s="4"/>
      <c r="F219" s="4"/>
      <c r="G219" s="4"/>
      <c r="H219" s="4"/>
      <c r="I219" s="4"/>
    </row>
    <row r="220" spans="1:9" ht="15.9" x14ac:dyDescent="0.4">
      <c r="A220" s="4"/>
      <c r="B220" s="4"/>
      <c r="C220" s="4"/>
      <c r="D220" s="4"/>
      <c r="E220" s="4"/>
      <c r="F220" s="4"/>
      <c r="G220" s="4"/>
      <c r="H220" s="4"/>
      <c r="I220" s="4"/>
    </row>
    <row r="221" spans="1:9" ht="15.9" x14ac:dyDescent="0.4">
      <c r="A221" s="4"/>
      <c r="B221" s="4"/>
      <c r="C221" s="4"/>
      <c r="D221" s="4"/>
      <c r="E221" s="4"/>
      <c r="F221" s="4"/>
      <c r="G221" s="4"/>
      <c r="H221" s="4"/>
      <c r="I221" s="4"/>
    </row>
    <row r="222" spans="1:9" ht="15.9" x14ac:dyDescent="0.4">
      <c r="A222" s="4"/>
      <c r="B222" s="4"/>
      <c r="C222" s="4"/>
      <c r="D222" s="4"/>
      <c r="E222" s="4"/>
      <c r="F222" s="4"/>
      <c r="G222" s="4"/>
      <c r="H222" s="4"/>
      <c r="I222" s="4"/>
    </row>
    <row r="223" spans="1:9" ht="15.9" x14ac:dyDescent="0.4">
      <c r="A223" s="4"/>
      <c r="B223" s="4"/>
      <c r="C223" s="4"/>
      <c r="D223" s="4"/>
      <c r="E223" s="4"/>
      <c r="F223" s="4"/>
      <c r="G223" s="4"/>
      <c r="H223" s="4"/>
      <c r="I223" s="4"/>
    </row>
    <row r="224" spans="1:9" ht="15.9" x14ac:dyDescent="0.4">
      <c r="A224" s="4"/>
      <c r="B224" s="4"/>
      <c r="C224" s="4"/>
      <c r="D224" s="4"/>
      <c r="E224" s="4"/>
      <c r="F224" s="4"/>
      <c r="G224" s="4"/>
      <c r="H224" s="4"/>
      <c r="I224" s="4"/>
    </row>
    <row r="225" spans="1:9" ht="15.9" x14ac:dyDescent="0.4">
      <c r="A225" s="4"/>
      <c r="B225" s="4"/>
      <c r="C225" s="4"/>
      <c r="D225" s="4"/>
      <c r="E225" s="4"/>
      <c r="F225" s="4"/>
      <c r="G225" s="4"/>
      <c r="H225" s="4"/>
      <c r="I225" s="4"/>
    </row>
    <row r="226" spans="1:9" ht="15.9" x14ac:dyDescent="0.4">
      <c r="A226" s="4"/>
      <c r="B226" s="4"/>
      <c r="C226" s="4"/>
      <c r="D226" s="4"/>
      <c r="E226" s="4"/>
      <c r="F226" s="4"/>
      <c r="G226" s="4"/>
      <c r="H226" s="4"/>
      <c r="I226" s="4"/>
    </row>
    <row r="227" spans="1:9" ht="15.9" x14ac:dyDescent="0.4">
      <c r="A227" s="4"/>
      <c r="B227" s="4"/>
      <c r="C227" s="4"/>
      <c r="D227" s="4"/>
      <c r="E227" s="4"/>
      <c r="F227" s="4"/>
      <c r="G227" s="4"/>
      <c r="H227" s="4"/>
      <c r="I227" s="4"/>
    </row>
    <row r="228" spans="1:9" ht="15.9" x14ac:dyDescent="0.4">
      <c r="A228" s="4"/>
      <c r="B228" s="4"/>
      <c r="C228" s="4"/>
      <c r="D228" s="4"/>
      <c r="E228" s="4"/>
      <c r="F228" s="4"/>
      <c r="G228" s="4"/>
      <c r="H228" s="4"/>
      <c r="I228" s="4"/>
    </row>
    <row r="229" spans="1:9" ht="15.9" x14ac:dyDescent="0.4">
      <c r="A229" s="4"/>
      <c r="B229" s="4"/>
      <c r="C229" s="4"/>
      <c r="D229" s="4"/>
      <c r="E229" s="4"/>
      <c r="F229" s="4"/>
      <c r="G229" s="4"/>
      <c r="H229" s="4"/>
      <c r="I229" s="4"/>
    </row>
    <row r="230" spans="1:9" ht="15.9" x14ac:dyDescent="0.4">
      <c r="A230" s="4"/>
      <c r="B230" s="4"/>
      <c r="C230" s="4"/>
      <c r="D230" s="4"/>
      <c r="E230" s="4"/>
      <c r="F230" s="4"/>
      <c r="G230" s="4"/>
      <c r="H230" s="4"/>
      <c r="I230" s="4"/>
    </row>
    <row r="231" spans="1:9" ht="15.9" x14ac:dyDescent="0.4">
      <c r="A231" s="4"/>
      <c r="B231" s="4"/>
      <c r="C231" s="4"/>
      <c r="D231" s="4"/>
      <c r="E231" s="4"/>
      <c r="F231" s="4"/>
      <c r="G231" s="4"/>
      <c r="H231" s="4"/>
      <c r="I231" s="4"/>
    </row>
    <row r="232" spans="1:9" ht="15.9" x14ac:dyDescent="0.4">
      <c r="A232" s="4"/>
      <c r="B232" s="4"/>
      <c r="C232" s="4"/>
      <c r="D232" s="4"/>
      <c r="E232" s="4"/>
      <c r="F232" s="4"/>
      <c r="G232" s="4"/>
      <c r="H232" s="4"/>
      <c r="I232" s="4"/>
    </row>
    <row r="233" spans="1:9" ht="15.9" x14ac:dyDescent="0.4">
      <c r="A233" s="4"/>
      <c r="B233" s="4"/>
      <c r="C233" s="4"/>
      <c r="D233" s="4"/>
      <c r="E233" s="4"/>
      <c r="F233" s="4"/>
      <c r="G233" s="4"/>
      <c r="H233" s="4"/>
      <c r="I233" s="4"/>
    </row>
    <row r="234" spans="1:9" ht="15.9" x14ac:dyDescent="0.4">
      <c r="A234" s="4"/>
      <c r="B234" s="4"/>
      <c r="C234" s="4"/>
      <c r="D234" s="4"/>
      <c r="E234" s="4"/>
      <c r="F234" s="4"/>
      <c r="G234" s="4"/>
      <c r="H234" s="4"/>
      <c r="I234" s="4"/>
    </row>
    <row r="235" spans="1:9" ht="15.9" x14ac:dyDescent="0.4">
      <c r="A235" s="4"/>
      <c r="B235" s="4"/>
      <c r="C235" s="4"/>
      <c r="D235" s="4"/>
      <c r="E235" s="4"/>
      <c r="F235" s="4"/>
      <c r="G235" s="4"/>
      <c r="H235" s="4"/>
      <c r="I235" s="4"/>
    </row>
    <row r="236" spans="1:9" ht="15.9" x14ac:dyDescent="0.4">
      <c r="A236" s="4"/>
      <c r="B236" s="4"/>
      <c r="C236" s="4"/>
      <c r="D236" s="4"/>
      <c r="E236" s="4"/>
      <c r="F236" s="4"/>
      <c r="G236" s="4"/>
      <c r="H236" s="4"/>
      <c r="I236" s="4"/>
    </row>
    <row r="237" spans="1:9" ht="15.9" x14ac:dyDescent="0.4">
      <c r="A237" s="4"/>
      <c r="B237" s="4"/>
      <c r="C237" s="4"/>
      <c r="D237" s="4"/>
      <c r="E237" s="4"/>
      <c r="F237" s="4"/>
      <c r="G237" s="4"/>
      <c r="H237" s="4"/>
      <c r="I237" s="4"/>
    </row>
    <row r="238" spans="1:9" ht="15.9" x14ac:dyDescent="0.4">
      <c r="A238" s="4"/>
      <c r="B238" s="4"/>
      <c r="C238" s="4"/>
      <c r="D238" s="4"/>
      <c r="E238" s="4"/>
      <c r="F238" s="4"/>
      <c r="G238" s="4"/>
      <c r="H238" s="4"/>
      <c r="I238" s="4"/>
    </row>
    <row r="239" spans="1:9" ht="15.9" x14ac:dyDescent="0.4">
      <c r="A239" s="4"/>
      <c r="B239" s="4"/>
      <c r="C239" s="4"/>
      <c r="D239" s="4"/>
      <c r="E239" s="4"/>
      <c r="F239" s="4"/>
      <c r="G239" s="4"/>
      <c r="H239" s="4"/>
      <c r="I239" s="4"/>
    </row>
    <row r="240" spans="1:9" ht="15.9" x14ac:dyDescent="0.4">
      <c r="A240" s="4"/>
      <c r="B240" s="4"/>
      <c r="C240" s="4"/>
      <c r="D240" s="4"/>
      <c r="E240" s="4"/>
      <c r="F240" s="4"/>
      <c r="G240" s="4"/>
      <c r="H240" s="4"/>
      <c r="I240" s="4"/>
    </row>
    <row r="241" spans="1:9" ht="15.9" x14ac:dyDescent="0.4">
      <c r="A241" s="4"/>
      <c r="B241" s="4"/>
      <c r="C241" s="4"/>
      <c r="D241" s="4"/>
      <c r="E241" s="4"/>
      <c r="F241" s="4"/>
      <c r="G241" s="4"/>
      <c r="H241" s="4"/>
      <c r="I241" s="4"/>
    </row>
    <row r="242" spans="1:9" ht="15.9" x14ac:dyDescent="0.4">
      <c r="A242" s="4"/>
      <c r="B242" s="4"/>
      <c r="C242" s="4"/>
      <c r="D242" s="4"/>
      <c r="E242" s="4"/>
      <c r="F242" s="4"/>
      <c r="G242" s="4"/>
      <c r="H242" s="4"/>
      <c r="I242" s="4"/>
    </row>
    <row r="243" spans="1:9" ht="15.9" x14ac:dyDescent="0.4">
      <c r="A243" s="4"/>
      <c r="B243" s="4"/>
      <c r="C243" s="4"/>
      <c r="D243" s="4"/>
      <c r="E243" s="4"/>
      <c r="F243" s="4"/>
      <c r="G243" s="4"/>
      <c r="H243" s="4"/>
      <c r="I243" s="4"/>
    </row>
    <row r="244" spans="1:9" ht="15.9" x14ac:dyDescent="0.4">
      <c r="A244" s="4"/>
      <c r="B244" s="4"/>
      <c r="C244" s="4"/>
      <c r="D244" s="4"/>
      <c r="E244" s="4"/>
      <c r="F244" s="4"/>
      <c r="G244" s="4"/>
      <c r="H244" s="4"/>
      <c r="I244" s="4"/>
    </row>
    <row r="245" spans="1:9" ht="15.9" x14ac:dyDescent="0.4">
      <c r="A245" s="4"/>
      <c r="B245" s="4"/>
      <c r="C245" s="4"/>
      <c r="D245" s="4"/>
      <c r="E245" s="4"/>
      <c r="F245" s="4"/>
      <c r="G245" s="4"/>
      <c r="H245" s="4"/>
      <c r="I245" s="4"/>
    </row>
    <row r="246" spans="1:9" ht="15.9" x14ac:dyDescent="0.4">
      <c r="A246" s="4"/>
      <c r="B246" s="4"/>
      <c r="C246" s="4"/>
      <c r="D246" s="4"/>
      <c r="E246" s="4"/>
      <c r="F246" s="4"/>
      <c r="G246" s="4"/>
      <c r="H246" s="4"/>
      <c r="I246" s="4"/>
    </row>
    <row r="247" spans="1:9" ht="15.9" x14ac:dyDescent="0.4">
      <c r="A247" s="4"/>
      <c r="B247" s="4"/>
      <c r="C247" s="4"/>
      <c r="D247" s="4"/>
      <c r="E247" s="4"/>
      <c r="F247" s="4"/>
      <c r="G247" s="4"/>
      <c r="H247" s="4"/>
      <c r="I247" s="4"/>
    </row>
    <row r="248" spans="1:9" ht="15.9" x14ac:dyDescent="0.4">
      <c r="A248" s="4"/>
      <c r="B248" s="4"/>
      <c r="C248" s="4"/>
      <c r="D248" s="4"/>
      <c r="E248" s="4"/>
      <c r="F248" s="4"/>
      <c r="G248" s="4"/>
      <c r="H248" s="4"/>
      <c r="I248" s="4"/>
    </row>
    <row r="249" spans="1:9" ht="15.9" x14ac:dyDescent="0.4">
      <c r="A249" s="4"/>
      <c r="B249" s="4"/>
      <c r="C249" s="4"/>
      <c r="D249" s="4"/>
      <c r="E249" s="4"/>
      <c r="F249" s="4"/>
      <c r="G249" s="4"/>
      <c r="H249" s="4"/>
      <c r="I249" s="4"/>
    </row>
    <row r="250" spans="1:9" ht="15.9" x14ac:dyDescent="0.4">
      <c r="A250" s="4"/>
      <c r="B250" s="4"/>
      <c r="C250" s="4"/>
      <c r="D250" s="4"/>
      <c r="E250" s="4"/>
      <c r="F250" s="4"/>
      <c r="G250" s="4"/>
      <c r="H250" s="4"/>
      <c r="I250" s="4"/>
    </row>
    <row r="251" spans="1:9" ht="15.9" x14ac:dyDescent="0.4">
      <c r="A251" s="4"/>
      <c r="B251" s="4"/>
      <c r="C251" s="4"/>
      <c r="D251" s="4"/>
      <c r="E251" s="4"/>
      <c r="F251" s="4"/>
      <c r="G251" s="4"/>
      <c r="H251" s="4"/>
      <c r="I251" s="4"/>
    </row>
    <row r="252" spans="1:9" ht="15.9" x14ac:dyDescent="0.4">
      <c r="A252" s="4"/>
      <c r="B252" s="4"/>
      <c r="C252" s="4"/>
      <c r="D252" s="4"/>
      <c r="E252" s="4"/>
      <c r="F252" s="4"/>
      <c r="G252" s="4"/>
      <c r="H252" s="4"/>
      <c r="I252" s="4"/>
    </row>
    <row r="253" spans="1:9" ht="15.9" x14ac:dyDescent="0.4">
      <c r="A253" s="4"/>
      <c r="B253" s="4"/>
      <c r="C253" s="4"/>
      <c r="D253" s="4"/>
      <c r="E253" s="4"/>
      <c r="F253" s="4"/>
      <c r="G253" s="4"/>
      <c r="H253" s="4"/>
      <c r="I253" s="4"/>
    </row>
    <row r="254" spans="1:9" ht="15.9" x14ac:dyDescent="0.4">
      <c r="A254" s="4"/>
      <c r="B254" s="4"/>
      <c r="C254" s="4"/>
      <c r="D254" s="4"/>
      <c r="E254" s="4"/>
      <c r="F254" s="4"/>
      <c r="G254" s="4"/>
      <c r="H254" s="4"/>
      <c r="I254" s="4"/>
    </row>
    <row r="255" spans="1:9" ht="15.9" x14ac:dyDescent="0.4">
      <c r="A255" s="4"/>
      <c r="B255" s="4"/>
      <c r="C255" s="4"/>
      <c r="D255" s="4"/>
      <c r="E255" s="4"/>
      <c r="F255" s="4"/>
      <c r="G255" s="4"/>
      <c r="H255" s="4"/>
      <c r="I255" s="4"/>
    </row>
    <row r="256" spans="1:9" ht="15.9" x14ac:dyDescent="0.4">
      <c r="A256" s="4"/>
      <c r="B256" s="4"/>
      <c r="C256" s="4"/>
      <c r="D256" s="4"/>
      <c r="E256" s="4"/>
      <c r="F256" s="4"/>
      <c r="G256" s="4"/>
      <c r="H256" s="4"/>
      <c r="I256" s="4"/>
    </row>
    <row r="257" spans="1:9" ht="15.9" x14ac:dyDescent="0.4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5.9" x14ac:dyDescent="0.4">
      <c r="A258" s="4"/>
      <c r="B258" s="4"/>
      <c r="C258" s="4"/>
      <c r="D258" s="4"/>
      <c r="E258" s="4"/>
      <c r="F258" s="4"/>
      <c r="G258" s="4"/>
      <c r="H258" s="4"/>
      <c r="I258" s="4"/>
    </row>
    <row r="259" spans="1:9" ht="15.9" x14ac:dyDescent="0.4">
      <c r="A259" s="4"/>
      <c r="B259" s="4"/>
      <c r="C259" s="4"/>
      <c r="D259" s="4"/>
      <c r="E259" s="4"/>
      <c r="F259" s="4"/>
      <c r="G259" s="4"/>
      <c r="H259" s="4"/>
      <c r="I259" s="4"/>
    </row>
    <row r="260" spans="1:9" ht="15.9" x14ac:dyDescent="0.4">
      <c r="A260" s="4"/>
      <c r="B260" s="4"/>
      <c r="C260" s="4"/>
      <c r="D260" s="4"/>
      <c r="E260" s="4"/>
      <c r="F260" s="4"/>
      <c r="G260" s="4"/>
      <c r="H260" s="4"/>
      <c r="I260" s="4"/>
    </row>
    <row r="261" spans="1:9" ht="15.9" x14ac:dyDescent="0.4">
      <c r="A261" s="4"/>
      <c r="B261" s="4"/>
      <c r="C261" s="4"/>
      <c r="D261" s="4"/>
      <c r="E261" s="4"/>
      <c r="F261" s="4"/>
      <c r="G261" s="4"/>
      <c r="H261" s="4"/>
      <c r="I261" s="4"/>
    </row>
    <row r="262" spans="1:9" ht="15.9" x14ac:dyDescent="0.4">
      <c r="A262" s="4"/>
      <c r="B262" s="4"/>
      <c r="C262" s="4"/>
      <c r="D262" s="4"/>
      <c r="E262" s="4"/>
      <c r="F262" s="4"/>
      <c r="G262" s="4"/>
      <c r="H262" s="4"/>
      <c r="I262" s="4"/>
    </row>
    <row r="263" spans="1:9" ht="15.9" x14ac:dyDescent="0.4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5.9" x14ac:dyDescent="0.4">
      <c r="A264" s="4"/>
      <c r="B264" s="4"/>
      <c r="C264" s="4"/>
      <c r="D264" s="4"/>
      <c r="E264" s="4"/>
      <c r="F264" s="4"/>
      <c r="G264" s="4"/>
      <c r="H264" s="4"/>
      <c r="I264" s="4"/>
    </row>
    <row r="265" spans="1:9" ht="15.9" x14ac:dyDescent="0.4">
      <c r="A265" s="4"/>
      <c r="B265" s="4"/>
      <c r="C265" s="4"/>
      <c r="D265" s="4"/>
      <c r="E265" s="4"/>
      <c r="F265" s="4"/>
      <c r="G265" s="4"/>
      <c r="H265" s="4"/>
      <c r="I265" s="4"/>
    </row>
    <row r="266" spans="1:9" ht="15.9" x14ac:dyDescent="0.4">
      <c r="A266" s="4"/>
      <c r="B266" s="4"/>
      <c r="C266" s="4"/>
      <c r="D266" s="4"/>
      <c r="E266" s="4"/>
      <c r="F266" s="4"/>
      <c r="G266" s="4"/>
      <c r="H266" s="4"/>
      <c r="I266" s="4"/>
    </row>
    <row r="267" spans="1:9" ht="15.9" x14ac:dyDescent="0.4">
      <c r="A267" s="4"/>
      <c r="B267" s="4"/>
      <c r="C267" s="4"/>
      <c r="D267" s="4"/>
      <c r="E267" s="4"/>
      <c r="F267" s="4"/>
      <c r="G267" s="4"/>
      <c r="H267" s="4"/>
      <c r="I267" s="4"/>
    </row>
    <row r="268" spans="1:9" ht="15.9" x14ac:dyDescent="0.4">
      <c r="A268" s="4"/>
      <c r="B268" s="4"/>
      <c r="C268" s="4"/>
      <c r="D268" s="4"/>
      <c r="E268" s="4"/>
      <c r="F268" s="4"/>
      <c r="G268" s="4"/>
      <c r="H268" s="4"/>
      <c r="I268" s="4"/>
    </row>
    <row r="269" spans="1:9" ht="15.9" x14ac:dyDescent="0.4">
      <c r="A269" s="4"/>
      <c r="B269" s="4"/>
      <c r="C269" s="4"/>
      <c r="D269" s="4"/>
      <c r="E269" s="4"/>
      <c r="F269" s="4"/>
      <c r="G269" s="4"/>
      <c r="H269" s="4"/>
      <c r="I269" s="4"/>
    </row>
    <row r="270" spans="1:9" ht="15.9" x14ac:dyDescent="0.4">
      <c r="A270" s="4"/>
      <c r="B270" s="4"/>
      <c r="C270" s="4"/>
      <c r="D270" s="4"/>
      <c r="E270" s="4"/>
      <c r="F270" s="4"/>
      <c r="G270" s="4"/>
      <c r="H270" s="4"/>
      <c r="I270" s="4"/>
    </row>
    <row r="271" spans="1:9" ht="15.9" x14ac:dyDescent="0.4">
      <c r="A271" s="4"/>
      <c r="B271" s="4"/>
      <c r="C271" s="4"/>
      <c r="D271" s="4"/>
      <c r="E271" s="4"/>
      <c r="F271" s="4"/>
      <c r="G271" s="4"/>
      <c r="H271" s="4"/>
      <c r="I271" s="4"/>
    </row>
    <row r="272" spans="1:9" ht="15.9" x14ac:dyDescent="0.4">
      <c r="A272" s="4"/>
      <c r="B272" s="4"/>
      <c r="C272" s="4"/>
      <c r="D272" s="4"/>
      <c r="E272" s="4"/>
      <c r="F272" s="4"/>
      <c r="G272" s="4"/>
      <c r="H272" s="4"/>
      <c r="I272" s="4"/>
    </row>
    <row r="273" spans="1:9" ht="15.9" x14ac:dyDescent="0.4">
      <c r="A273" s="4"/>
      <c r="B273" s="4"/>
      <c r="C273" s="4"/>
      <c r="D273" s="4"/>
      <c r="E273" s="4"/>
      <c r="F273" s="4"/>
      <c r="G273" s="4"/>
      <c r="H273" s="4"/>
      <c r="I273" s="4"/>
    </row>
    <row r="274" spans="1:9" ht="15.9" x14ac:dyDescent="0.4">
      <c r="A274" s="4"/>
      <c r="B274" s="4"/>
      <c r="C274" s="4"/>
      <c r="D274" s="4"/>
      <c r="E274" s="4"/>
      <c r="F274" s="4"/>
      <c r="G274" s="4"/>
      <c r="H274" s="4"/>
      <c r="I274" s="4"/>
    </row>
    <row r="275" spans="1:9" ht="15.9" x14ac:dyDescent="0.4">
      <c r="A275" s="4"/>
      <c r="B275" s="4"/>
      <c r="C275" s="4"/>
      <c r="D275" s="4"/>
      <c r="E275" s="4"/>
      <c r="F275" s="4"/>
      <c r="G275" s="4"/>
      <c r="H275" s="4"/>
      <c r="I275" s="4"/>
    </row>
    <row r="276" spans="1:9" ht="15.9" x14ac:dyDescent="0.4">
      <c r="A276" s="4"/>
      <c r="B276" s="4"/>
      <c r="C276" s="4"/>
      <c r="D276" s="4"/>
      <c r="E276" s="4"/>
      <c r="F276" s="4"/>
      <c r="G276" s="4"/>
      <c r="H276" s="4"/>
      <c r="I276" s="4"/>
    </row>
    <row r="277" spans="1:9" ht="15.9" x14ac:dyDescent="0.4">
      <c r="A277" s="4"/>
      <c r="B277" s="4"/>
      <c r="C277" s="4"/>
      <c r="D277" s="4"/>
      <c r="E277" s="4"/>
      <c r="F277" s="4"/>
      <c r="G277" s="4"/>
      <c r="H277" s="4"/>
      <c r="I277" s="4"/>
    </row>
    <row r="278" spans="1:9" ht="15.9" x14ac:dyDescent="0.4">
      <c r="A278" s="4"/>
      <c r="B278" s="4"/>
      <c r="C278" s="4"/>
      <c r="D278" s="4"/>
      <c r="E278" s="4"/>
      <c r="F278" s="4"/>
      <c r="G278" s="4"/>
      <c r="H278" s="4"/>
      <c r="I278" s="4"/>
    </row>
    <row r="279" spans="1:9" ht="15.9" x14ac:dyDescent="0.4">
      <c r="A279" s="4"/>
      <c r="B279" s="4"/>
      <c r="C279" s="4"/>
      <c r="D279" s="4"/>
      <c r="E279" s="4"/>
      <c r="F279" s="4"/>
      <c r="G279" s="4"/>
      <c r="H279" s="4"/>
      <c r="I279" s="4"/>
    </row>
    <row r="280" spans="1:9" ht="15.9" x14ac:dyDescent="0.4">
      <c r="A280" s="4"/>
      <c r="B280" s="4"/>
      <c r="C280" s="4"/>
      <c r="D280" s="4"/>
      <c r="E280" s="4"/>
      <c r="F280" s="4"/>
      <c r="G280" s="4"/>
      <c r="H280" s="4"/>
      <c r="I280" s="4"/>
    </row>
    <row r="281" spans="1:9" ht="15.9" x14ac:dyDescent="0.4">
      <c r="A281" s="4"/>
      <c r="B281" s="4"/>
      <c r="C281" s="4"/>
      <c r="D281" s="4"/>
      <c r="E281" s="4"/>
      <c r="F281" s="4"/>
      <c r="G281" s="4"/>
      <c r="H281" s="4"/>
      <c r="I281" s="4"/>
    </row>
    <row r="282" spans="1:9" ht="15.9" x14ac:dyDescent="0.4">
      <c r="A282" s="4"/>
      <c r="B282" s="4"/>
      <c r="C282" s="4"/>
      <c r="D282" s="4"/>
      <c r="E282" s="4"/>
      <c r="F282" s="4"/>
      <c r="G282" s="4"/>
      <c r="H282" s="4"/>
      <c r="I282" s="4"/>
    </row>
    <row r="283" spans="1:9" ht="15.9" x14ac:dyDescent="0.4">
      <c r="A283" s="4"/>
      <c r="B283" s="4"/>
      <c r="C283" s="4"/>
      <c r="D283" s="4"/>
      <c r="E283" s="4"/>
      <c r="F283" s="4"/>
      <c r="G283" s="4"/>
      <c r="H283" s="4"/>
      <c r="I283" s="4"/>
    </row>
    <row r="284" spans="1:9" ht="15.9" x14ac:dyDescent="0.4">
      <c r="A284" s="4"/>
      <c r="B284" s="4"/>
      <c r="C284" s="4"/>
      <c r="D284" s="4"/>
      <c r="E284" s="4"/>
      <c r="F284" s="4"/>
      <c r="G284" s="4"/>
      <c r="H284" s="4"/>
      <c r="I284" s="4"/>
    </row>
    <row r="285" spans="1:9" ht="15.9" x14ac:dyDescent="0.4">
      <c r="A285" s="4"/>
      <c r="B285" s="4"/>
      <c r="C285" s="4"/>
      <c r="D285" s="4"/>
      <c r="E285" s="4"/>
      <c r="F285" s="4"/>
      <c r="G285" s="4"/>
      <c r="H285" s="4"/>
      <c r="I285" s="4"/>
    </row>
    <row r="286" spans="1:9" ht="15.9" x14ac:dyDescent="0.4">
      <c r="A286" s="4"/>
      <c r="B286" s="4"/>
      <c r="C286" s="4"/>
      <c r="D286" s="4"/>
      <c r="E286" s="4"/>
      <c r="F286" s="4"/>
      <c r="G286" s="4"/>
      <c r="H286" s="4"/>
      <c r="I286" s="4"/>
    </row>
    <row r="287" spans="1:9" ht="15.9" x14ac:dyDescent="0.4">
      <c r="A287" s="4"/>
      <c r="B287" s="4"/>
      <c r="C287" s="4"/>
      <c r="D287" s="4"/>
      <c r="E287" s="4"/>
      <c r="F287" s="4"/>
      <c r="G287" s="4"/>
      <c r="H287" s="4"/>
      <c r="I287" s="4"/>
    </row>
    <row r="288" spans="1:9" ht="15.9" x14ac:dyDescent="0.4">
      <c r="A288" s="4"/>
      <c r="B288" s="4"/>
      <c r="C288" s="4"/>
      <c r="D288" s="4"/>
      <c r="E288" s="4"/>
      <c r="F288" s="4"/>
      <c r="G288" s="4"/>
      <c r="H288" s="4"/>
      <c r="I288" s="4"/>
    </row>
    <row r="289" spans="1:9" ht="15.9" x14ac:dyDescent="0.4">
      <c r="A289" s="4"/>
      <c r="B289" s="4"/>
      <c r="C289" s="4"/>
      <c r="D289" s="4"/>
      <c r="E289" s="4"/>
      <c r="F289" s="4"/>
      <c r="G289" s="4"/>
      <c r="H289" s="4"/>
      <c r="I289" s="4"/>
    </row>
    <row r="290" spans="1:9" ht="15.9" x14ac:dyDescent="0.4">
      <c r="A290" s="4"/>
      <c r="B290" s="4"/>
      <c r="C290" s="4"/>
      <c r="D290" s="4"/>
      <c r="E290" s="4"/>
      <c r="F290" s="4"/>
      <c r="G290" s="4"/>
      <c r="H290" s="4"/>
      <c r="I290" s="4"/>
    </row>
    <row r="291" spans="1:9" ht="15.9" x14ac:dyDescent="0.4">
      <c r="A291" s="4"/>
      <c r="B291" s="4"/>
      <c r="C291" s="4"/>
      <c r="D291" s="4"/>
      <c r="E291" s="4"/>
      <c r="F291" s="4"/>
      <c r="G291" s="4"/>
      <c r="H291" s="4"/>
      <c r="I291" s="4"/>
    </row>
    <row r="292" spans="1:9" ht="15.9" x14ac:dyDescent="0.4">
      <c r="A292" s="4"/>
      <c r="B292" s="4"/>
      <c r="C292" s="4"/>
      <c r="D292" s="4"/>
      <c r="E292" s="4"/>
      <c r="F292" s="4"/>
      <c r="G292" s="4"/>
      <c r="H292" s="4"/>
      <c r="I292" s="4"/>
    </row>
    <row r="293" spans="1:9" ht="15.9" x14ac:dyDescent="0.4">
      <c r="A293" s="4"/>
      <c r="B293" s="4"/>
      <c r="C293" s="4"/>
      <c r="D293" s="4"/>
      <c r="E293" s="4"/>
      <c r="F293" s="4"/>
      <c r="G293" s="4"/>
      <c r="H293" s="4"/>
      <c r="I293" s="4"/>
    </row>
    <row r="294" spans="1:9" ht="15.9" x14ac:dyDescent="0.4">
      <c r="A294" s="4"/>
      <c r="B294" s="4"/>
      <c r="C294" s="4"/>
      <c r="D294" s="4"/>
      <c r="E294" s="4"/>
      <c r="F294" s="4"/>
      <c r="G294" s="4"/>
      <c r="H294" s="4"/>
      <c r="I294" s="4"/>
    </row>
    <row r="295" spans="1:9" ht="15.9" x14ac:dyDescent="0.4">
      <c r="A295" s="4"/>
      <c r="B295" s="4"/>
      <c r="C295" s="4"/>
      <c r="D295" s="4"/>
      <c r="E295" s="4"/>
      <c r="F295" s="4"/>
      <c r="G295" s="4"/>
      <c r="H295" s="4"/>
      <c r="I295" s="4"/>
    </row>
    <row r="296" spans="1:9" ht="15.9" x14ac:dyDescent="0.4">
      <c r="A296" s="4"/>
      <c r="B296" s="4"/>
      <c r="C296" s="4"/>
      <c r="D296" s="4"/>
      <c r="E296" s="4"/>
      <c r="F296" s="4"/>
      <c r="G296" s="4"/>
      <c r="H296" s="4"/>
      <c r="I296" s="4"/>
    </row>
    <row r="297" spans="1:9" ht="15.9" x14ac:dyDescent="0.4">
      <c r="A297" s="4"/>
      <c r="B297" s="4"/>
      <c r="C297" s="4"/>
      <c r="D297" s="4"/>
      <c r="E297" s="4"/>
      <c r="F297" s="4"/>
      <c r="G297" s="4"/>
      <c r="H297" s="4"/>
      <c r="I297" s="4"/>
    </row>
    <row r="298" spans="1:9" ht="15.9" x14ac:dyDescent="0.4">
      <c r="A298" s="4"/>
      <c r="B298" s="4"/>
      <c r="C298" s="4"/>
      <c r="D298" s="4"/>
      <c r="E298" s="4"/>
      <c r="F298" s="4"/>
      <c r="G298" s="4"/>
      <c r="H298" s="4"/>
      <c r="I298" s="4"/>
    </row>
    <row r="299" spans="1:9" ht="15.9" x14ac:dyDescent="0.4">
      <c r="A299" s="4"/>
      <c r="B299" s="4"/>
      <c r="C299" s="4"/>
      <c r="D299" s="4"/>
      <c r="E299" s="4"/>
      <c r="F299" s="4"/>
      <c r="G299" s="4"/>
      <c r="H299" s="4"/>
      <c r="I299" s="4"/>
    </row>
    <row r="300" spans="1:9" ht="15.9" x14ac:dyDescent="0.4">
      <c r="A300" s="4"/>
      <c r="B300" s="4"/>
      <c r="C300" s="4"/>
      <c r="D300" s="4"/>
      <c r="E300" s="4"/>
      <c r="F300" s="4"/>
      <c r="G300" s="4"/>
      <c r="H300" s="4"/>
      <c r="I300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51AA7-FEFC-4574-A901-CB366ED93CE3}">
  <dimension ref="A1:I302"/>
  <sheetViews>
    <sheetView topLeftCell="A52" workbookViewId="0">
      <selection activeCell="C64" sqref="C64"/>
    </sheetView>
  </sheetViews>
  <sheetFormatPr defaultRowHeight="14.6" x14ac:dyDescent="0.4"/>
  <cols>
    <col min="1" max="1" width="16.53515625" customWidth="1"/>
    <col min="2" max="2" width="39.53515625" customWidth="1"/>
    <col min="3" max="3" width="35.53515625" customWidth="1"/>
    <col min="4" max="4" width="14" customWidth="1"/>
    <col min="5" max="5" width="17.15234375" customWidth="1"/>
    <col min="6" max="6" width="26" customWidth="1"/>
    <col min="7" max="7" width="20.3828125" customWidth="1"/>
    <col min="8" max="8" width="13.53515625" customWidth="1"/>
    <col min="9" max="9" width="56.3828125" customWidth="1"/>
  </cols>
  <sheetData>
    <row r="1" spans="1:9" s="2" customFormat="1" ht="18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9" x14ac:dyDescent="0.4">
      <c r="A2" s="3">
        <v>45810</v>
      </c>
      <c r="B2" s="4" t="s">
        <v>634</v>
      </c>
      <c r="C2" s="4" t="s">
        <v>1493</v>
      </c>
      <c r="D2" s="4">
        <v>19175</v>
      </c>
      <c r="E2" s="4">
        <v>25</v>
      </c>
      <c r="F2" s="4" t="s">
        <v>15</v>
      </c>
      <c r="G2" s="4" t="s">
        <v>25</v>
      </c>
      <c r="H2" s="5">
        <v>5500</v>
      </c>
      <c r="I2" s="4"/>
    </row>
    <row r="3" spans="1:9" ht="15.9" x14ac:dyDescent="0.4">
      <c r="A3" s="3">
        <v>45811</v>
      </c>
      <c r="B3" s="4" t="s">
        <v>1494</v>
      </c>
      <c r="C3" s="4" t="s">
        <v>1495</v>
      </c>
      <c r="D3" s="4">
        <v>3320</v>
      </c>
      <c r="E3" s="4">
        <v>4</v>
      </c>
      <c r="F3" s="4" t="s">
        <v>35</v>
      </c>
      <c r="G3" s="4" t="s">
        <v>161</v>
      </c>
      <c r="H3" s="5">
        <v>246.29</v>
      </c>
      <c r="I3" s="4"/>
    </row>
    <row r="4" spans="1:9" ht="15.9" x14ac:dyDescent="0.4">
      <c r="A4" s="3">
        <v>45811</v>
      </c>
      <c r="B4" s="4" t="s">
        <v>191</v>
      </c>
      <c r="C4" s="4" t="s">
        <v>1496</v>
      </c>
      <c r="D4" s="4">
        <v>15770</v>
      </c>
      <c r="E4" s="4">
        <v>19</v>
      </c>
      <c r="F4" s="4" t="s">
        <v>15</v>
      </c>
      <c r="G4" s="4" t="s">
        <v>25</v>
      </c>
      <c r="H4" s="5">
        <v>2400</v>
      </c>
      <c r="I4" s="4"/>
    </row>
    <row r="5" spans="1:9" ht="15.9" x14ac:dyDescent="0.4">
      <c r="A5" s="3">
        <v>45811</v>
      </c>
      <c r="B5" s="4" t="s">
        <v>191</v>
      </c>
      <c r="C5" s="4" t="s">
        <v>1497</v>
      </c>
      <c r="D5" s="4">
        <v>35948</v>
      </c>
      <c r="E5" s="4">
        <v>44</v>
      </c>
      <c r="F5" s="4" t="s">
        <v>15</v>
      </c>
      <c r="G5" s="4" t="s">
        <v>25</v>
      </c>
      <c r="H5" s="5">
        <v>2400</v>
      </c>
      <c r="I5" s="4"/>
    </row>
    <row r="6" spans="1:9" ht="15.9" x14ac:dyDescent="0.4">
      <c r="A6" s="3">
        <v>45812</v>
      </c>
      <c r="B6" s="4" t="s">
        <v>191</v>
      </c>
      <c r="C6" s="4" t="s">
        <v>1498</v>
      </c>
      <c r="D6" s="4">
        <v>35948</v>
      </c>
      <c r="E6" s="4">
        <v>44</v>
      </c>
      <c r="F6" s="4" t="s">
        <v>15</v>
      </c>
      <c r="G6" s="4" t="s">
        <v>25</v>
      </c>
      <c r="H6" s="5">
        <v>2400</v>
      </c>
      <c r="I6" s="4"/>
    </row>
    <row r="7" spans="1:9" ht="15.9" x14ac:dyDescent="0.4">
      <c r="A7" s="3">
        <v>45812</v>
      </c>
      <c r="B7" s="4" t="s">
        <v>81</v>
      </c>
      <c r="C7" s="4" t="s">
        <v>1499</v>
      </c>
      <c r="D7" s="4">
        <v>8170</v>
      </c>
      <c r="E7" s="4">
        <v>10</v>
      </c>
      <c r="F7" s="4" t="s">
        <v>35</v>
      </c>
      <c r="G7" s="4" t="s">
        <v>161</v>
      </c>
      <c r="H7" s="5">
        <v>738.78</v>
      </c>
      <c r="I7" s="4"/>
    </row>
    <row r="8" spans="1:9" ht="15.9" x14ac:dyDescent="0.4">
      <c r="A8" s="3">
        <v>45812</v>
      </c>
      <c r="B8" s="4" t="s">
        <v>1500</v>
      </c>
      <c r="C8" s="4" t="s">
        <v>1501</v>
      </c>
      <c r="D8" s="4">
        <v>24518</v>
      </c>
      <c r="E8" s="4">
        <v>30</v>
      </c>
      <c r="F8" s="4" t="s">
        <v>15</v>
      </c>
      <c r="G8" s="4" t="s">
        <v>25</v>
      </c>
      <c r="H8" s="5">
        <v>2700</v>
      </c>
      <c r="I8" s="4"/>
    </row>
    <row r="9" spans="1:9" ht="15.9" x14ac:dyDescent="0.4">
      <c r="A9" s="3">
        <v>45812</v>
      </c>
      <c r="B9" s="4" t="s">
        <v>452</v>
      </c>
      <c r="C9" s="4" t="s">
        <v>1502</v>
      </c>
      <c r="D9" s="4">
        <v>8800</v>
      </c>
      <c r="E9" s="4">
        <v>7</v>
      </c>
      <c r="F9" s="4" t="s">
        <v>11</v>
      </c>
      <c r="G9" s="4" t="s">
        <v>19</v>
      </c>
      <c r="H9" s="5">
        <v>2600</v>
      </c>
      <c r="I9" s="4"/>
    </row>
    <row r="10" spans="1:9" ht="15.9" x14ac:dyDescent="0.4">
      <c r="A10" s="3">
        <v>45813</v>
      </c>
      <c r="B10" s="4" t="s">
        <v>150</v>
      </c>
      <c r="C10" s="4" t="s">
        <v>1474</v>
      </c>
      <c r="D10" s="4">
        <v>960</v>
      </c>
      <c r="E10" s="4">
        <v>1</v>
      </c>
      <c r="F10" s="4" t="s">
        <v>35</v>
      </c>
      <c r="G10" s="4" t="s">
        <v>161</v>
      </c>
      <c r="H10" s="5">
        <v>348.32</v>
      </c>
      <c r="I10" s="4"/>
    </row>
    <row r="11" spans="1:9" ht="15.9" x14ac:dyDescent="0.4">
      <c r="A11" s="3">
        <v>45813</v>
      </c>
      <c r="B11" s="4" t="s">
        <v>1503</v>
      </c>
      <c r="C11" s="4" t="s">
        <v>1504</v>
      </c>
      <c r="D11" s="4">
        <v>4085</v>
      </c>
      <c r="E11" s="4">
        <v>5</v>
      </c>
      <c r="F11" s="4" t="s">
        <v>35</v>
      </c>
      <c r="G11" s="4" t="s">
        <v>12</v>
      </c>
      <c r="H11" s="5"/>
      <c r="I11" s="4"/>
    </row>
    <row r="12" spans="1:9" ht="15.9" x14ac:dyDescent="0.4">
      <c r="A12" s="3">
        <v>45813</v>
      </c>
      <c r="B12" s="4" t="s">
        <v>927</v>
      </c>
      <c r="C12" s="4" t="s">
        <v>1505</v>
      </c>
      <c r="D12" s="4">
        <v>3268</v>
      </c>
      <c r="E12" s="4">
        <v>4</v>
      </c>
      <c r="F12" s="4" t="s">
        <v>35</v>
      </c>
      <c r="G12" s="4" t="s">
        <v>12</v>
      </c>
      <c r="H12" s="5"/>
      <c r="I12" s="4"/>
    </row>
    <row r="13" spans="1:9" ht="15.9" x14ac:dyDescent="0.4">
      <c r="A13" s="3">
        <v>45813</v>
      </c>
      <c r="B13" s="4" t="s">
        <v>781</v>
      </c>
      <c r="C13" s="4" t="s">
        <v>1506</v>
      </c>
      <c r="D13" s="4">
        <v>1660</v>
      </c>
      <c r="E13" s="4">
        <v>2</v>
      </c>
      <c r="F13" s="4" t="s">
        <v>35</v>
      </c>
      <c r="G13" s="4" t="s">
        <v>12</v>
      </c>
      <c r="H13" s="5"/>
      <c r="I13" s="4"/>
    </row>
    <row r="14" spans="1:9" ht="15.9" x14ac:dyDescent="0.4">
      <c r="A14" s="3">
        <v>45817</v>
      </c>
      <c r="B14" s="4" t="s">
        <v>349</v>
      </c>
      <c r="C14" s="4" t="s">
        <v>1507</v>
      </c>
      <c r="D14" s="4">
        <v>32680</v>
      </c>
      <c r="E14" s="4">
        <v>40</v>
      </c>
      <c r="F14" s="4" t="s">
        <v>15</v>
      </c>
      <c r="G14" s="4" t="s">
        <v>1119</v>
      </c>
      <c r="H14" s="5">
        <v>1600</v>
      </c>
      <c r="I14" s="4"/>
    </row>
    <row r="15" spans="1:9" ht="15.9" x14ac:dyDescent="0.4">
      <c r="A15" s="3">
        <v>45817</v>
      </c>
      <c r="B15" s="4" t="s">
        <v>202</v>
      </c>
      <c r="C15" s="4" t="s">
        <v>1508</v>
      </c>
      <c r="D15" s="4">
        <v>22410</v>
      </c>
      <c r="E15" s="4">
        <v>27</v>
      </c>
      <c r="F15" s="4" t="s">
        <v>15</v>
      </c>
      <c r="G15" s="4" t="s">
        <v>19</v>
      </c>
      <c r="H15" s="5">
        <v>1815</v>
      </c>
      <c r="I15" s="4"/>
    </row>
    <row r="16" spans="1:9" ht="15.9" x14ac:dyDescent="0.4">
      <c r="A16" s="3">
        <v>45817</v>
      </c>
      <c r="B16" s="4" t="s">
        <v>150</v>
      </c>
      <c r="C16" s="4" t="s">
        <v>1509</v>
      </c>
      <c r="D16" s="4">
        <v>39216</v>
      </c>
      <c r="E16" s="4">
        <v>48</v>
      </c>
      <c r="F16" s="4" t="s">
        <v>15</v>
      </c>
      <c r="G16" s="4" t="s">
        <v>25</v>
      </c>
      <c r="H16" s="5">
        <v>3600</v>
      </c>
      <c r="I16" s="4"/>
    </row>
    <row r="17" spans="1:9" ht="15.9" x14ac:dyDescent="0.4">
      <c r="A17" s="3">
        <v>45817</v>
      </c>
      <c r="B17" s="4" t="s">
        <v>150</v>
      </c>
      <c r="C17" s="4" t="s">
        <v>1510</v>
      </c>
      <c r="D17" s="4">
        <v>39840</v>
      </c>
      <c r="E17" s="4">
        <v>48</v>
      </c>
      <c r="F17" s="4" t="s">
        <v>15</v>
      </c>
      <c r="G17" s="4" t="s">
        <v>25</v>
      </c>
      <c r="H17" s="5">
        <v>3600</v>
      </c>
      <c r="I17" s="4"/>
    </row>
    <row r="18" spans="1:9" ht="15.9" x14ac:dyDescent="0.4">
      <c r="A18" s="3">
        <v>45817</v>
      </c>
      <c r="B18" s="4" t="s">
        <v>349</v>
      </c>
      <c r="C18" s="4" t="s">
        <v>1511</v>
      </c>
      <c r="D18" s="4">
        <v>33497</v>
      </c>
      <c r="E18" s="4">
        <v>41</v>
      </c>
      <c r="F18" s="4" t="s">
        <v>15</v>
      </c>
      <c r="G18" s="4" t="s">
        <v>1119</v>
      </c>
      <c r="H18" s="5">
        <v>1600</v>
      </c>
      <c r="I18" s="4"/>
    </row>
    <row r="19" spans="1:9" ht="15.9" x14ac:dyDescent="0.4">
      <c r="A19" s="3">
        <v>45817</v>
      </c>
      <c r="B19" s="4" t="s">
        <v>150</v>
      </c>
      <c r="C19" s="4" t="s">
        <v>1512</v>
      </c>
      <c r="D19" s="4">
        <v>3320</v>
      </c>
      <c r="E19" s="4">
        <v>4</v>
      </c>
      <c r="F19" s="4" t="s">
        <v>35</v>
      </c>
      <c r="G19" s="4" t="s">
        <v>161</v>
      </c>
      <c r="H19" s="5">
        <v>721.55</v>
      </c>
      <c r="I19" s="4"/>
    </row>
    <row r="20" spans="1:9" ht="15.9" x14ac:dyDescent="0.4">
      <c r="A20" s="3">
        <v>45817</v>
      </c>
      <c r="B20" s="4" t="s">
        <v>1513</v>
      </c>
      <c r="C20" s="4" t="s">
        <v>1514</v>
      </c>
      <c r="D20" s="4">
        <v>3795</v>
      </c>
      <c r="E20" s="4">
        <v>5</v>
      </c>
      <c r="F20" s="4" t="s">
        <v>35</v>
      </c>
      <c r="G20" s="4" t="s">
        <v>12</v>
      </c>
      <c r="H20" s="5"/>
      <c r="I20" s="4"/>
    </row>
    <row r="21" spans="1:9" ht="15.9" x14ac:dyDescent="0.4">
      <c r="A21" s="3">
        <v>45818</v>
      </c>
      <c r="B21" s="4" t="s">
        <v>20</v>
      </c>
      <c r="C21" s="4" t="s">
        <v>1515</v>
      </c>
      <c r="D21" s="4">
        <v>12450</v>
      </c>
      <c r="E21" s="4">
        <v>15</v>
      </c>
      <c r="F21" s="4" t="s">
        <v>11</v>
      </c>
      <c r="G21" s="4" t="s">
        <v>19</v>
      </c>
      <c r="H21" s="5">
        <v>2100</v>
      </c>
      <c r="I21" s="4"/>
    </row>
    <row r="22" spans="1:9" ht="15.9" x14ac:dyDescent="0.4">
      <c r="A22" s="3">
        <v>45818</v>
      </c>
      <c r="B22" s="4" t="s">
        <v>834</v>
      </c>
      <c r="C22" s="4" t="s">
        <v>1516</v>
      </c>
      <c r="D22" s="4">
        <v>7353</v>
      </c>
      <c r="E22" s="4">
        <v>9</v>
      </c>
      <c r="F22" s="4" t="s">
        <v>35</v>
      </c>
      <c r="G22" s="4" t="s">
        <v>161</v>
      </c>
      <c r="H22" s="5">
        <v>1585.88</v>
      </c>
      <c r="I22" s="4"/>
    </row>
    <row r="23" spans="1:9" ht="15.9" x14ac:dyDescent="0.4">
      <c r="A23" s="3">
        <v>45820</v>
      </c>
      <c r="B23" s="4" t="s">
        <v>191</v>
      </c>
      <c r="C23" s="4" t="s">
        <v>1517</v>
      </c>
      <c r="D23" s="4">
        <v>35948</v>
      </c>
      <c r="E23" s="4">
        <v>44</v>
      </c>
      <c r="F23" s="4" t="s">
        <v>15</v>
      </c>
      <c r="G23" s="4" t="s">
        <v>19</v>
      </c>
      <c r="H23" s="5">
        <v>1625</v>
      </c>
      <c r="I23" s="4"/>
    </row>
    <row r="24" spans="1:9" ht="15.9" x14ac:dyDescent="0.4">
      <c r="A24" s="3">
        <v>45820</v>
      </c>
      <c r="B24" s="4" t="s">
        <v>66</v>
      </c>
      <c r="C24" s="4" t="s">
        <v>1518</v>
      </c>
      <c r="D24" s="4">
        <v>39840</v>
      </c>
      <c r="E24" s="4">
        <v>48</v>
      </c>
      <c r="F24" s="4" t="s">
        <v>15</v>
      </c>
      <c r="G24" s="4" t="s">
        <v>25</v>
      </c>
      <c r="H24" s="5">
        <v>3850</v>
      </c>
      <c r="I24" s="4"/>
    </row>
    <row r="25" spans="1:9" ht="15.9" x14ac:dyDescent="0.4">
      <c r="A25" s="3">
        <v>45824</v>
      </c>
      <c r="B25" s="4" t="s">
        <v>183</v>
      </c>
      <c r="C25" s="6" t="s">
        <v>1519</v>
      </c>
      <c r="D25" s="4">
        <v>1900</v>
      </c>
      <c r="E25" s="4">
        <v>2</v>
      </c>
      <c r="F25" s="4" t="s">
        <v>35</v>
      </c>
      <c r="G25" s="4" t="s">
        <v>161</v>
      </c>
      <c r="H25" s="5">
        <v>233.85</v>
      </c>
      <c r="I25" s="4"/>
    </row>
    <row r="26" spans="1:9" ht="15.9" x14ac:dyDescent="0.4">
      <c r="A26" s="3">
        <v>45824</v>
      </c>
      <c r="B26" s="4" t="s">
        <v>183</v>
      </c>
      <c r="C26" s="6" t="s">
        <v>1520</v>
      </c>
      <c r="D26" s="4">
        <v>1900</v>
      </c>
      <c r="E26" s="4">
        <v>2</v>
      </c>
      <c r="F26" s="4" t="s">
        <v>35</v>
      </c>
      <c r="G26" s="4" t="s">
        <v>161</v>
      </c>
      <c r="H26" s="5">
        <v>233.85</v>
      </c>
      <c r="I26" s="4"/>
    </row>
    <row r="27" spans="1:9" ht="15.9" x14ac:dyDescent="0.4">
      <c r="A27" s="3">
        <v>45825</v>
      </c>
      <c r="B27" s="4" t="s">
        <v>191</v>
      </c>
      <c r="C27" s="4" t="s">
        <v>1521</v>
      </c>
      <c r="D27" s="4">
        <v>20425</v>
      </c>
      <c r="E27" s="4">
        <v>25</v>
      </c>
      <c r="F27" s="4" t="s">
        <v>15</v>
      </c>
      <c r="G27" s="4" t="s">
        <v>19</v>
      </c>
      <c r="H27" s="5">
        <v>1625</v>
      </c>
      <c r="I27" s="4"/>
    </row>
    <row r="28" spans="1:9" ht="15.9" x14ac:dyDescent="0.4">
      <c r="A28" s="3">
        <v>45825</v>
      </c>
      <c r="B28" s="4" t="s">
        <v>129</v>
      </c>
      <c r="C28" s="4" t="s">
        <v>1522</v>
      </c>
      <c r="D28" s="4">
        <v>17974</v>
      </c>
      <c r="E28" s="4">
        <v>22</v>
      </c>
      <c r="F28" s="4" t="s">
        <v>15</v>
      </c>
      <c r="G28" s="4" t="s">
        <v>25</v>
      </c>
      <c r="H28" s="5">
        <v>2900</v>
      </c>
      <c r="I28" s="4"/>
    </row>
    <row r="29" spans="1:9" ht="15.9" x14ac:dyDescent="0.4">
      <c r="A29" s="3">
        <v>45828</v>
      </c>
      <c r="B29" s="4" t="s">
        <v>207</v>
      </c>
      <c r="C29" s="4" t="s">
        <v>1523</v>
      </c>
      <c r="D29" s="4">
        <v>42690</v>
      </c>
      <c r="E29" s="4">
        <v>51</v>
      </c>
      <c r="F29" s="4" t="s">
        <v>11</v>
      </c>
      <c r="G29" s="4" t="s">
        <v>19</v>
      </c>
      <c r="H29" s="5">
        <v>1250</v>
      </c>
      <c r="I29" s="4"/>
    </row>
    <row r="30" spans="1:9" ht="15.9" x14ac:dyDescent="0.4">
      <c r="A30" s="3">
        <v>45832</v>
      </c>
      <c r="B30" s="4" t="s">
        <v>207</v>
      </c>
      <c r="C30" s="4" t="s">
        <v>1524</v>
      </c>
      <c r="D30" s="4">
        <v>36960</v>
      </c>
      <c r="E30" s="4">
        <v>48</v>
      </c>
      <c r="F30" s="4" t="s">
        <v>11</v>
      </c>
      <c r="G30" s="4" t="s">
        <v>19</v>
      </c>
      <c r="H30" s="5">
        <v>1250</v>
      </c>
      <c r="I30" s="4"/>
    </row>
    <row r="31" spans="1:9" ht="15.9" x14ac:dyDescent="0.4">
      <c r="A31" s="3">
        <v>45832</v>
      </c>
      <c r="B31" s="4" t="s">
        <v>52</v>
      </c>
      <c r="C31" s="4" t="s">
        <v>1525</v>
      </c>
      <c r="D31" s="4">
        <v>37050</v>
      </c>
      <c r="E31" s="4">
        <v>39</v>
      </c>
      <c r="F31" s="4" t="s">
        <v>15</v>
      </c>
      <c r="G31" s="4" t="s">
        <v>25</v>
      </c>
      <c r="H31" s="5">
        <v>2950</v>
      </c>
      <c r="I31" s="4"/>
    </row>
    <row r="32" spans="1:9" ht="15.9" x14ac:dyDescent="0.4">
      <c r="A32" s="3">
        <v>45832</v>
      </c>
      <c r="B32" s="4" t="s">
        <v>52</v>
      </c>
      <c r="C32" s="4" t="s">
        <v>1526</v>
      </c>
      <c r="D32" s="4">
        <v>40907</v>
      </c>
      <c r="E32" s="4">
        <v>46</v>
      </c>
      <c r="F32" s="4" t="s">
        <v>15</v>
      </c>
      <c r="G32" s="4" t="s">
        <v>25</v>
      </c>
      <c r="H32" s="5">
        <v>2950</v>
      </c>
      <c r="I32" s="4"/>
    </row>
    <row r="33" spans="1:9" ht="15.9" x14ac:dyDescent="0.4">
      <c r="A33" s="3">
        <v>45832</v>
      </c>
      <c r="B33" s="4" t="s">
        <v>129</v>
      </c>
      <c r="C33" s="4" t="s">
        <v>1527</v>
      </c>
      <c r="D33" s="4">
        <v>35948</v>
      </c>
      <c r="E33" s="4">
        <v>44</v>
      </c>
      <c r="F33" s="4" t="s">
        <v>15</v>
      </c>
      <c r="G33" s="4" t="s">
        <v>1119</v>
      </c>
      <c r="H33" s="5">
        <v>2400</v>
      </c>
      <c r="I33" s="4"/>
    </row>
    <row r="34" spans="1:9" ht="15.9" x14ac:dyDescent="0.4">
      <c r="A34" s="3">
        <v>45832</v>
      </c>
      <c r="B34" s="4" t="s">
        <v>52</v>
      </c>
      <c r="C34" s="4" t="s">
        <v>1528</v>
      </c>
      <c r="D34" s="4">
        <v>41800</v>
      </c>
      <c r="E34" s="4">
        <v>44</v>
      </c>
      <c r="F34" s="4" t="s">
        <v>15</v>
      </c>
      <c r="G34" s="4" t="s">
        <v>25</v>
      </c>
      <c r="H34" s="5">
        <v>2950</v>
      </c>
      <c r="I34" s="4"/>
    </row>
    <row r="35" spans="1:9" ht="15.9" x14ac:dyDescent="0.4">
      <c r="A35" s="3">
        <v>45832</v>
      </c>
      <c r="B35" s="4" t="s">
        <v>129</v>
      </c>
      <c r="C35" s="4" t="s">
        <v>1529</v>
      </c>
      <c r="D35" s="4">
        <v>35948</v>
      </c>
      <c r="E35" s="4">
        <v>44</v>
      </c>
      <c r="F35" s="4" t="s">
        <v>15</v>
      </c>
      <c r="G35" s="4" t="s">
        <v>1119</v>
      </c>
      <c r="H35" s="5">
        <v>2400</v>
      </c>
      <c r="I35" s="4"/>
    </row>
    <row r="36" spans="1:9" ht="15.9" x14ac:dyDescent="0.4">
      <c r="A36" s="3">
        <v>45833</v>
      </c>
      <c r="B36" s="4" t="s">
        <v>66</v>
      </c>
      <c r="C36" s="4" t="s">
        <v>1530</v>
      </c>
      <c r="D36" s="4">
        <v>11002</v>
      </c>
      <c r="E36" s="4">
        <v>14</v>
      </c>
      <c r="F36" s="4" t="s">
        <v>15</v>
      </c>
      <c r="G36" s="4" t="s">
        <v>1119</v>
      </c>
      <c r="H36" s="5">
        <v>3200</v>
      </c>
      <c r="I36" s="4"/>
    </row>
    <row r="37" spans="1:9" ht="15.9" x14ac:dyDescent="0.4">
      <c r="A37" s="3">
        <v>45833</v>
      </c>
      <c r="B37" s="4" t="s">
        <v>17</v>
      </c>
      <c r="C37" s="4" t="s">
        <v>1531</v>
      </c>
      <c r="D37" s="4">
        <v>33200</v>
      </c>
      <c r="E37" s="4">
        <v>40</v>
      </c>
      <c r="F37" s="4" t="s">
        <v>15</v>
      </c>
      <c r="G37" s="4" t="s">
        <v>1119</v>
      </c>
      <c r="H37" s="5">
        <v>1600</v>
      </c>
      <c r="I37" s="4"/>
    </row>
    <row r="38" spans="1:9" ht="15.9" x14ac:dyDescent="0.4">
      <c r="A38" s="3">
        <v>45833</v>
      </c>
      <c r="B38" s="4" t="s">
        <v>20</v>
      </c>
      <c r="C38" s="4" t="s">
        <v>1532</v>
      </c>
      <c r="D38" s="4">
        <v>12540</v>
      </c>
      <c r="E38" s="4">
        <v>15</v>
      </c>
      <c r="F38" s="4" t="s">
        <v>11</v>
      </c>
      <c r="G38" s="4" t="s">
        <v>19</v>
      </c>
      <c r="H38" s="5">
        <v>2100</v>
      </c>
      <c r="I38" s="4"/>
    </row>
    <row r="39" spans="1:9" ht="15.9" x14ac:dyDescent="0.4">
      <c r="A39" s="3">
        <v>45833</v>
      </c>
      <c r="B39" s="4" t="s">
        <v>634</v>
      </c>
      <c r="C39" s="4" t="s">
        <v>1533</v>
      </c>
      <c r="D39" s="4">
        <v>42780</v>
      </c>
      <c r="E39" s="4">
        <v>46</v>
      </c>
      <c r="F39" s="4" t="s">
        <v>15</v>
      </c>
      <c r="G39" s="4" t="s">
        <v>25</v>
      </c>
      <c r="H39" s="5">
        <v>5500</v>
      </c>
      <c r="I39" s="4"/>
    </row>
    <row r="40" spans="1:9" ht="15.9" x14ac:dyDescent="0.4">
      <c r="A40" s="3">
        <v>45833</v>
      </c>
      <c r="B40" s="4" t="s">
        <v>634</v>
      </c>
      <c r="C40" s="4" t="s">
        <v>1534</v>
      </c>
      <c r="D40" s="4">
        <v>42780</v>
      </c>
      <c r="E40" s="4">
        <v>46</v>
      </c>
      <c r="F40" s="4" t="s">
        <v>15</v>
      </c>
      <c r="G40" s="4" t="s">
        <v>25</v>
      </c>
      <c r="H40" s="5">
        <v>5500</v>
      </c>
      <c r="I40" s="4"/>
    </row>
    <row r="41" spans="1:9" ht="15.9" x14ac:dyDescent="0.4">
      <c r="A41" s="3">
        <v>45833</v>
      </c>
      <c r="B41" s="4" t="s">
        <v>634</v>
      </c>
      <c r="C41" s="4" t="s">
        <v>1535</v>
      </c>
      <c r="D41" s="4">
        <v>42780</v>
      </c>
      <c r="E41" s="4">
        <v>46</v>
      </c>
      <c r="F41" s="4" t="s">
        <v>15</v>
      </c>
      <c r="G41" s="4" t="s">
        <v>25</v>
      </c>
      <c r="H41" s="5">
        <v>5500</v>
      </c>
      <c r="I41" s="4"/>
    </row>
    <row r="42" spans="1:9" ht="15.9" x14ac:dyDescent="0.4">
      <c r="A42" s="3">
        <v>45833</v>
      </c>
      <c r="B42" s="4" t="s">
        <v>1003</v>
      </c>
      <c r="C42" s="4" t="s">
        <v>1536</v>
      </c>
      <c r="D42" s="4">
        <v>39900</v>
      </c>
      <c r="E42" s="4">
        <v>42</v>
      </c>
      <c r="F42" s="4" t="s">
        <v>15</v>
      </c>
      <c r="G42" s="4" t="s">
        <v>19</v>
      </c>
      <c r="H42" s="5">
        <v>1550</v>
      </c>
      <c r="I42" s="4"/>
    </row>
    <row r="43" spans="1:9" ht="15.9" x14ac:dyDescent="0.4">
      <c r="A43" s="3">
        <v>45833</v>
      </c>
      <c r="B43" s="4" t="s">
        <v>129</v>
      </c>
      <c r="C43" s="4" t="s">
        <v>1537</v>
      </c>
      <c r="D43" s="4">
        <v>33497</v>
      </c>
      <c r="E43" s="4">
        <v>41</v>
      </c>
      <c r="F43" s="4" t="s">
        <v>15</v>
      </c>
      <c r="G43" s="4" t="s">
        <v>1119</v>
      </c>
      <c r="H43" s="5">
        <v>2400</v>
      </c>
      <c r="I43" s="4"/>
    </row>
    <row r="44" spans="1:9" ht="15.9" x14ac:dyDescent="0.4">
      <c r="A44" s="3">
        <v>45833</v>
      </c>
      <c r="B44" s="4" t="s">
        <v>191</v>
      </c>
      <c r="C44" s="4" t="s">
        <v>1538</v>
      </c>
      <c r="D44" s="4">
        <v>35948</v>
      </c>
      <c r="E44" s="4">
        <v>44</v>
      </c>
      <c r="F44" s="4" t="s">
        <v>15</v>
      </c>
      <c r="G44" s="4" t="s">
        <v>25</v>
      </c>
      <c r="H44" s="5">
        <v>2400</v>
      </c>
      <c r="I44" s="4"/>
    </row>
    <row r="45" spans="1:9" ht="15.9" x14ac:dyDescent="0.4">
      <c r="A45" s="3">
        <v>45833</v>
      </c>
      <c r="B45" s="4" t="s">
        <v>52</v>
      </c>
      <c r="C45" s="4" t="s">
        <v>1317</v>
      </c>
      <c r="D45" s="4">
        <v>42240</v>
      </c>
      <c r="E45" s="4">
        <v>44</v>
      </c>
      <c r="F45" s="4" t="s">
        <v>15</v>
      </c>
      <c r="G45" s="4" t="s">
        <v>25</v>
      </c>
      <c r="H45" s="5">
        <v>2950</v>
      </c>
      <c r="I45" s="4"/>
    </row>
    <row r="46" spans="1:9" ht="15.9" x14ac:dyDescent="0.4">
      <c r="A46" s="3">
        <v>45834</v>
      </c>
      <c r="B46" s="4" t="s">
        <v>1003</v>
      </c>
      <c r="C46" s="4" t="s">
        <v>1539</v>
      </c>
      <c r="D46" s="4">
        <v>39216</v>
      </c>
      <c r="E46" s="4">
        <v>48</v>
      </c>
      <c r="F46" s="4" t="s">
        <v>15</v>
      </c>
      <c r="G46" s="4" t="s">
        <v>19</v>
      </c>
      <c r="H46" s="5">
        <v>1550</v>
      </c>
      <c r="I46" s="4"/>
    </row>
    <row r="47" spans="1:9" ht="15.9" x14ac:dyDescent="0.4">
      <c r="A47" s="3">
        <v>45834</v>
      </c>
      <c r="B47" s="4" t="s">
        <v>191</v>
      </c>
      <c r="C47" s="4" t="s">
        <v>1540</v>
      </c>
      <c r="D47" s="4">
        <v>35948</v>
      </c>
      <c r="E47" s="4">
        <v>44</v>
      </c>
      <c r="F47" s="4" t="s">
        <v>15</v>
      </c>
      <c r="G47" s="4" t="s">
        <v>25</v>
      </c>
      <c r="H47" s="5">
        <v>2400</v>
      </c>
      <c r="I47" s="4"/>
    </row>
    <row r="48" spans="1:9" ht="15.9" x14ac:dyDescent="0.4">
      <c r="A48" s="3">
        <v>45834</v>
      </c>
      <c r="B48" s="4" t="s">
        <v>1541</v>
      </c>
      <c r="C48" s="4" t="s">
        <v>1472</v>
      </c>
      <c r="D48" s="4">
        <v>19728</v>
      </c>
      <c r="E48" s="4">
        <v>24</v>
      </c>
      <c r="F48" s="4" t="s">
        <v>11</v>
      </c>
      <c r="G48" s="4" t="s">
        <v>19</v>
      </c>
      <c r="H48" s="5">
        <v>6100</v>
      </c>
      <c r="I48" s="4"/>
    </row>
    <row r="49" spans="1:9" ht="15.9" x14ac:dyDescent="0.4">
      <c r="A49" s="3">
        <v>45834</v>
      </c>
      <c r="B49" s="4" t="s">
        <v>1541</v>
      </c>
      <c r="C49" s="4" t="s">
        <v>1476</v>
      </c>
      <c r="D49" s="4">
        <v>39456</v>
      </c>
      <c r="E49" s="4">
        <v>48</v>
      </c>
      <c r="F49" s="4" t="s">
        <v>11</v>
      </c>
      <c r="G49" s="4" t="s">
        <v>19</v>
      </c>
      <c r="H49" s="5">
        <v>6100</v>
      </c>
      <c r="I49" s="4"/>
    </row>
    <row r="50" spans="1:9" ht="15.9" x14ac:dyDescent="0.4">
      <c r="A50" s="3">
        <v>45834</v>
      </c>
      <c r="B50" s="4" t="s">
        <v>1003</v>
      </c>
      <c r="C50" s="4" t="s">
        <v>1542</v>
      </c>
      <c r="D50" s="4">
        <v>34314</v>
      </c>
      <c r="E50" s="4">
        <v>42</v>
      </c>
      <c r="F50" s="4" t="s">
        <v>15</v>
      </c>
      <c r="G50" s="4" t="s">
        <v>19</v>
      </c>
      <c r="H50" s="5">
        <v>1550</v>
      </c>
      <c r="I50" s="4"/>
    </row>
    <row r="51" spans="1:9" ht="15.9" x14ac:dyDescent="0.4">
      <c r="A51" s="3">
        <v>45834</v>
      </c>
      <c r="B51" s="4" t="s">
        <v>153</v>
      </c>
      <c r="C51" s="4" t="s">
        <v>1543</v>
      </c>
      <c r="D51" s="4">
        <v>22876</v>
      </c>
      <c r="E51" s="4">
        <v>28</v>
      </c>
      <c r="F51" s="4" t="s">
        <v>15</v>
      </c>
      <c r="G51" s="4" t="s">
        <v>12</v>
      </c>
      <c r="H51" s="5"/>
      <c r="I51" s="4"/>
    </row>
    <row r="52" spans="1:9" ht="15.9" x14ac:dyDescent="0.4">
      <c r="A52" s="3">
        <v>45834</v>
      </c>
      <c r="B52" s="4" t="s">
        <v>1544</v>
      </c>
      <c r="C52" s="4" t="s">
        <v>1464</v>
      </c>
      <c r="D52" s="4">
        <v>39456</v>
      </c>
      <c r="E52" s="4">
        <v>48</v>
      </c>
      <c r="F52" s="4" t="s">
        <v>11</v>
      </c>
      <c r="G52" s="4" t="s">
        <v>19</v>
      </c>
      <c r="H52" s="5">
        <v>6100</v>
      </c>
      <c r="I52" s="4"/>
    </row>
    <row r="53" spans="1:9" ht="15.9" x14ac:dyDescent="0.4">
      <c r="A53" s="3">
        <v>45834</v>
      </c>
      <c r="B53" s="4" t="s">
        <v>52</v>
      </c>
      <c r="C53" s="4" t="s">
        <v>1545</v>
      </c>
      <c r="D53" s="4">
        <v>39216</v>
      </c>
      <c r="E53" s="4">
        <v>48</v>
      </c>
      <c r="F53" s="4" t="s">
        <v>15</v>
      </c>
      <c r="G53" s="4" t="s">
        <v>25</v>
      </c>
      <c r="H53" s="5">
        <v>2950</v>
      </c>
      <c r="I53" s="4"/>
    </row>
    <row r="54" spans="1:9" ht="15.9" x14ac:dyDescent="0.4">
      <c r="A54" s="3">
        <v>45834</v>
      </c>
      <c r="B54" s="4" t="s">
        <v>634</v>
      </c>
      <c r="C54" s="4" t="s">
        <v>1546</v>
      </c>
      <c r="D54" s="4">
        <v>43240</v>
      </c>
      <c r="E54" s="4">
        <v>46</v>
      </c>
      <c r="F54" s="4" t="s">
        <v>15</v>
      </c>
      <c r="G54" s="4" t="s">
        <v>25</v>
      </c>
      <c r="H54" s="5">
        <v>5500</v>
      </c>
      <c r="I54" s="4"/>
    </row>
    <row r="55" spans="1:9" ht="15.9" x14ac:dyDescent="0.4">
      <c r="A55" s="3">
        <v>45834</v>
      </c>
      <c r="B55" s="4" t="s">
        <v>634</v>
      </c>
      <c r="C55" s="4" t="s">
        <v>1547</v>
      </c>
      <c r="D55" s="4">
        <v>37335</v>
      </c>
      <c r="E55" s="4">
        <v>40</v>
      </c>
      <c r="F55" s="4" t="s">
        <v>15</v>
      </c>
      <c r="G55" s="4" t="s">
        <v>25</v>
      </c>
      <c r="H55" s="5">
        <v>5500</v>
      </c>
      <c r="I55" s="4"/>
    </row>
    <row r="56" spans="1:9" ht="15.9" x14ac:dyDescent="0.4">
      <c r="A56" s="3">
        <v>45834</v>
      </c>
      <c r="B56" s="4" t="s">
        <v>1548</v>
      </c>
      <c r="C56" s="4" t="s">
        <v>1549</v>
      </c>
      <c r="D56" s="4">
        <v>1760</v>
      </c>
      <c r="E56" s="4">
        <v>2</v>
      </c>
      <c r="F56" s="4" t="s">
        <v>35</v>
      </c>
      <c r="G56" s="4" t="s">
        <v>161</v>
      </c>
      <c r="H56" s="5">
        <v>450.1</v>
      </c>
      <c r="I56" s="4"/>
    </row>
    <row r="57" spans="1:9" ht="15.9" x14ac:dyDescent="0.4">
      <c r="A57" s="3">
        <v>45834</v>
      </c>
      <c r="B57" s="4" t="s">
        <v>886</v>
      </c>
      <c r="C57" s="4" t="s">
        <v>1550</v>
      </c>
      <c r="D57" s="4">
        <v>11160</v>
      </c>
      <c r="E57" s="4">
        <v>12</v>
      </c>
      <c r="F57" s="4" t="s">
        <v>35</v>
      </c>
      <c r="G57" s="4" t="s">
        <v>1119</v>
      </c>
      <c r="H57" s="5">
        <v>2349.33</v>
      </c>
      <c r="I57" s="4"/>
    </row>
    <row r="58" spans="1:9" ht="15.9" x14ac:dyDescent="0.4">
      <c r="A58" s="3">
        <v>45834</v>
      </c>
      <c r="B58" s="4" t="s">
        <v>159</v>
      </c>
      <c r="C58" s="4" t="s">
        <v>1551</v>
      </c>
      <c r="D58" s="4">
        <v>4085</v>
      </c>
      <c r="E58" s="4">
        <v>5</v>
      </c>
      <c r="F58" s="4" t="s">
        <v>35</v>
      </c>
      <c r="G58" s="4" t="s">
        <v>161</v>
      </c>
      <c r="H58" s="5">
        <v>335.3</v>
      </c>
      <c r="I58" s="4"/>
    </row>
    <row r="59" spans="1:9" ht="15.9" x14ac:dyDescent="0.4">
      <c r="A59" s="3">
        <v>45835</v>
      </c>
      <c r="B59" s="4" t="s">
        <v>634</v>
      </c>
      <c r="C59" s="4" t="s">
        <v>1547</v>
      </c>
      <c r="D59" s="4">
        <v>37335</v>
      </c>
      <c r="E59" s="4">
        <v>40</v>
      </c>
      <c r="F59" s="4" t="s">
        <v>15</v>
      </c>
      <c r="G59" s="4" t="s">
        <v>25</v>
      </c>
      <c r="H59" s="5">
        <v>5500</v>
      </c>
      <c r="I59" s="4"/>
    </row>
    <row r="60" spans="1:9" ht="15.9" x14ac:dyDescent="0.4">
      <c r="A60" s="3">
        <v>45835</v>
      </c>
      <c r="B60" s="4" t="s">
        <v>1482</v>
      </c>
      <c r="C60" s="4" t="s">
        <v>1552</v>
      </c>
      <c r="D60" s="4">
        <v>8800</v>
      </c>
      <c r="E60" s="4">
        <v>10</v>
      </c>
      <c r="F60" s="4" t="s">
        <v>11</v>
      </c>
      <c r="G60" s="4" t="s">
        <v>19</v>
      </c>
      <c r="H60" s="5">
        <v>2325</v>
      </c>
      <c r="I60" s="4"/>
    </row>
    <row r="61" spans="1:9" ht="15.9" x14ac:dyDescent="0.4">
      <c r="A61" s="3">
        <v>45835</v>
      </c>
      <c r="B61" s="4" t="s">
        <v>1544</v>
      </c>
      <c r="C61" s="4" t="s">
        <v>1463</v>
      </c>
      <c r="D61" s="4">
        <v>33702</v>
      </c>
      <c r="E61" s="4">
        <v>41</v>
      </c>
      <c r="F61" s="4" t="s">
        <v>11</v>
      </c>
      <c r="G61" s="4" t="s">
        <v>19</v>
      </c>
      <c r="H61" s="5">
        <v>6100</v>
      </c>
      <c r="I61" s="4"/>
    </row>
    <row r="62" spans="1:9" ht="15.9" x14ac:dyDescent="0.4">
      <c r="A62" s="3">
        <v>45835</v>
      </c>
      <c r="B62" s="4" t="s">
        <v>193</v>
      </c>
      <c r="C62" s="4" t="s">
        <v>1553</v>
      </c>
      <c r="D62" s="4">
        <v>28595</v>
      </c>
      <c r="E62" s="4">
        <v>35</v>
      </c>
      <c r="F62" s="4" t="s">
        <v>15</v>
      </c>
      <c r="G62" s="4" t="s">
        <v>19</v>
      </c>
      <c r="H62" s="5">
        <v>2235</v>
      </c>
      <c r="I62" s="4"/>
    </row>
    <row r="63" spans="1:9" ht="15.9" x14ac:dyDescent="0.4">
      <c r="A63" s="3">
        <v>45835</v>
      </c>
      <c r="B63" s="4" t="s">
        <v>129</v>
      </c>
      <c r="C63" s="4" t="s">
        <v>1554</v>
      </c>
      <c r="D63" s="4">
        <v>39216</v>
      </c>
      <c r="E63" s="4">
        <v>48</v>
      </c>
      <c r="F63" s="4" t="s">
        <v>15</v>
      </c>
      <c r="G63" s="4" t="s">
        <v>25</v>
      </c>
      <c r="H63" s="5">
        <v>2900</v>
      </c>
      <c r="I63" s="4"/>
    </row>
    <row r="64" spans="1:9" ht="15.9" x14ac:dyDescent="0.4">
      <c r="A64" s="3">
        <v>45835</v>
      </c>
      <c r="B64" s="4" t="s">
        <v>159</v>
      </c>
      <c r="C64" s="4" t="s">
        <v>1551</v>
      </c>
      <c r="D64" s="4">
        <v>4085</v>
      </c>
      <c r="E64" s="4">
        <v>5</v>
      </c>
      <c r="F64" s="4" t="s">
        <v>35</v>
      </c>
      <c r="G64" s="4" t="s">
        <v>161</v>
      </c>
      <c r="H64" s="5">
        <v>335.3</v>
      </c>
      <c r="I64" s="4"/>
    </row>
    <row r="65" spans="1:9" ht="15.9" x14ac:dyDescent="0.4">
      <c r="A65" s="3">
        <v>45838</v>
      </c>
      <c r="B65" s="4" t="s">
        <v>38</v>
      </c>
      <c r="C65" s="4" t="s">
        <v>1555</v>
      </c>
      <c r="D65" s="4">
        <v>22952</v>
      </c>
      <c r="E65" s="4">
        <v>25</v>
      </c>
      <c r="F65" s="4" t="s">
        <v>15</v>
      </c>
      <c r="G65" s="4" t="s">
        <v>25</v>
      </c>
      <c r="H65" s="5">
        <v>3850</v>
      </c>
      <c r="I65" s="4"/>
    </row>
    <row r="66" spans="1:9" ht="15.9" x14ac:dyDescent="0.4">
      <c r="A66" s="3">
        <v>45838</v>
      </c>
      <c r="B66" s="4" t="s">
        <v>202</v>
      </c>
      <c r="C66" s="4" t="s">
        <v>1556</v>
      </c>
      <c r="D66" s="4">
        <v>39360</v>
      </c>
      <c r="E66" s="4">
        <v>39360</v>
      </c>
      <c r="F66" s="4" t="s">
        <v>15</v>
      </c>
      <c r="G66" s="4" t="s">
        <v>25</v>
      </c>
      <c r="H66" s="5">
        <v>2800</v>
      </c>
      <c r="I66" s="4"/>
    </row>
    <row r="67" spans="1:9" ht="15.9" x14ac:dyDescent="0.4">
      <c r="A67" s="3">
        <v>45838</v>
      </c>
      <c r="B67" s="4" t="s">
        <v>207</v>
      </c>
      <c r="C67" s="4" t="s">
        <v>1557</v>
      </c>
      <c r="D67" s="4">
        <v>36960</v>
      </c>
      <c r="E67" s="4">
        <v>48</v>
      </c>
      <c r="F67" s="4" t="s">
        <v>11</v>
      </c>
      <c r="G67" s="4" t="s">
        <v>19</v>
      </c>
      <c r="H67" s="5">
        <v>1250</v>
      </c>
      <c r="I67" s="4"/>
    </row>
    <row r="68" spans="1:9" ht="15.9" x14ac:dyDescent="0.4">
      <c r="A68" s="3">
        <v>45838</v>
      </c>
      <c r="B68" s="4" t="s">
        <v>462</v>
      </c>
      <c r="C68" s="4" t="s">
        <v>1558</v>
      </c>
      <c r="D68" s="4">
        <v>25311</v>
      </c>
      <c r="E68" s="4">
        <v>32</v>
      </c>
      <c r="F68" s="4" t="s">
        <v>15</v>
      </c>
      <c r="G68" s="4" t="s">
        <v>19</v>
      </c>
      <c r="H68" s="5">
        <v>2480</v>
      </c>
      <c r="I68" s="4"/>
    </row>
    <row r="69" spans="1:9" ht="15.9" x14ac:dyDescent="0.4">
      <c r="A69" s="3"/>
      <c r="B69" s="4"/>
      <c r="C69" s="4"/>
      <c r="D69" s="4"/>
      <c r="E69" s="4"/>
      <c r="F69" s="4"/>
      <c r="G69" s="4"/>
      <c r="H69" s="5"/>
      <c r="I69" s="4"/>
    </row>
    <row r="70" spans="1:9" ht="15.9" x14ac:dyDescent="0.4">
      <c r="A70" s="3"/>
      <c r="B70" s="4"/>
      <c r="C70" s="4"/>
      <c r="D70" s="4"/>
      <c r="E70" s="4"/>
      <c r="F70" s="4"/>
      <c r="G70" s="4"/>
      <c r="H70" s="5"/>
      <c r="I70" s="4"/>
    </row>
    <row r="71" spans="1:9" ht="15.9" x14ac:dyDescent="0.4">
      <c r="A71" s="3"/>
      <c r="B71" s="4"/>
      <c r="C71" s="4"/>
      <c r="D71" s="4"/>
      <c r="E71" s="4"/>
      <c r="F71" s="4"/>
      <c r="G71" s="4"/>
      <c r="H71" s="5"/>
      <c r="I71" s="4"/>
    </row>
    <row r="72" spans="1:9" ht="15.9" x14ac:dyDescent="0.4">
      <c r="A72" s="3"/>
      <c r="B72" s="4"/>
      <c r="C72" s="4"/>
      <c r="D72" s="4"/>
      <c r="E72" s="4"/>
      <c r="F72" s="4"/>
      <c r="G72" s="4"/>
      <c r="H72" s="5"/>
      <c r="I72" s="4"/>
    </row>
    <row r="73" spans="1:9" ht="15.9" x14ac:dyDescent="0.4">
      <c r="A73" s="3"/>
      <c r="B73" s="4"/>
      <c r="C73" s="4"/>
      <c r="D73" s="4"/>
      <c r="E73" s="4"/>
      <c r="F73" s="4"/>
      <c r="G73" s="4"/>
      <c r="H73" s="5"/>
      <c r="I73" s="4"/>
    </row>
    <row r="74" spans="1:9" ht="15.9" x14ac:dyDescent="0.4">
      <c r="A74" s="3"/>
      <c r="B74" s="4"/>
      <c r="C74" s="4"/>
      <c r="D74" s="4"/>
      <c r="E74" s="4"/>
      <c r="F74" s="4"/>
      <c r="G74" s="4"/>
      <c r="H74" s="5"/>
      <c r="I74" s="4"/>
    </row>
    <row r="75" spans="1:9" ht="15.9" x14ac:dyDescent="0.4">
      <c r="A75" s="3"/>
      <c r="B75" s="4"/>
      <c r="C75" s="4"/>
      <c r="D75" s="4"/>
      <c r="E75" s="4"/>
      <c r="F75" s="4"/>
      <c r="G75" s="4"/>
      <c r="H75" s="5"/>
      <c r="I75" s="4"/>
    </row>
    <row r="76" spans="1:9" ht="15.9" x14ac:dyDescent="0.4">
      <c r="A76" s="3"/>
      <c r="B76" s="4"/>
      <c r="C76" s="4"/>
      <c r="D76" s="4"/>
      <c r="E76" s="4"/>
      <c r="F76" s="4"/>
      <c r="G76" s="4"/>
      <c r="H76" s="5"/>
      <c r="I76" s="4"/>
    </row>
    <row r="77" spans="1:9" ht="15.9" x14ac:dyDescent="0.4">
      <c r="A77" s="3"/>
      <c r="B77" s="4"/>
      <c r="C77" s="4"/>
      <c r="D77" s="4"/>
      <c r="E77" s="4"/>
      <c r="F77" s="4"/>
      <c r="G77" s="4"/>
      <c r="H77" s="5"/>
      <c r="I77" s="4"/>
    </row>
    <row r="78" spans="1:9" ht="15.9" x14ac:dyDescent="0.4">
      <c r="A78" s="3"/>
      <c r="B78" s="4"/>
      <c r="C78" s="4"/>
      <c r="D78" s="4"/>
      <c r="E78" s="4"/>
      <c r="F78" s="4"/>
      <c r="G78" s="4"/>
      <c r="H78" s="5"/>
      <c r="I78" s="4"/>
    </row>
    <row r="79" spans="1:9" ht="15.9" x14ac:dyDescent="0.4">
      <c r="A79" s="3"/>
      <c r="B79" s="4"/>
      <c r="C79" s="4"/>
      <c r="D79" s="4"/>
      <c r="E79" s="4"/>
      <c r="F79" s="4"/>
      <c r="G79" s="4"/>
      <c r="H79" s="5"/>
      <c r="I79" s="4"/>
    </row>
    <row r="80" spans="1:9" ht="15.9" x14ac:dyDescent="0.4">
      <c r="A80" s="3"/>
      <c r="B80" s="4"/>
      <c r="C80" s="4"/>
      <c r="D80" s="4"/>
      <c r="E80" s="4"/>
      <c r="F80" s="4"/>
      <c r="G80" s="4"/>
      <c r="H80" s="5"/>
      <c r="I80" s="4"/>
    </row>
    <row r="81" spans="1:9" ht="15.9" x14ac:dyDescent="0.4">
      <c r="A81" s="3"/>
      <c r="B81" s="4"/>
      <c r="C81" s="4"/>
      <c r="D81" s="4"/>
      <c r="E81" s="4"/>
      <c r="F81" s="4"/>
      <c r="G81" s="4"/>
      <c r="H81" s="5"/>
      <c r="I81" s="4"/>
    </row>
    <row r="82" spans="1:9" ht="15.9" x14ac:dyDescent="0.4">
      <c r="A82" s="3"/>
      <c r="B82" s="4"/>
      <c r="C82" s="4"/>
      <c r="D82" s="4"/>
      <c r="E82" s="4"/>
      <c r="F82" s="4"/>
      <c r="G82" s="4"/>
      <c r="H82" s="5"/>
      <c r="I82" s="4"/>
    </row>
    <row r="83" spans="1:9" ht="15.9" x14ac:dyDescent="0.4">
      <c r="A83" s="3"/>
      <c r="B83" s="4"/>
      <c r="C83" s="4"/>
      <c r="D83" s="4"/>
      <c r="E83" s="4"/>
      <c r="F83" s="4"/>
      <c r="G83" s="4"/>
      <c r="H83" s="5"/>
      <c r="I83" s="4"/>
    </row>
    <row r="84" spans="1:9" ht="15.9" x14ac:dyDescent="0.4">
      <c r="A84" s="3"/>
      <c r="B84" s="4"/>
      <c r="C84" s="4"/>
      <c r="D84" s="4"/>
      <c r="E84" s="4"/>
      <c r="F84" s="4"/>
      <c r="G84" s="4"/>
      <c r="H84" s="5"/>
      <c r="I84" s="4"/>
    </row>
    <row r="85" spans="1:9" ht="15.9" x14ac:dyDescent="0.4">
      <c r="A85" s="3"/>
      <c r="B85" s="4"/>
      <c r="C85" s="4"/>
      <c r="D85" s="4"/>
      <c r="E85" s="4"/>
      <c r="F85" s="4"/>
      <c r="G85" s="4"/>
      <c r="H85" s="5"/>
      <c r="I85" s="4"/>
    </row>
    <row r="86" spans="1:9" ht="15.9" x14ac:dyDescent="0.4">
      <c r="A86" s="3"/>
      <c r="B86" s="4"/>
      <c r="C86" s="4"/>
      <c r="D86" s="4"/>
      <c r="E86" s="4"/>
      <c r="F86" s="4"/>
      <c r="G86" s="4"/>
      <c r="H86" s="5"/>
      <c r="I86" s="4"/>
    </row>
    <row r="87" spans="1:9" ht="15.9" x14ac:dyDescent="0.4">
      <c r="A87" s="3"/>
      <c r="B87" s="4"/>
      <c r="C87" s="4"/>
      <c r="D87" s="4"/>
      <c r="E87" s="4"/>
      <c r="F87" s="4"/>
      <c r="G87" s="4"/>
      <c r="H87" s="5"/>
      <c r="I87" s="4"/>
    </row>
    <row r="88" spans="1:9" ht="15.9" x14ac:dyDescent="0.4">
      <c r="A88" s="3"/>
      <c r="B88" s="4"/>
      <c r="C88" s="4"/>
      <c r="D88" s="4"/>
      <c r="E88" s="4"/>
      <c r="F88" s="4"/>
      <c r="G88" s="4"/>
      <c r="H88" s="5"/>
      <c r="I88" s="4"/>
    </row>
    <row r="89" spans="1:9" ht="15.9" x14ac:dyDescent="0.4">
      <c r="A89" s="3"/>
      <c r="B89" s="4"/>
      <c r="C89" s="4"/>
      <c r="D89" s="4"/>
      <c r="E89" s="4"/>
      <c r="F89" s="4"/>
      <c r="G89" s="4"/>
      <c r="H89" s="5"/>
      <c r="I89" s="4"/>
    </row>
    <row r="90" spans="1:9" ht="15.9" x14ac:dyDescent="0.4">
      <c r="A90" s="3"/>
      <c r="B90" s="4"/>
      <c r="C90" s="4"/>
      <c r="D90" s="4"/>
      <c r="E90" s="4"/>
      <c r="F90" s="4"/>
      <c r="G90" s="4"/>
      <c r="H90" s="5"/>
      <c r="I90" s="4"/>
    </row>
    <row r="91" spans="1:9" ht="15.9" x14ac:dyDescent="0.4">
      <c r="A91" s="3"/>
      <c r="B91" s="4"/>
      <c r="C91" s="4"/>
      <c r="D91" s="4"/>
      <c r="E91" s="4"/>
      <c r="F91" s="4"/>
      <c r="G91" s="4"/>
      <c r="H91" s="5"/>
      <c r="I91" s="4"/>
    </row>
    <row r="92" spans="1:9" ht="15.9" x14ac:dyDescent="0.4">
      <c r="A92" s="3"/>
      <c r="B92" s="4"/>
      <c r="C92" s="4"/>
      <c r="D92" s="4"/>
      <c r="E92" s="4"/>
      <c r="F92" s="4"/>
      <c r="G92" s="4"/>
      <c r="H92" s="5"/>
      <c r="I92" s="4"/>
    </row>
    <row r="93" spans="1:9" ht="15.9" x14ac:dyDescent="0.4">
      <c r="A93" s="3"/>
      <c r="B93" s="4"/>
      <c r="C93" s="4"/>
      <c r="D93" s="4"/>
      <c r="E93" s="4"/>
      <c r="F93" s="4"/>
      <c r="G93" s="4"/>
      <c r="H93" s="5"/>
      <c r="I93" s="4"/>
    </row>
    <row r="94" spans="1:9" ht="15.9" x14ac:dyDescent="0.4">
      <c r="A94" s="3"/>
      <c r="B94" s="4"/>
      <c r="C94" s="4"/>
      <c r="D94" s="4"/>
      <c r="E94" s="4"/>
      <c r="F94" s="4"/>
      <c r="G94" s="4"/>
      <c r="H94" s="5"/>
      <c r="I94" s="4"/>
    </row>
    <row r="95" spans="1:9" ht="15.9" x14ac:dyDescent="0.4">
      <c r="A95" s="3"/>
      <c r="B95" s="4"/>
      <c r="C95" s="4"/>
      <c r="D95" s="4"/>
      <c r="E95" s="4"/>
      <c r="F95" s="4"/>
      <c r="G95" s="4"/>
      <c r="H95" s="5"/>
      <c r="I95" s="4"/>
    </row>
    <row r="96" spans="1:9" ht="15.9" x14ac:dyDescent="0.4">
      <c r="A96" s="3"/>
      <c r="B96" s="4"/>
      <c r="C96" s="4"/>
      <c r="D96" s="4"/>
      <c r="E96" s="4"/>
      <c r="F96" s="4"/>
      <c r="G96" s="4"/>
      <c r="H96" s="5"/>
      <c r="I96" s="4"/>
    </row>
    <row r="97" spans="1:9" ht="15.9" x14ac:dyDescent="0.4">
      <c r="A97" s="3"/>
      <c r="B97" s="4"/>
      <c r="C97" s="4"/>
      <c r="D97" s="4"/>
      <c r="E97" s="4"/>
      <c r="F97" s="4"/>
      <c r="G97" s="4"/>
      <c r="H97" s="5"/>
      <c r="I97" s="4"/>
    </row>
    <row r="98" spans="1:9" ht="15.9" x14ac:dyDescent="0.4">
      <c r="A98" s="3"/>
      <c r="B98" s="4"/>
      <c r="C98" s="4"/>
      <c r="D98" s="4"/>
      <c r="E98" s="4"/>
      <c r="F98" s="4"/>
      <c r="G98" s="4"/>
      <c r="H98" s="5"/>
      <c r="I98" s="4"/>
    </row>
    <row r="99" spans="1:9" ht="15.9" x14ac:dyDescent="0.4">
      <c r="A99" s="3"/>
      <c r="B99" s="4"/>
      <c r="C99" s="4"/>
      <c r="D99" s="4"/>
      <c r="E99" s="4"/>
      <c r="F99" s="4"/>
      <c r="G99" s="4"/>
      <c r="H99" s="4"/>
      <c r="I99" s="4"/>
    </row>
    <row r="100" spans="1:9" ht="15.9" x14ac:dyDescent="0.4">
      <c r="A100" s="3"/>
      <c r="B100" s="4"/>
      <c r="C100" s="4"/>
      <c r="D100" s="4"/>
      <c r="E100" s="4"/>
      <c r="F100" s="4"/>
      <c r="G100" s="4"/>
      <c r="H100" s="5"/>
      <c r="I100" s="4"/>
    </row>
    <row r="101" spans="1:9" ht="15.9" x14ac:dyDescent="0.4">
      <c r="A101" s="3"/>
      <c r="B101" s="4"/>
      <c r="C101" s="4"/>
      <c r="D101" s="4"/>
      <c r="E101" s="4"/>
      <c r="F101" s="4"/>
      <c r="G101" s="4"/>
      <c r="H101" s="5"/>
      <c r="I101" s="4"/>
    </row>
    <row r="102" spans="1:9" ht="15.9" x14ac:dyDescent="0.4">
      <c r="A102" s="3"/>
      <c r="B102" s="4"/>
      <c r="C102" s="4"/>
      <c r="D102" s="4"/>
      <c r="E102" s="4"/>
      <c r="F102" s="4"/>
      <c r="G102" s="4"/>
      <c r="H102" s="5"/>
      <c r="I102" s="4"/>
    </row>
    <row r="103" spans="1:9" ht="15.9" x14ac:dyDescent="0.4">
      <c r="A103" s="3"/>
      <c r="B103" s="4"/>
      <c r="C103" s="4"/>
      <c r="D103" s="4"/>
      <c r="E103" s="4"/>
      <c r="F103" s="4"/>
      <c r="G103" s="4"/>
      <c r="H103" s="4"/>
      <c r="I103" s="4"/>
    </row>
    <row r="104" spans="1:9" ht="15.9" x14ac:dyDescent="0.4">
      <c r="A104" s="3"/>
      <c r="B104" s="4"/>
      <c r="C104" s="4"/>
      <c r="D104" s="4"/>
      <c r="E104" s="4"/>
      <c r="F104" s="4"/>
      <c r="G104" s="4"/>
      <c r="H104" s="4"/>
      <c r="I104" s="4"/>
    </row>
    <row r="105" spans="1:9" ht="15.9" x14ac:dyDescent="0.4">
      <c r="A105" s="3"/>
      <c r="B105" s="4"/>
      <c r="C105" s="4"/>
      <c r="D105" s="4"/>
      <c r="E105" s="4"/>
      <c r="F105" s="4"/>
      <c r="G105" s="4"/>
      <c r="H105" s="4"/>
      <c r="I105" s="4"/>
    </row>
    <row r="106" spans="1:9" ht="15.9" x14ac:dyDescent="0.4">
      <c r="A106" s="3"/>
      <c r="B106" s="4"/>
      <c r="C106" s="4"/>
      <c r="D106" s="4"/>
      <c r="E106" s="4"/>
      <c r="F106" s="4"/>
      <c r="G106" s="4"/>
      <c r="H106" s="4"/>
      <c r="I106" s="4"/>
    </row>
    <row r="107" spans="1:9" ht="15.9" x14ac:dyDescent="0.4">
      <c r="A107" s="3"/>
      <c r="B107" s="4"/>
      <c r="C107" s="4"/>
      <c r="D107" s="4"/>
      <c r="E107" s="4"/>
      <c r="F107" s="4"/>
      <c r="G107" s="4"/>
      <c r="H107" s="4"/>
      <c r="I107" s="4"/>
    </row>
    <row r="108" spans="1:9" ht="15.9" x14ac:dyDescent="0.4">
      <c r="A108" s="3"/>
      <c r="B108" s="4"/>
      <c r="C108" s="4"/>
      <c r="D108" s="4"/>
      <c r="E108" s="4"/>
      <c r="F108" s="4"/>
      <c r="G108" s="4"/>
      <c r="H108" s="4"/>
      <c r="I108" s="4"/>
    </row>
    <row r="109" spans="1:9" ht="15.9" x14ac:dyDescent="0.4">
      <c r="A109" s="3"/>
      <c r="B109" s="4"/>
      <c r="C109" s="4"/>
      <c r="D109" s="4"/>
      <c r="E109" s="4"/>
      <c r="F109" s="4"/>
      <c r="G109" s="4"/>
      <c r="H109" s="5"/>
      <c r="I109" s="4"/>
    </row>
    <row r="110" spans="1:9" ht="15.9" x14ac:dyDescent="0.4">
      <c r="A110" s="3"/>
      <c r="B110" s="4"/>
      <c r="C110" s="4"/>
      <c r="D110" s="4"/>
      <c r="E110" s="4"/>
      <c r="F110" s="4"/>
      <c r="G110" s="4"/>
      <c r="H110" s="5"/>
      <c r="I110" s="4"/>
    </row>
    <row r="111" spans="1:9" ht="15.9" x14ac:dyDescent="0.4">
      <c r="A111" s="3"/>
      <c r="B111" s="4"/>
      <c r="C111" s="4"/>
      <c r="D111" s="4"/>
      <c r="E111" s="4"/>
      <c r="F111" s="4"/>
      <c r="G111" s="4"/>
      <c r="H111" s="5"/>
      <c r="I111" s="4"/>
    </row>
    <row r="112" spans="1:9" ht="15.9" x14ac:dyDescent="0.4">
      <c r="A112" s="3"/>
      <c r="B112" s="4"/>
      <c r="C112" s="4"/>
      <c r="D112" s="4"/>
      <c r="E112" s="4"/>
      <c r="F112" s="4"/>
      <c r="G112" s="4"/>
      <c r="H112" s="5"/>
      <c r="I112" s="4"/>
    </row>
    <row r="113" spans="1:9" ht="15.9" x14ac:dyDescent="0.4">
      <c r="A113" s="3"/>
      <c r="B113" s="4"/>
      <c r="C113" s="4"/>
      <c r="D113" s="4"/>
      <c r="E113" s="4"/>
      <c r="F113" s="4"/>
      <c r="G113" s="4"/>
      <c r="H113" s="5"/>
      <c r="I113" s="4"/>
    </row>
    <row r="114" spans="1:9" ht="15.9" x14ac:dyDescent="0.4">
      <c r="A114" s="3"/>
      <c r="B114" s="4"/>
      <c r="C114" s="4"/>
      <c r="D114" s="4"/>
      <c r="E114" s="4"/>
      <c r="F114" s="4"/>
      <c r="G114" s="4"/>
      <c r="H114" s="5"/>
      <c r="I114" s="4"/>
    </row>
    <row r="115" spans="1:9" ht="15.9" x14ac:dyDescent="0.4">
      <c r="A115" s="3"/>
      <c r="B115" s="4"/>
      <c r="C115" s="4"/>
      <c r="D115" s="4"/>
      <c r="E115" s="4"/>
      <c r="F115" s="4"/>
      <c r="G115" s="4"/>
      <c r="H115" s="4"/>
      <c r="I115" s="4"/>
    </row>
    <row r="116" spans="1:9" ht="15.9" x14ac:dyDescent="0.4">
      <c r="A116" s="3"/>
      <c r="B116" s="4"/>
      <c r="C116" s="4"/>
      <c r="D116" s="4"/>
      <c r="E116" s="4"/>
      <c r="F116" s="4"/>
      <c r="G116" s="4"/>
      <c r="H116" s="5"/>
      <c r="I116" s="4"/>
    </row>
    <row r="117" spans="1:9" ht="15.9" x14ac:dyDescent="0.4">
      <c r="A117" s="3"/>
      <c r="B117" s="4"/>
      <c r="C117" s="4"/>
      <c r="D117" s="4"/>
      <c r="E117" s="4"/>
      <c r="F117" s="4"/>
      <c r="G117" s="4"/>
      <c r="H117" s="5"/>
      <c r="I117" s="4"/>
    </row>
    <row r="118" spans="1:9" ht="15.9" x14ac:dyDescent="0.4">
      <c r="A118" s="3"/>
      <c r="B118" s="4"/>
      <c r="C118" s="4"/>
      <c r="D118" s="4"/>
      <c r="E118" s="4"/>
      <c r="F118" s="4"/>
      <c r="G118" s="4"/>
      <c r="H118" s="5"/>
      <c r="I118" s="4"/>
    </row>
    <row r="119" spans="1:9" ht="15.9" x14ac:dyDescent="0.4">
      <c r="A119" s="3"/>
      <c r="B119" s="4"/>
      <c r="C119" s="4"/>
      <c r="D119" s="4"/>
      <c r="E119" s="4"/>
      <c r="F119" s="4"/>
      <c r="G119" s="4"/>
      <c r="H119" s="5"/>
      <c r="I119" s="4"/>
    </row>
    <row r="120" spans="1:9" ht="15.9" x14ac:dyDescent="0.4">
      <c r="A120" s="4"/>
      <c r="B120" s="4"/>
      <c r="C120" s="4"/>
      <c r="D120" s="4"/>
      <c r="E120" s="4"/>
      <c r="F120" s="4"/>
      <c r="G120" s="4"/>
      <c r="H120" s="4"/>
      <c r="I120" s="4"/>
    </row>
    <row r="121" spans="1:9" ht="15.9" x14ac:dyDescent="0.4">
      <c r="A121" s="4"/>
      <c r="B121" s="4"/>
      <c r="C121" s="4"/>
      <c r="D121" s="4"/>
      <c r="E121" s="4"/>
      <c r="F121" s="4"/>
      <c r="G121" s="4"/>
      <c r="H121" s="4"/>
      <c r="I121" s="4"/>
    </row>
    <row r="122" spans="1:9" ht="15.9" x14ac:dyDescent="0.4">
      <c r="A122" s="4"/>
      <c r="B122" s="4"/>
      <c r="C122" s="4"/>
      <c r="D122" s="4"/>
      <c r="E122" s="4"/>
      <c r="F122" s="4"/>
      <c r="G122" s="4"/>
      <c r="H122" s="4"/>
      <c r="I122" s="4"/>
    </row>
    <row r="123" spans="1:9" ht="15.9" x14ac:dyDescent="0.4">
      <c r="A123" s="4"/>
      <c r="B123" s="4"/>
      <c r="C123" s="4"/>
      <c r="D123" s="4"/>
      <c r="E123" s="4"/>
      <c r="F123" s="4"/>
      <c r="G123" s="4"/>
      <c r="H123" s="4"/>
      <c r="I123" s="4"/>
    </row>
    <row r="124" spans="1:9" ht="15.9" x14ac:dyDescent="0.4">
      <c r="A124" s="4"/>
      <c r="B124" s="4"/>
      <c r="C124" s="4"/>
      <c r="D124" s="4"/>
      <c r="E124" s="4"/>
      <c r="F124" s="4"/>
      <c r="G124" s="4"/>
      <c r="H124" s="4"/>
      <c r="I124" s="4"/>
    </row>
    <row r="125" spans="1:9" ht="15.9" x14ac:dyDescent="0.4">
      <c r="A125" s="4"/>
      <c r="B125" s="4"/>
      <c r="C125" s="4"/>
      <c r="D125" s="4"/>
      <c r="E125" s="4"/>
      <c r="F125" s="4"/>
      <c r="G125" s="4"/>
      <c r="H125" s="4"/>
      <c r="I125" s="4"/>
    </row>
    <row r="126" spans="1:9" ht="15.9" x14ac:dyDescent="0.4">
      <c r="A126" s="4"/>
      <c r="B126" s="4"/>
      <c r="C126" s="4"/>
      <c r="D126" s="4"/>
      <c r="E126" s="4"/>
      <c r="F126" s="4"/>
      <c r="G126" s="4"/>
      <c r="H126" s="4"/>
      <c r="I126" s="4"/>
    </row>
    <row r="127" spans="1:9" ht="15.9" x14ac:dyDescent="0.4">
      <c r="A127" s="4"/>
      <c r="B127" s="4"/>
      <c r="C127" s="4"/>
      <c r="D127" s="4"/>
      <c r="E127" s="4"/>
      <c r="F127" s="4"/>
      <c r="G127" s="4"/>
      <c r="H127" s="4"/>
      <c r="I127" s="4"/>
    </row>
    <row r="128" spans="1:9" ht="15.9" x14ac:dyDescent="0.4">
      <c r="A128" s="4"/>
      <c r="B128" s="4"/>
      <c r="C128" s="4"/>
      <c r="D128" s="4"/>
      <c r="E128" s="4"/>
      <c r="F128" s="4"/>
      <c r="G128" s="4"/>
      <c r="H128" s="4"/>
      <c r="I128" s="4"/>
    </row>
    <row r="129" spans="1:9" ht="15.9" x14ac:dyDescent="0.4">
      <c r="A129" s="4"/>
      <c r="B129" s="4"/>
      <c r="C129" s="4"/>
      <c r="D129" s="4"/>
      <c r="E129" s="4"/>
      <c r="F129" s="4"/>
      <c r="G129" s="4"/>
      <c r="H129" s="4"/>
      <c r="I129" s="4"/>
    </row>
    <row r="130" spans="1:9" ht="15.9" x14ac:dyDescent="0.4">
      <c r="A130" s="4"/>
      <c r="B130" s="4"/>
      <c r="C130" s="4"/>
      <c r="D130" s="4"/>
      <c r="E130" s="4"/>
      <c r="F130" s="4"/>
      <c r="G130" s="4"/>
      <c r="H130" s="4"/>
      <c r="I130" s="4"/>
    </row>
    <row r="131" spans="1:9" ht="15.9" x14ac:dyDescent="0.4">
      <c r="A131" s="4"/>
      <c r="B131" s="4"/>
      <c r="C131" s="4"/>
      <c r="D131" s="4"/>
      <c r="E131" s="4"/>
      <c r="F131" s="4"/>
      <c r="G131" s="4"/>
      <c r="H131" s="4"/>
      <c r="I131" s="4"/>
    </row>
    <row r="132" spans="1:9" ht="15.9" x14ac:dyDescent="0.4">
      <c r="A132" s="4"/>
      <c r="B132" s="4"/>
      <c r="C132" s="4"/>
      <c r="D132" s="4"/>
      <c r="E132" s="4"/>
      <c r="F132" s="4"/>
      <c r="G132" s="4"/>
      <c r="H132" s="4"/>
      <c r="I132" s="4"/>
    </row>
    <row r="133" spans="1:9" ht="15.9" x14ac:dyDescent="0.4">
      <c r="A133" s="4"/>
      <c r="B133" s="4"/>
      <c r="C133" s="4"/>
      <c r="D133" s="4"/>
      <c r="E133" s="4"/>
      <c r="F133" s="4"/>
      <c r="G133" s="4"/>
      <c r="H133" s="4"/>
      <c r="I133" s="4"/>
    </row>
    <row r="134" spans="1:9" ht="15.9" x14ac:dyDescent="0.4">
      <c r="A134" s="4"/>
      <c r="B134" s="4"/>
      <c r="C134" s="4"/>
      <c r="D134" s="4"/>
      <c r="E134" s="4"/>
      <c r="F134" s="4"/>
      <c r="G134" s="4"/>
      <c r="H134" s="4"/>
      <c r="I134" s="4"/>
    </row>
    <row r="135" spans="1:9" ht="15.9" x14ac:dyDescent="0.4">
      <c r="A135" s="4"/>
      <c r="B135" s="4"/>
      <c r="C135" s="4"/>
      <c r="D135" s="4"/>
      <c r="E135" s="4"/>
      <c r="F135" s="4"/>
      <c r="G135" s="4"/>
      <c r="H135" s="4"/>
      <c r="I135" s="4"/>
    </row>
    <row r="136" spans="1:9" ht="15.9" x14ac:dyDescent="0.4">
      <c r="A136" s="4"/>
      <c r="B136" s="4"/>
      <c r="C136" s="4"/>
      <c r="D136" s="4"/>
      <c r="E136" s="4"/>
      <c r="F136" s="4"/>
      <c r="G136" s="4"/>
      <c r="H136" s="4"/>
      <c r="I136" s="4"/>
    </row>
    <row r="137" spans="1:9" ht="15.9" x14ac:dyDescent="0.4">
      <c r="A137" s="4"/>
      <c r="B137" s="4"/>
      <c r="C137" s="4"/>
      <c r="D137" s="4"/>
      <c r="E137" s="4"/>
      <c r="F137" s="4"/>
      <c r="G137" s="4"/>
      <c r="H137" s="4"/>
      <c r="I137" s="4"/>
    </row>
    <row r="138" spans="1:9" ht="15.9" x14ac:dyDescent="0.4">
      <c r="A138" s="4"/>
      <c r="B138" s="4"/>
      <c r="C138" s="4"/>
      <c r="D138" s="4"/>
      <c r="E138" s="4"/>
      <c r="F138" s="4"/>
      <c r="G138" s="4"/>
      <c r="H138" s="4"/>
      <c r="I138" s="4"/>
    </row>
    <row r="139" spans="1:9" ht="15.9" x14ac:dyDescent="0.4">
      <c r="A139" s="4"/>
      <c r="B139" s="4"/>
      <c r="C139" s="4"/>
      <c r="D139" s="4"/>
      <c r="E139" s="4"/>
      <c r="F139" s="4"/>
      <c r="G139" s="4"/>
      <c r="H139" s="4"/>
      <c r="I139" s="4"/>
    </row>
    <row r="140" spans="1:9" ht="15.9" x14ac:dyDescent="0.4">
      <c r="A140" s="4"/>
      <c r="B140" s="4"/>
      <c r="C140" s="4"/>
      <c r="D140" s="4"/>
      <c r="E140" s="4"/>
      <c r="F140" s="4"/>
      <c r="G140" s="4"/>
      <c r="H140" s="4"/>
      <c r="I140" s="4"/>
    </row>
    <row r="141" spans="1:9" ht="15.9" x14ac:dyDescent="0.4">
      <c r="A141" s="4"/>
      <c r="B141" s="4"/>
      <c r="C141" s="4"/>
      <c r="D141" s="4"/>
      <c r="E141" s="4"/>
      <c r="F141" s="4"/>
      <c r="G141" s="4"/>
      <c r="H141" s="4"/>
      <c r="I141" s="4"/>
    </row>
    <row r="142" spans="1:9" ht="15.9" x14ac:dyDescent="0.4">
      <c r="A142" s="4"/>
      <c r="B142" s="4"/>
      <c r="C142" s="4"/>
      <c r="D142" s="4"/>
      <c r="E142" s="4"/>
      <c r="F142" s="4"/>
      <c r="G142" s="4"/>
      <c r="H142" s="4"/>
      <c r="I142" s="4"/>
    </row>
    <row r="143" spans="1:9" ht="15.9" x14ac:dyDescent="0.4">
      <c r="A143" s="4"/>
      <c r="B143" s="4"/>
      <c r="C143" s="4"/>
      <c r="D143" s="4"/>
      <c r="E143" s="4"/>
      <c r="F143" s="4"/>
      <c r="G143" s="4"/>
      <c r="H143" s="4"/>
      <c r="I143" s="4"/>
    </row>
    <row r="144" spans="1:9" ht="15.9" x14ac:dyDescent="0.4">
      <c r="A144" s="4"/>
      <c r="B144" s="4"/>
      <c r="C144" s="4"/>
      <c r="D144" s="4"/>
      <c r="E144" s="4"/>
      <c r="F144" s="4"/>
      <c r="G144" s="4"/>
      <c r="H144" s="4"/>
      <c r="I144" s="4"/>
    </row>
    <row r="145" spans="1:9" ht="15.9" x14ac:dyDescent="0.4">
      <c r="A145" s="4"/>
      <c r="B145" s="4"/>
      <c r="C145" s="4"/>
      <c r="D145" s="4"/>
      <c r="E145" s="4"/>
      <c r="F145" s="4"/>
      <c r="G145" s="4"/>
      <c r="H145" s="4"/>
      <c r="I145" s="4"/>
    </row>
    <row r="146" spans="1:9" ht="15.9" x14ac:dyDescent="0.4">
      <c r="A146" s="4"/>
      <c r="B146" s="4"/>
      <c r="C146" s="4"/>
      <c r="D146" s="4"/>
      <c r="E146" s="4"/>
      <c r="F146" s="4"/>
      <c r="G146" s="4"/>
      <c r="H146" s="4"/>
      <c r="I146" s="4"/>
    </row>
    <row r="147" spans="1:9" ht="15.9" x14ac:dyDescent="0.4">
      <c r="A147" s="4"/>
      <c r="B147" s="4"/>
      <c r="C147" s="4"/>
      <c r="D147" s="4"/>
      <c r="E147" s="4"/>
      <c r="F147" s="4"/>
      <c r="G147" s="4"/>
      <c r="H147" s="4"/>
      <c r="I147" s="4"/>
    </row>
    <row r="148" spans="1:9" ht="15.9" x14ac:dyDescent="0.4">
      <c r="A148" s="4"/>
      <c r="B148" s="4"/>
      <c r="C148" s="4"/>
      <c r="D148" s="4"/>
      <c r="E148" s="4"/>
      <c r="F148" s="4"/>
      <c r="G148" s="4"/>
      <c r="H148" s="4"/>
      <c r="I148" s="4"/>
    </row>
    <row r="149" spans="1:9" ht="15.9" x14ac:dyDescent="0.4">
      <c r="A149" s="4"/>
      <c r="B149" s="4"/>
      <c r="C149" s="4"/>
      <c r="D149" s="4"/>
      <c r="E149" s="4"/>
      <c r="F149" s="4"/>
      <c r="G149" s="4"/>
      <c r="H149" s="4"/>
      <c r="I149" s="4"/>
    </row>
    <row r="150" spans="1:9" ht="15.9" x14ac:dyDescent="0.4">
      <c r="A150" s="4"/>
      <c r="B150" s="4"/>
      <c r="C150" s="4"/>
      <c r="D150" s="4"/>
      <c r="E150" s="4"/>
      <c r="F150" s="4"/>
      <c r="G150" s="4"/>
      <c r="H150" s="4"/>
      <c r="I150" s="4"/>
    </row>
    <row r="151" spans="1:9" ht="15.9" x14ac:dyDescent="0.4">
      <c r="A151" s="4"/>
      <c r="B151" s="4"/>
      <c r="C151" s="4"/>
      <c r="D151" s="4"/>
      <c r="E151" s="4"/>
      <c r="F151" s="4"/>
      <c r="G151" s="4"/>
      <c r="H151" s="4"/>
      <c r="I151" s="4"/>
    </row>
    <row r="152" spans="1:9" ht="15.9" x14ac:dyDescent="0.4">
      <c r="A152" s="4"/>
      <c r="B152" s="4"/>
      <c r="C152" s="4"/>
      <c r="D152" s="4"/>
      <c r="E152" s="4"/>
      <c r="F152" s="4"/>
      <c r="G152" s="4"/>
      <c r="H152" s="4"/>
      <c r="I152" s="4"/>
    </row>
    <row r="153" spans="1:9" ht="15.9" x14ac:dyDescent="0.4">
      <c r="A153" s="4"/>
      <c r="B153" s="4"/>
      <c r="C153" s="4"/>
      <c r="D153" s="4"/>
      <c r="E153" s="4"/>
      <c r="F153" s="4"/>
      <c r="G153" s="4"/>
      <c r="H153" s="4"/>
      <c r="I153" s="4"/>
    </row>
    <row r="154" spans="1:9" ht="15.9" x14ac:dyDescent="0.4">
      <c r="A154" s="4"/>
      <c r="B154" s="4"/>
      <c r="C154" s="4"/>
      <c r="D154" s="4"/>
      <c r="E154" s="4"/>
      <c r="F154" s="4"/>
      <c r="G154" s="4"/>
      <c r="H154" s="4"/>
      <c r="I154" s="4"/>
    </row>
    <row r="155" spans="1:9" ht="15.9" x14ac:dyDescent="0.4">
      <c r="A155" s="4"/>
      <c r="B155" s="4"/>
      <c r="C155" s="4"/>
      <c r="D155" s="4"/>
      <c r="E155" s="4"/>
      <c r="F155" s="4"/>
      <c r="G155" s="4"/>
      <c r="H155" s="4"/>
      <c r="I155" s="4"/>
    </row>
    <row r="156" spans="1:9" ht="15.9" x14ac:dyDescent="0.4">
      <c r="A156" s="4"/>
      <c r="B156" s="4"/>
      <c r="C156" s="4"/>
      <c r="D156" s="4"/>
      <c r="E156" s="4"/>
      <c r="F156" s="4"/>
      <c r="G156" s="4"/>
      <c r="H156" s="4"/>
      <c r="I156" s="4"/>
    </row>
    <row r="157" spans="1:9" ht="15.9" x14ac:dyDescent="0.4">
      <c r="A157" s="4"/>
      <c r="B157" s="4"/>
      <c r="C157" s="4"/>
      <c r="D157" s="4"/>
      <c r="E157" s="4"/>
      <c r="F157" s="4"/>
      <c r="G157" s="4"/>
      <c r="H157" s="4"/>
      <c r="I157" s="4"/>
    </row>
    <row r="158" spans="1:9" ht="15.9" x14ac:dyDescent="0.4">
      <c r="A158" s="4"/>
      <c r="B158" s="4"/>
      <c r="C158" s="4"/>
      <c r="D158" s="4"/>
      <c r="E158" s="4"/>
      <c r="F158" s="4"/>
      <c r="G158" s="4"/>
      <c r="H158" s="4"/>
      <c r="I158" s="4"/>
    </row>
    <row r="159" spans="1:9" ht="15.9" x14ac:dyDescent="0.4">
      <c r="A159" s="4"/>
      <c r="B159" s="4"/>
      <c r="C159" s="4"/>
      <c r="D159" s="4"/>
      <c r="E159" s="4"/>
      <c r="F159" s="4"/>
      <c r="G159" s="4"/>
      <c r="H159" s="4"/>
      <c r="I159" s="4"/>
    </row>
    <row r="160" spans="1:9" ht="15.9" x14ac:dyDescent="0.4">
      <c r="A160" s="4"/>
      <c r="B160" s="4"/>
      <c r="C160" s="4"/>
      <c r="D160" s="4"/>
      <c r="E160" s="4"/>
      <c r="F160" s="4"/>
      <c r="G160" s="4"/>
      <c r="H160" s="4"/>
      <c r="I160" s="4"/>
    </row>
    <row r="161" spans="1:9" ht="15.9" x14ac:dyDescent="0.4">
      <c r="A161" s="4"/>
      <c r="B161" s="4"/>
      <c r="C161" s="4"/>
      <c r="D161" s="4"/>
      <c r="E161" s="4"/>
      <c r="F161" s="4"/>
      <c r="G161" s="4"/>
      <c r="H161" s="4"/>
      <c r="I161" s="4"/>
    </row>
    <row r="162" spans="1:9" ht="15.9" x14ac:dyDescent="0.4">
      <c r="A162" s="4"/>
      <c r="B162" s="4"/>
      <c r="C162" s="4"/>
      <c r="D162" s="4"/>
      <c r="E162" s="4"/>
      <c r="F162" s="4"/>
      <c r="G162" s="4"/>
      <c r="H162" s="4"/>
      <c r="I162" s="4"/>
    </row>
    <row r="163" spans="1:9" ht="15.9" x14ac:dyDescent="0.4">
      <c r="A163" s="4"/>
      <c r="B163" s="4"/>
      <c r="C163" s="4"/>
      <c r="D163" s="4"/>
      <c r="E163" s="4"/>
      <c r="F163" s="4"/>
      <c r="G163" s="4"/>
      <c r="H163" s="4"/>
      <c r="I163" s="4"/>
    </row>
    <row r="164" spans="1:9" ht="15.9" x14ac:dyDescent="0.4">
      <c r="A164" s="4"/>
      <c r="B164" s="4"/>
      <c r="C164" s="4"/>
      <c r="D164" s="4"/>
      <c r="E164" s="4"/>
      <c r="F164" s="4"/>
      <c r="G164" s="4"/>
      <c r="H164" s="4"/>
      <c r="I164" s="4"/>
    </row>
    <row r="165" spans="1:9" ht="15.9" x14ac:dyDescent="0.4">
      <c r="A165" s="4"/>
      <c r="B165" s="4"/>
      <c r="C165" s="4"/>
      <c r="D165" s="4"/>
      <c r="E165" s="4"/>
      <c r="F165" s="4"/>
      <c r="G165" s="4"/>
      <c r="H165" s="4"/>
      <c r="I165" s="4"/>
    </row>
    <row r="166" spans="1:9" ht="15.9" x14ac:dyDescent="0.4">
      <c r="A166" s="4"/>
      <c r="B166" s="4"/>
      <c r="C166" s="4"/>
      <c r="D166" s="4"/>
      <c r="E166" s="4"/>
      <c r="F166" s="4"/>
      <c r="G166" s="4"/>
      <c r="H166" s="4"/>
      <c r="I166" s="4"/>
    </row>
    <row r="167" spans="1:9" ht="15.9" x14ac:dyDescent="0.4">
      <c r="A167" s="4"/>
      <c r="B167" s="4"/>
      <c r="C167" s="4"/>
      <c r="D167" s="4"/>
      <c r="E167" s="4"/>
      <c r="F167" s="4"/>
      <c r="G167" s="4"/>
      <c r="H167" s="4"/>
      <c r="I167" s="4"/>
    </row>
    <row r="168" spans="1:9" ht="15.9" x14ac:dyDescent="0.4">
      <c r="A168" s="4"/>
      <c r="B168" s="4"/>
      <c r="C168" s="4"/>
      <c r="D168" s="4"/>
      <c r="E168" s="4"/>
      <c r="F168" s="4"/>
      <c r="G168" s="4"/>
      <c r="H168" s="4"/>
      <c r="I168" s="4"/>
    </row>
    <row r="169" spans="1:9" ht="15.9" x14ac:dyDescent="0.4">
      <c r="A169" s="4"/>
      <c r="B169" s="4"/>
      <c r="C169" s="4"/>
      <c r="D169" s="4"/>
      <c r="E169" s="4"/>
      <c r="F169" s="4"/>
      <c r="G169" s="4"/>
      <c r="H169" s="4"/>
      <c r="I169" s="4"/>
    </row>
    <row r="170" spans="1:9" ht="15.9" x14ac:dyDescent="0.4">
      <c r="A170" s="4"/>
      <c r="B170" s="4"/>
      <c r="C170" s="4"/>
      <c r="D170" s="4"/>
      <c r="E170" s="4"/>
      <c r="F170" s="4"/>
      <c r="G170" s="4"/>
      <c r="H170" s="4"/>
      <c r="I170" s="4"/>
    </row>
    <row r="171" spans="1:9" ht="15.9" x14ac:dyDescent="0.4">
      <c r="A171" s="4"/>
      <c r="B171" s="4"/>
      <c r="C171" s="4"/>
      <c r="D171" s="4"/>
      <c r="E171" s="4"/>
      <c r="F171" s="4"/>
      <c r="G171" s="4"/>
      <c r="H171" s="4"/>
      <c r="I171" s="4"/>
    </row>
    <row r="172" spans="1:9" ht="15.9" x14ac:dyDescent="0.4">
      <c r="A172" s="4"/>
      <c r="B172" s="4"/>
      <c r="C172" s="4"/>
      <c r="D172" s="4"/>
      <c r="E172" s="4"/>
      <c r="F172" s="4"/>
      <c r="G172" s="4"/>
      <c r="H172" s="4"/>
      <c r="I172" s="4"/>
    </row>
    <row r="173" spans="1:9" ht="15.9" x14ac:dyDescent="0.4">
      <c r="A173" s="4"/>
      <c r="B173" s="4"/>
      <c r="C173" s="4"/>
      <c r="D173" s="4"/>
      <c r="E173" s="4"/>
      <c r="F173" s="4"/>
      <c r="G173" s="4"/>
      <c r="H173" s="4"/>
      <c r="I173" s="4"/>
    </row>
    <row r="174" spans="1:9" ht="15.9" x14ac:dyDescent="0.4">
      <c r="A174" s="4"/>
      <c r="B174" s="4"/>
      <c r="C174" s="4"/>
      <c r="D174" s="4"/>
      <c r="E174" s="4"/>
      <c r="F174" s="4"/>
      <c r="G174" s="4"/>
      <c r="H174" s="4"/>
      <c r="I174" s="4"/>
    </row>
    <row r="175" spans="1:9" ht="15.9" x14ac:dyDescent="0.4">
      <c r="A175" s="4"/>
      <c r="B175" s="4"/>
      <c r="C175" s="4"/>
      <c r="D175" s="4"/>
      <c r="E175" s="4"/>
      <c r="F175" s="4"/>
      <c r="G175" s="4"/>
      <c r="H175" s="4"/>
      <c r="I175" s="4"/>
    </row>
    <row r="176" spans="1:9" ht="15.9" x14ac:dyDescent="0.4">
      <c r="A176" s="4"/>
      <c r="B176" s="4"/>
      <c r="C176" s="4"/>
      <c r="D176" s="4"/>
      <c r="E176" s="4"/>
      <c r="F176" s="4"/>
      <c r="G176" s="4"/>
      <c r="H176" s="4"/>
      <c r="I176" s="4"/>
    </row>
    <row r="177" spans="1:9" ht="15.9" x14ac:dyDescent="0.4">
      <c r="A177" s="4"/>
      <c r="B177" s="4"/>
      <c r="C177" s="4"/>
      <c r="D177" s="4"/>
      <c r="E177" s="4"/>
      <c r="F177" s="4"/>
      <c r="G177" s="4"/>
      <c r="H177" s="4"/>
      <c r="I177" s="4"/>
    </row>
    <row r="178" spans="1:9" ht="15.9" x14ac:dyDescent="0.4">
      <c r="A178" s="4"/>
      <c r="B178" s="4"/>
      <c r="C178" s="4"/>
      <c r="D178" s="4"/>
      <c r="E178" s="4"/>
      <c r="F178" s="4"/>
      <c r="G178" s="4"/>
      <c r="H178" s="4"/>
      <c r="I178" s="4"/>
    </row>
    <row r="179" spans="1:9" ht="15.9" x14ac:dyDescent="0.4">
      <c r="A179" s="4"/>
      <c r="B179" s="4"/>
      <c r="C179" s="4"/>
      <c r="D179" s="4"/>
      <c r="E179" s="4"/>
      <c r="F179" s="4"/>
      <c r="G179" s="4"/>
      <c r="H179" s="4"/>
      <c r="I179" s="4"/>
    </row>
    <row r="180" spans="1:9" ht="15.9" x14ac:dyDescent="0.4">
      <c r="A180" s="4"/>
      <c r="B180" s="4"/>
      <c r="C180" s="4"/>
      <c r="D180" s="4"/>
      <c r="E180" s="4"/>
      <c r="F180" s="4"/>
      <c r="G180" s="4"/>
      <c r="H180" s="4"/>
      <c r="I180" s="4"/>
    </row>
    <row r="181" spans="1:9" ht="15.9" x14ac:dyDescent="0.4">
      <c r="A181" s="4"/>
      <c r="B181" s="4"/>
      <c r="C181" s="4"/>
      <c r="D181" s="4"/>
      <c r="E181" s="4"/>
      <c r="F181" s="4"/>
      <c r="G181" s="4"/>
      <c r="H181" s="4"/>
      <c r="I181" s="4"/>
    </row>
    <row r="182" spans="1:9" ht="15.9" x14ac:dyDescent="0.4">
      <c r="A182" s="4"/>
      <c r="B182" s="4"/>
      <c r="C182" s="4"/>
      <c r="D182" s="4"/>
      <c r="E182" s="4"/>
      <c r="F182" s="4"/>
      <c r="G182" s="4"/>
      <c r="H182" s="4"/>
      <c r="I182" s="4"/>
    </row>
    <row r="183" spans="1:9" ht="15.9" x14ac:dyDescent="0.4">
      <c r="A183" s="4"/>
      <c r="B183" s="4"/>
      <c r="C183" s="4"/>
      <c r="D183" s="4"/>
      <c r="E183" s="4"/>
      <c r="F183" s="4"/>
      <c r="G183" s="4"/>
      <c r="H183" s="4"/>
      <c r="I183" s="4"/>
    </row>
    <row r="184" spans="1:9" ht="15.9" x14ac:dyDescent="0.4">
      <c r="A184" s="4"/>
      <c r="B184" s="4"/>
      <c r="C184" s="4"/>
      <c r="D184" s="4"/>
      <c r="E184" s="4"/>
      <c r="F184" s="4"/>
      <c r="G184" s="4"/>
      <c r="H184" s="4"/>
      <c r="I184" s="4"/>
    </row>
    <row r="185" spans="1:9" ht="15.9" x14ac:dyDescent="0.4">
      <c r="A185" s="4"/>
      <c r="B185" s="4"/>
      <c r="C185" s="4"/>
      <c r="D185" s="4"/>
      <c r="E185" s="4"/>
      <c r="F185" s="4"/>
      <c r="G185" s="4"/>
      <c r="H185" s="4"/>
      <c r="I185" s="4"/>
    </row>
    <row r="186" spans="1:9" ht="15.9" x14ac:dyDescent="0.4">
      <c r="A186" s="4"/>
      <c r="B186" s="4"/>
      <c r="C186" s="4"/>
      <c r="D186" s="4"/>
      <c r="E186" s="4"/>
      <c r="F186" s="4"/>
      <c r="G186" s="4"/>
      <c r="H186" s="4"/>
      <c r="I186" s="4"/>
    </row>
    <row r="187" spans="1:9" ht="15.9" x14ac:dyDescent="0.4">
      <c r="A187" s="4"/>
      <c r="B187" s="4"/>
      <c r="C187" s="4"/>
      <c r="D187" s="4"/>
      <c r="E187" s="4"/>
      <c r="F187" s="4"/>
      <c r="G187" s="4"/>
      <c r="H187" s="4"/>
      <c r="I187" s="4"/>
    </row>
    <row r="188" spans="1:9" ht="15.9" x14ac:dyDescent="0.4">
      <c r="A188" s="4"/>
      <c r="B188" s="4"/>
      <c r="C188" s="4"/>
      <c r="D188" s="4"/>
      <c r="E188" s="4"/>
      <c r="F188" s="4"/>
      <c r="G188" s="4"/>
      <c r="H188" s="4"/>
      <c r="I188" s="4"/>
    </row>
    <row r="189" spans="1:9" ht="15.9" x14ac:dyDescent="0.4">
      <c r="A189" s="4"/>
      <c r="B189" s="4"/>
      <c r="C189" s="4"/>
      <c r="D189" s="4"/>
      <c r="E189" s="4"/>
      <c r="F189" s="4"/>
      <c r="G189" s="4"/>
      <c r="H189" s="4"/>
      <c r="I189" s="4"/>
    </row>
    <row r="190" spans="1:9" ht="15.9" x14ac:dyDescent="0.4">
      <c r="A190" s="4"/>
      <c r="B190" s="4"/>
      <c r="C190" s="4"/>
      <c r="D190" s="4"/>
      <c r="E190" s="4"/>
      <c r="F190" s="4"/>
      <c r="G190" s="4"/>
      <c r="H190" s="4"/>
      <c r="I190" s="4"/>
    </row>
    <row r="191" spans="1:9" ht="15.9" x14ac:dyDescent="0.4">
      <c r="A191" s="4"/>
      <c r="B191" s="4"/>
      <c r="C191" s="4"/>
      <c r="D191" s="4"/>
      <c r="E191" s="4"/>
      <c r="F191" s="4"/>
      <c r="G191" s="4"/>
      <c r="H191" s="4"/>
      <c r="I191" s="4"/>
    </row>
    <row r="192" spans="1:9" ht="15.9" x14ac:dyDescent="0.4">
      <c r="A192" s="4"/>
      <c r="B192" s="4"/>
      <c r="C192" s="4"/>
      <c r="D192" s="4"/>
      <c r="E192" s="4"/>
      <c r="F192" s="4"/>
      <c r="G192" s="4"/>
      <c r="H192" s="4"/>
      <c r="I192" s="4"/>
    </row>
    <row r="193" spans="1:9" ht="15.9" x14ac:dyDescent="0.4">
      <c r="A193" s="4"/>
      <c r="B193" s="4"/>
      <c r="C193" s="4"/>
      <c r="D193" s="4"/>
      <c r="E193" s="4"/>
      <c r="F193" s="4"/>
      <c r="G193" s="4"/>
      <c r="H193" s="4"/>
      <c r="I193" s="4"/>
    </row>
    <row r="194" spans="1:9" ht="15.9" x14ac:dyDescent="0.4">
      <c r="A194" s="4"/>
      <c r="B194" s="4"/>
      <c r="C194" s="4"/>
      <c r="D194" s="4"/>
      <c r="E194" s="4"/>
      <c r="F194" s="4"/>
      <c r="G194" s="4"/>
      <c r="H194" s="4"/>
      <c r="I194" s="4"/>
    </row>
    <row r="195" spans="1:9" ht="15.9" x14ac:dyDescent="0.4">
      <c r="A195" s="4"/>
      <c r="B195" s="4"/>
      <c r="C195" s="4"/>
      <c r="D195" s="4"/>
      <c r="E195" s="4"/>
      <c r="F195" s="4"/>
      <c r="G195" s="4"/>
      <c r="H195" s="4"/>
      <c r="I195" s="4"/>
    </row>
    <row r="196" spans="1:9" ht="15.9" x14ac:dyDescent="0.4">
      <c r="A196" s="4"/>
      <c r="B196" s="4"/>
      <c r="C196" s="4"/>
      <c r="D196" s="4"/>
      <c r="E196" s="4"/>
      <c r="F196" s="4"/>
      <c r="G196" s="4"/>
      <c r="H196" s="4"/>
      <c r="I196" s="4"/>
    </row>
    <row r="197" spans="1:9" ht="15.9" x14ac:dyDescent="0.4">
      <c r="A197" s="4"/>
      <c r="B197" s="4"/>
      <c r="C197" s="4"/>
      <c r="D197" s="4"/>
      <c r="E197" s="4"/>
      <c r="F197" s="4"/>
      <c r="G197" s="4"/>
      <c r="H197" s="4"/>
      <c r="I197" s="4"/>
    </row>
    <row r="198" spans="1:9" ht="15.9" x14ac:dyDescent="0.4">
      <c r="A198" s="4"/>
      <c r="B198" s="4"/>
      <c r="C198" s="4"/>
      <c r="D198" s="4"/>
      <c r="E198" s="4"/>
      <c r="F198" s="4"/>
      <c r="G198" s="4"/>
      <c r="H198" s="4"/>
      <c r="I198" s="4"/>
    </row>
    <row r="199" spans="1:9" ht="15.9" x14ac:dyDescent="0.4">
      <c r="A199" s="4"/>
      <c r="B199" s="4"/>
      <c r="C199" s="4"/>
      <c r="D199" s="4"/>
      <c r="E199" s="4"/>
      <c r="F199" s="4"/>
      <c r="G199" s="4"/>
      <c r="H199" s="4"/>
      <c r="I199" s="4"/>
    </row>
    <row r="200" spans="1:9" ht="15.9" x14ac:dyDescent="0.4">
      <c r="A200" s="4"/>
      <c r="B200" s="4"/>
      <c r="C200" s="4"/>
      <c r="D200" s="4"/>
      <c r="E200" s="4"/>
      <c r="F200" s="4"/>
      <c r="G200" s="4"/>
      <c r="H200" s="4"/>
      <c r="I200" s="4"/>
    </row>
    <row r="201" spans="1:9" ht="15.9" x14ac:dyDescent="0.4">
      <c r="A201" s="4"/>
      <c r="B201" s="4"/>
      <c r="C201" s="4"/>
      <c r="D201" s="4"/>
      <c r="E201" s="4"/>
      <c r="F201" s="4"/>
      <c r="G201" s="4"/>
      <c r="H201" s="4"/>
      <c r="I201" s="4"/>
    </row>
    <row r="202" spans="1:9" ht="15.9" x14ac:dyDescent="0.4">
      <c r="A202" s="4"/>
      <c r="B202" s="4"/>
      <c r="C202" s="4"/>
      <c r="D202" s="4"/>
      <c r="E202" s="4"/>
      <c r="F202" s="4"/>
      <c r="G202" s="4"/>
      <c r="H202" s="4"/>
      <c r="I202" s="4"/>
    </row>
    <row r="203" spans="1:9" ht="15.9" x14ac:dyDescent="0.4">
      <c r="A203" s="4"/>
      <c r="B203" s="4"/>
      <c r="C203" s="4"/>
      <c r="D203" s="4"/>
      <c r="E203" s="4"/>
      <c r="F203" s="4"/>
      <c r="G203" s="4"/>
      <c r="H203" s="4"/>
      <c r="I203" s="4"/>
    </row>
    <row r="204" spans="1:9" ht="15.9" x14ac:dyDescent="0.4">
      <c r="A204" s="4"/>
      <c r="B204" s="4"/>
      <c r="C204" s="4"/>
      <c r="D204" s="4"/>
      <c r="E204" s="4"/>
      <c r="F204" s="4"/>
      <c r="G204" s="4"/>
      <c r="H204" s="4"/>
      <c r="I204" s="4"/>
    </row>
    <row r="205" spans="1:9" ht="15.9" x14ac:dyDescent="0.4">
      <c r="A205" s="4"/>
      <c r="B205" s="4"/>
      <c r="C205" s="4"/>
      <c r="D205" s="4"/>
      <c r="E205" s="4"/>
      <c r="F205" s="4"/>
      <c r="G205" s="4"/>
      <c r="H205" s="4"/>
      <c r="I205" s="4"/>
    </row>
    <row r="206" spans="1:9" ht="15.9" x14ac:dyDescent="0.4">
      <c r="A206" s="4"/>
      <c r="B206" s="4"/>
      <c r="C206" s="4"/>
      <c r="D206" s="4"/>
      <c r="E206" s="4"/>
      <c r="F206" s="4"/>
      <c r="G206" s="4"/>
      <c r="H206" s="4"/>
      <c r="I206" s="4"/>
    </row>
    <row r="207" spans="1:9" ht="15.9" x14ac:dyDescent="0.4">
      <c r="A207" s="4"/>
      <c r="B207" s="4"/>
      <c r="C207" s="4"/>
      <c r="D207" s="4"/>
      <c r="E207" s="4"/>
      <c r="F207" s="4"/>
      <c r="G207" s="4"/>
      <c r="H207" s="4"/>
      <c r="I207" s="4"/>
    </row>
    <row r="208" spans="1:9" ht="15.9" x14ac:dyDescent="0.4">
      <c r="A208" s="4"/>
      <c r="B208" s="4"/>
      <c r="C208" s="4"/>
      <c r="D208" s="4"/>
      <c r="E208" s="4"/>
      <c r="F208" s="4"/>
      <c r="G208" s="4"/>
      <c r="H208" s="4"/>
      <c r="I208" s="4"/>
    </row>
    <row r="209" spans="1:9" ht="15.9" x14ac:dyDescent="0.4">
      <c r="A209" s="4"/>
      <c r="B209" s="4"/>
      <c r="C209" s="4"/>
      <c r="D209" s="4"/>
      <c r="E209" s="4"/>
      <c r="F209" s="4"/>
      <c r="G209" s="4"/>
      <c r="H209" s="4"/>
      <c r="I209" s="4"/>
    </row>
    <row r="210" spans="1:9" ht="15.9" x14ac:dyDescent="0.4">
      <c r="A210" s="4"/>
      <c r="B210" s="4"/>
      <c r="C210" s="4"/>
      <c r="D210" s="4"/>
      <c r="E210" s="4"/>
      <c r="F210" s="4"/>
      <c r="G210" s="4"/>
      <c r="H210" s="4"/>
      <c r="I210" s="4"/>
    </row>
    <row r="211" spans="1:9" ht="15.9" x14ac:dyDescent="0.4">
      <c r="A211" s="4"/>
      <c r="B211" s="4"/>
      <c r="C211" s="4"/>
      <c r="D211" s="4"/>
      <c r="E211" s="4"/>
      <c r="F211" s="4"/>
      <c r="G211" s="4"/>
      <c r="H211" s="4"/>
      <c r="I211" s="4"/>
    </row>
    <row r="212" spans="1:9" ht="15.9" x14ac:dyDescent="0.4">
      <c r="A212" s="4"/>
      <c r="B212" s="4"/>
      <c r="C212" s="4"/>
      <c r="D212" s="4"/>
      <c r="E212" s="4"/>
      <c r="F212" s="4"/>
      <c r="G212" s="4"/>
      <c r="H212" s="4"/>
      <c r="I212" s="4"/>
    </row>
    <row r="213" spans="1:9" ht="15.9" x14ac:dyDescent="0.4">
      <c r="A213" s="4"/>
      <c r="B213" s="4"/>
      <c r="C213" s="4"/>
      <c r="D213" s="4"/>
      <c r="E213" s="4"/>
      <c r="F213" s="4"/>
      <c r="G213" s="4"/>
      <c r="H213" s="4"/>
      <c r="I213" s="4"/>
    </row>
    <row r="214" spans="1:9" ht="15.9" x14ac:dyDescent="0.4">
      <c r="A214" s="4"/>
      <c r="B214" s="4"/>
      <c r="C214" s="4"/>
      <c r="D214" s="4"/>
      <c r="E214" s="4"/>
      <c r="F214" s="4"/>
      <c r="G214" s="4"/>
      <c r="H214" s="4"/>
      <c r="I214" s="4"/>
    </row>
    <row r="215" spans="1:9" ht="15.9" x14ac:dyDescent="0.4">
      <c r="A215" s="4"/>
      <c r="B215" s="4"/>
      <c r="C215" s="4"/>
      <c r="D215" s="4"/>
      <c r="E215" s="4"/>
      <c r="F215" s="4"/>
      <c r="G215" s="4"/>
      <c r="H215" s="4"/>
      <c r="I215" s="4"/>
    </row>
    <row r="216" spans="1:9" ht="15.9" x14ac:dyDescent="0.4">
      <c r="A216" s="4"/>
      <c r="B216" s="4"/>
      <c r="C216" s="4"/>
      <c r="D216" s="4"/>
      <c r="E216" s="4"/>
      <c r="F216" s="4"/>
      <c r="G216" s="4"/>
      <c r="H216" s="4"/>
      <c r="I216" s="4"/>
    </row>
    <row r="217" spans="1:9" ht="15.9" x14ac:dyDescent="0.4">
      <c r="A217" s="4"/>
      <c r="B217" s="4"/>
      <c r="C217" s="4"/>
      <c r="D217" s="4"/>
      <c r="E217" s="4"/>
      <c r="F217" s="4"/>
      <c r="G217" s="4"/>
      <c r="H217" s="4"/>
      <c r="I217" s="4"/>
    </row>
    <row r="218" spans="1:9" ht="15.9" x14ac:dyDescent="0.4">
      <c r="A218" s="4"/>
      <c r="B218" s="4"/>
      <c r="C218" s="4"/>
      <c r="D218" s="4"/>
      <c r="E218" s="4"/>
      <c r="F218" s="4"/>
      <c r="G218" s="4"/>
      <c r="H218" s="4"/>
      <c r="I218" s="4"/>
    </row>
    <row r="219" spans="1:9" ht="15.9" x14ac:dyDescent="0.4">
      <c r="A219" s="4"/>
      <c r="B219" s="4"/>
      <c r="C219" s="4"/>
      <c r="D219" s="4"/>
      <c r="E219" s="4"/>
      <c r="F219" s="4"/>
      <c r="G219" s="4"/>
      <c r="H219" s="4"/>
      <c r="I219" s="4"/>
    </row>
    <row r="220" spans="1:9" ht="15.9" x14ac:dyDescent="0.4">
      <c r="A220" s="4"/>
      <c r="B220" s="4"/>
      <c r="C220" s="4"/>
      <c r="D220" s="4"/>
      <c r="E220" s="4"/>
      <c r="F220" s="4"/>
      <c r="G220" s="4"/>
      <c r="H220" s="4"/>
      <c r="I220" s="4"/>
    </row>
    <row r="221" spans="1:9" ht="15.9" x14ac:dyDescent="0.4">
      <c r="A221" s="4"/>
      <c r="B221" s="4"/>
      <c r="C221" s="4"/>
      <c r="D221" s="4"/>
      <c r="E221" s="4"/>
      <c r="F221" s="4"/>
      <c r="G221" s="4"/>
      <c r="H221" s="4"/>
      <c r="I221" s="4"/>
    </row>
    <row r="222" spans="1:9" ht="15.9" x14ac:dyDescent="0.4">
      <c r="A222" s="4"/>
      <c r="B222" s="4"/>
      <c r="C222" s="4"/>
      <c r="D222" s="4"/>
      <c r="E222" s="4"/>
      <c r="F222" s="4"/>
      <c r="G222" s="4"/>
      <c r="H222" s="4"/>
      <c r="I222" s="4"/>
    </row>
    <row r="223" spans="1:9" ht="15.9" x14ac:dyDescent="0.4">
      <c r="A223" s="4"/>
      <c r="B223" s="4"/>
      <c r="C223" s="4"/>
      <c r="D223" s="4"/>
      <c r="E223" s="4"/>
      <c r="F223" s="4"/>
      <c r="G223" s="4"/>
      <c r="H223" s="4"/>
      <c r="I223" s="4"/>
    </row>
    <row r="224" spans="1:9" ht="15.9" x14ac:dyDescent="0.4">
      <c r="A224" s="4"/>
      <c r="B224" s="4"/>
      <c r="C224" s="4"/>
      <c r="D224" s="4"/>
      <c r="E224" s="4"/>
      <c r="F224" s="4"/>
      <c r="G224" s="4"/>
      <c r="H224" s="4"/>
      <c r="I224" s="4"/>
    </row>
    <row r="225" spans="1:9" ht="15.9" x14ac:dyDescent="0.4">
      <c r="A225" s="4"/>
      <c r="B225" s="4"/>
      <c r="C225" s="4"/>
      <c r="D225" s="4"/>
      <c r="E225" s="4"/>
      <c r="F225" s="4"/>
      <c r="G225" s="4"/>
      <c r="H225" s="4"/>
      <c r="I225" s="4"/>
    </row>
    <row r="226" spans="1:9" ht="15.9" x14ac:dyDescent="0.4">
      <c r="A226" s="4"/>
      <c r="B226" s="4"/>
      <c r="C226" s="4"/>
      <c r="D226" s="4"/>
      <c r="E226" s="4"/>
      <c r="F226" s="4"/>
      <c r="G226" s="4"/>
      <c r="H226" s="4"/>
      <c r="I226" s="4"/>
    </row>
    <row r="227" spans="1:9" ht="15.9" x14ac:dyDescent="0.4">
      <c r="A227" s="4"/>
      <c r="B227" s="4"/>
      <c r="C227" s="4"/>
      <c r="D227" s="4"/>
      <c r="E227" s="4"/>
      <c r="F227" s="4"/>
      <c r="G227" s="4"/>
      <c r="H227" s="4"/>
      <c r="I227" s="4"/>
    </row>
    <row r="228" spans="1:9" ht="15.9" x14ac:dyDescent="0.4">
      <c r="A228" s="4"/>
      <c r="B228" s="4"/>
      <c r="C228" s="4"/>
      <c r="D228" s="4"/>
      <c r="E228" s="4"/>
      <c r="F228" s="4"/>
      <c r="G228" s="4"/>
      <c r="H228" s="4"/>
      <c r="I228" s="4"/>
    </row>
    <row r="229" spans="1:9" ht="15.9" x14ac:dyDescent="0.4">
      <c r="A229" s="4"/>
      <c r="B229" s="4"/>
      <c r="C229" s="4"/>
      <c r="D229" s="4"/>
      <c r="E229" s="4"/>
      <c r="F229" s="4"/>
      <c r="G229" s="4"/>
      <c r="H229" s="4"/>
      <c r="I229" s="4"/>
    </row>
    <row r="230" spans="1:9" ht="15.9" x14ac:dyDescent="0.4">
      <c r="A230" s="4"/>
      <c r="B230" s="4"/>
      <c r="C230" s="4"/>
      <c r="D230" s="4"/>
      <c r="E230" s="4"/>
      <c r="F230" s="4"/>
      <c r="G230" s="4"/>
      <c r="H230" s="4"/>
      <c r="I230" s="4"/>
    </row>
    <row r="231" spans="1:9" ht="15.9" x14ac:dyDescent="0.4">
      <c r="A231" s="4"/>
      <c r="B231" s="4"/>
      <c r="C231" s="4"/>
      <c r="D231" s="4"/>
      <c r="E231" s="4"/>
      <c r="F231" s="4"/>
      <c r="G231" s="4"/>
      <c r="H231" s="4"/>
      <c r="I231" s="4"/>
    </row>
    <row r="232" spans="1:9" ht="15.9" x14ac:dyDescent="0.4">
      <c r="A232" s="4"/>
      <c r="B232" s="4"/>
      <c r="C232" s="4"/>
      <c r="D232" s="4"/>
      <c r="E232" s="4"/>
      <c r="F232" s="4"/>
      <c r="G232" s="4"/>
      <c r="H232" s="4"/>
      <c r="I232" s="4"/>
    </row>
    <row r="233" spans="1:9" ht="15.9" x14ac:dyDescent="0.4">
      <c r="A233" s="4"/>
      <c r="B233" s="4"/>
      <c r="C233" s="4"/>
      <c r="D233" s="4"/>
      <c r="E233" s="4"/>
      <c r="F233" s="4"/>
      <c r="G233" s="4"/>
      <c r="H233" s="4"/>
      <c r="I233" s="4"/>
    </row>
    <row r="234" spans="1:9" ht="15.9" x14ac:dyDescent="0.4">
      <c r="A234" s="4"/>
      <c r="B234" s="4"/>
      <c r="C234" s="4"/>
      <c r="D234" s="4"/>
      <c r="E234" s="4"/>
      <c r="F234" s="4"/>
      <c r="G234" s="4"/>
      <c r="H234" s="4"/>
      <c r="I234" s="4"/>
    </row>
    <row r="235" spans="1:9" ht="15.9" x14ac:dyDescent="0.4">
      <c r="A235" s="4"/>
      <c r="B235" s="4"/>
      <c r="C235" s="4"/>
      <c r="D235" s="4"/>
      <c r="E235" s="4"/>
      <c r="F235" s="4"/>
      <c r="G235" s="4"/>
      <c r="H235" s="4"/>
      <c r="I235" s="4"/>
    </row>
    <row r="236" spans="1:9" ht="15.9" x14ac:dyDescent="0.4">
      <c r="A236" s="4"/>
      <c r="B236" s="4"/>
      <c r="C236" s="4"/>
      <c r="D236" s="4"/>
      <c r="E236" s="4"/>
      <c r="F236" s="4"/>
      <c r="G236" s="4"/>
      <c r="H236" s="4"/>
      <c r="I236" s="4"/>
    </row>
    <row r="237" spans="1:9" ht="15.9" x14ac:dyDescent="0.4">
      <c r="A237" s="4"/>
      <c r="B237" s="4"/>
      <c r="C237" s="4"/>
      <c r="D237" s="4"/>
      <c r="E237" s="4"/>
      <c r="F237" s="4"/>
      <c r="G237" s="4"/>
      <c r="H237" s="4"/>
      <c r="I237" s="4"/>
    </row>
    <row r="238" spans="1:9" ht="15.9" x14ac:dyDescent="0.4">
      <c r="A238" s="4"/>
      <c r="B238" s="4"/>
      <c r="C238" s="4"/>
      <c r="D238" s="4"/>
      <c r="E238" s="4"/>
      <c r="F238" s="4"/>
      <c r="G238" s="4"/>
      <c r="H238" s="4"/>
      <c r="I238" s="4"/>
    </row>
    <row r="239" spans="1:9" ht="15.9" x14ac:dyDescent="0.4">
      <c r="A239" s="4"/>
      <c r="B239" s="4"/>
      <c r="C239" s="4"/>
      <c r="D239" s="4"/>
      <c r="E239" s="4"/>
      <c r="F239" s="4"/>
      <c r="G239" s="4"/>
      <c r="H239" s="4"/>
      <c r="I239" s="4"/>
    </row>
    <row r="240" spans="1:9" ht="15.9" x14ac:dyDescent="0.4">
      <c r="A240" s="4"/>
      <c r="B240" s="4"/>
      <c r="C240" s="4"/>
      <c r="D240" s="4"/>
      <c r="E240" s="4"/>
      <c r="F240" s="4"/>
      <c r="G240" s="4"/>
      <c r="H240" s="4"/>
      <c r="I240" s="4"/>
    </row>
    <row r="241" spans="1:9" ht="15.9" x14ac:dyDescent="0.4">
      <c r="A241" s="4"/>
      <c r="B241" s="4"/>
      <c r="C241" s="4"/>
      <c r="D241" s="4"/>
      <c r="E241" s="4"/>
      <c r="F241" s="4"/>
      <c r="G241" s="4"/>
      <c r="H241" s="4"/>
      <c r="I241" s="4"/>
    </row>
    <row r="242" spans="1:9" ht="15.9" x14ac:dyDescent="0.4">
      <c r="A242" s="4"/>
      <c r="B242" s="4"/>
      <c r="C242" s="4"/>
      <c r="D242" s="4"/>
      <c r="E242" s="4"/>
      <c r="F242" s="4"/>
      <c r="G242" s="4"/>
      <c r="H242" s="4"/>
      <c r="I242" s="4"/>
    </row>
    <row r="243" spans="1:9" ht="15.9" x14ac:dyDescent="0.4">
      <c r="A243" s="4"/>
      <c r="B243" s="4"/>
      <c r="C243" s="4"/>
      <c r="D243" s="4"/>
      <c r="E243" s="4"/>
      <c r="F243" s="4"/>
      <c r="G243" s="4"/>
      <c r="H243" s="4"/>
      <c r="I243" s="4"/>
    </row>
    <row r="244" spans="1:9" ht="15.9" x14ac:dyDescent="0.4">
      <c r="A244" s="4"/>
      <c r="B244" s="4"/>
      <c r="C244" s="4"/>
      <c r="D244" s="4"/>
      <c r="E244" s="4"/>
      <c r="F244" s="4"/>
      <c r="G244" s="4"/>
      <c r="H244" s="4"/>
      <c r="I244" s="4"/>
    </row>
    <row r="245" spans="1:9" ht="15.9" x14ac:dyDescent="0.4">
      <c r="A245" s="4"/>
      <c r="B245" s="4"/>
      <c r="C245" s="4"/>
      <c r="D245" s="4"/>
      <c r="E245" s="4"/>
      <c r="F245" s="4"/>
      <c r="G245" s="4"/>
      <c r="H245" s="4"/>
      <c r="I245" s="4"/>
    </row>
    <row r="246" spans="1:9" ht="15.9" x14ac:dyDescent="0.4">
      <c r="A246" s="4"/>
      <c r="B246" s="4"/>
      <c r="C246" s="4"/>
      <c r="D246" s="4"/>
      <c r="E246" s="4"/>
      <c r="F246" s="4"/>
      <c r="G246" s="4"/>
      <c r="H246" s="4"/>
      <c r="I246" s="4"/>
    </row>
    <row r="247" spans="1:9" ht="15.9" x14ac:dyDescent="0.4">
      <c r="A247" s="4"/>
      <c r="B247" s="4"/>
      <c r="C247" s="4"/>
      <c r="D247" s="4"/>
      <c r="E247" s="4"/>
      <c r="F247" s="4"/>
      <c r="G247" s="4"/>
      <c r="H247" s="4"/>
      <c r="I247" s="4"/>
    </row>
    <row r="248" spans="1:9" ht="15.9" x14ac:dyDescent="0.4">
      <c r="A248" s="4"/>
      <c r="B248" s="4"/>
      <c r="C248" s="4"/>
      <c r="D248" s="4"/>
      <c r="E248" s="4"/>
      <c r="F248" s="4"/>
      <c r="G248" s="4"/>
      <c r="H248" s="4"/>
      <c r="I248" s="4"/>
    </row>
    <row r="249" spans="1:9" ht="15.9" x14ac:dyDescent="0.4">
      <c r="A249" s="4"/>
      <c r="B249" s="4"/>
      <c r="C249" s="4"/>
      <c r="D249" s="4"/>
      <c r="E249" s="4"/>
      <c r="F249" s="4"/>
      <c r="G249" s="4"/>
      <c r="H249" s="4"/>
      <c r="I249" s="4"/>
    </row>
    <row r="250" spans="1:9" ht="15.9" x14ac:dyDescent="0.4">
      <c r="A250" s="4"/>
      <c r="B250" s="4"/>
      <c r="C250" s="4"/>
      <c r="D250" s="4"/>
      <c r="E250" s="4"/>
      <c r="F250" s="4"/>
      <c r="G250" s="4"/>
      <c r="H250" s="4"/>
      <c r="I250" s="4"/>
    </row>
    <row r="251" spans="1:9" ht="15.9" x14ac:dyDescent="0.4">
      <c r="A251" s="4"/>
      <c r="B251" s="4"/>
      <c r="C251" s="4"/>
      <c r="D251" s="4"/>
      <c r="E251" s="4"/>
      <c r="F251" s="4"/>
      <c r="G251" s="4"/>
      <c r="H251" s="4"/>
      <c r="I251" s="4"/>
    </row>
    <row r="252" spans="1:9" ht="15.9" x14ac:dyDescent="0.4">
      <c r="A252" s="4"/>
      <c r="B252" s="4"/>
      <c r="C252" s="4"/>
      <c r="D252" s="4"/>
      <c r="E252" s="4"/>
      <c r="F252" s="4"/>
      <c r="G252" s="4"/>
      <c r="H252" s="4"/>
      <c r="I252" s="4"/>
    </row>
    <row r="253" spans="1:9" ht="15.9" x14ac:dyDescent="0.4">
      <c r="A253" s="4"/>
      <c r="B253" s="4"/>
      <c r="C253" s="4"/>
      <c r="D253" s="4"/>
      <c r="E253" s="4"/>
      <c r="F253" s="4"/>
      <c r="G253" s="4"/>
      <c r="H253" s="4"/>
      <c r="I253" s="4"/>
    </row>
    <row r="254" spans="1:9" ht="15.9" x14ac:dyDescent="0.4">
      <c r="A254" s="4"/>
      <c r="B254" s="4"/>
      <c r="C254" s="4"/>
      <c r="D254" s="4"/>
      <c r="E254" s="4"/>
      <c r="F254" s="4"/>
      <c r="G254" s="4"/>
      <c r="H254" s="4"/>
      <c r="I254" s="4"/>
    </row>
    <row r="255" spans="1:9" ht="15.9" x14ac:dyDescent="0.4">
      <c r="A255" s="4"/>
      <c r="B255" s="4"/>
      <c r="C255" s="4"/>
      <c r="D255" s="4"/>
      <c r="E255" s="4"/>
      <c r="F255" s="4"/>
      <c r="G255" s="4"/>
      <c r="H255" s="4"/>
      <c r="I255" s="4"/>
    </row>
    <row r="256" spans="1:9" ht="15.9" x14ac:dyDescent="0.4">
      <c r="A256" s="4"/>
      <c r="B256" s="4"/>
      <c r="C256" s="4"/>
      <c r="D256" s="4"/>
      <c r="E256" s="4"/>
      <c r="F256" s="4"/>
      <c r="G256" s="4"/>
      <c r="H256" s="4"/>
      <c r="I256" s="4"/>
    </row>
    <row r="257" spans="1:9" ht="15.9" x14ac:dyDescent="0.4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5.9" x14ac:dyDescent="0.4">
      <c r="A258" s="4"/>
      <c r="B258" s="4"/>
      <c r="C258" s="4"/>
      <c r="D258" s="4"/>
      <c r="E258" s="4"/>
      <c r="F258" s="4"/>
      <c r="G258" s="4"/>
      <c r="H258" s="4"/>
      <c r="I258" s="4"/>
    </row>
    <row r="259" spans="1:9" ht="15.9" x14ac:dyDescent="0.4">
      <c r="A259" s="4"/>
      <c r="B259" s="4"/>
      <c r="C259" s="4"/>
      <c r="D259" s="4"/>
      <c r="E259" s="4"/>
      <c r="F259" s="4"/>
      <c r="G259" s="4"/>
      <c r="H259" s="4"/>
      <c r="I259" s="4"/>
    </row>
    <row r="260" spans="1:9" ht="15.9" x14ac:dyDescent="0.4">
      <c r="A260" s="4"/>
      <c r="B260" s="4"/>
      <c r="C260" s="4"/>
      <c r="D260" s="4"/>
      <c r="E260" s="4"/>
      <c r="F260" s="4"/>
      <c r="G260" s="4"/>
      <c r="H260" s="4"/>
      <c r="I260" s="4"/>
    </row>
    <row r="261" spans="1:9" ht="15.9" x14ac:dyDescent="0.4">
      <c r="A261" s="4"/>
      <c r="B261" s="4"/>
      <c r="C261" s="4"/>
      <c r="D261" s="4"/>
      <c r="E261" s="4"/>
      <c r="F261" s="4"/>
      <c r="G261" s="4"/>
      <c r="H261" s="4"/>
      <c r="I261" s="4"/>
    </row>
    <row r="262" spans="1:9" ht="15.9" x14ac:dyDescent="0.4">
      <c r="A262" s="4"/>
      <c r="B262" s="4"/>
      <c r="C262" s="4"/>
      <c r="D262" s="4"/>
      <c r="E262" s="4"/>
      <c r="F262" s="4"/>
      <c r="G262" s="4"/>
      <c r="H262" s="4"/>
      <c r="I262" s="4"/>
    </row>
    <row r="263" spans="1:9" ht="15.9" x14ac:dyDescent="0.4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5.9" x14ac:dyDescent="0.4">
      <c r="A264" s="4"/>
      <c r="B264" s="4"/>
      <c r="C264" s="4"/>
      <c r="D264" s="4"/>
      <c r="E264" s="4"/>
      <c r="F264" s="4"/>
      <c r="G264" s="4"/>
      <c r="H264" s="4"/>
      <c r="I264" s="4"/>
    </row>
    <row r="265" spans="1:9" ht="15.9" x14ac:dyDescent="0.4">
      <c r="A265" s="4"/>
      <c r="B265" s="4"/>
      <c r="C265" s="4"/>
      <c r="D265" s="4"/>
      <c r="E265" s="4"/>
      <c r="F265" s="4"/>
      <c r="G265" s="4"/>
      <c r="H265" s="4"/>
      <c r="I265" s="4"/>
    </row>
    <row r="266" spans="1:9" ht="15.9" x14ac:dyDescent="0.4">
      <c r="A266" s="4"/>
      <c r="B266" s="4"/>
      <c r="C266" s="4"/>
      <c r="D266" s="4"/>
      <c r="E266" s="4"/>
      <c r="F266" s="4"/>
      <c r="G266" s="4"/>
      <c r="H266" s="4"/>
      <c r="I266" s="4"/>
    </row>
    <row r="267" spans="1:9" ht="15.9" x14ac:dyDescent="0.4">
      <c r="A267" s="4"/>
      <c r="B267" s="4"/>
      <c r="C267" s="4"/>
      <c r="D267" s="4"/>
      <c r="E267" s="4"/>
      <c r="F267" s="4"/>
      <c r="G267" s="4"/>
      <c r="H267" s="4"/>
      <c r="I267" s="4"/>
    </row>
    <row r="268" spans="1:9" ht="15.9" x14ac:dyDescent="0.4">
      <c r="A268" s="4"/>
      <c r="B268" s="4"/>
      <c r="C268" s="4"/>
      <c r="D268" s="4"/>
      <c r="E268" s="4"/>
      <c r="F268" s="4"/>
      <c r="G268" s="4"/>
      <c r="H268" s="4"/>
      <c r="I268" s="4"/>
    </row>
    <row r="269" spans="1:9" ht="15.9" x14ac:dyDescent="0.4">
      <c r="A269" s="4"/>
      <c r="B269" s="4"/>
      <c r="C269" s="4"/>
      <c r="D269" s="4"/>
      <c r="E269" s="4"/>
      <c r="F269" s="4"/>
      <c r="G269" s="4"/>
      <c r="H269" s="4"/>
      <c r="I269" s="4"/>
    </row>
    <row r="270" spans="1:9" ht="15.9" x14ac:dyDescent="0.4">
      <c r="A270" s="4"/>
      <c r="B270" s="4"/>
      <c r="C270" s="4"/>
      <c r="D270" s="4"/>
      <c r="E270" s="4"/>
      <c r="F270" s="4"/>
      <c r="G270" s="4"/>
      <c r="H270" s="4"/>
      <c r="I270" s="4"/>
    </row>
    <row r="271" spans="1:9" ht="15.9" x14ac:dyDescent="0.4">
      <c r="A271" s="4"/>
      <c r="B271" s="4"/>
      <c r="C271" s="4"/>
      <c r="D271" s="4"/>
      <c r="E271" s="4"/>
      <c r="F271" s="4"/>
      <c r="G271" s="4"/>
      <c r="H271" s="4"/>
      <c r="I271" s="4"/>
    </row>
    <row r="272" spans="1:9" ht="15.9" x14ac:dyDescent="0.4">
      <c r="A272" s="4"/>
      <c r="B272" s="4"/>
      <c r="C272" s="4"/>
      <c r="D272" s="4"/>
      <c r="E272" s="4"/>
      <c r="F272" s="4"/>
      <c r="G272" s="4"/>
      <c r="H272" s="4"/>
      <c r="I272" s="4"/>
    </row>
    <row r="273" spans="1:9" ht="15.9" x14ac:dyDescent="0.4">
      <c r="A273" s="4"/>
      <c r="B273" s="4"/>
      <c r="C273" s="4"/>
      <c r="D273" s="4"/>
      <c r="E273" s="4"/>
      <c r="F273" s="4"/>
      <c r="G273" s="4"/>
      <c r="H273" s="4"/>
      <c r="I273" s="4"/>
    </row>
    <row r="274" spans="1:9" ht="15.9" x14ac:dyDescent="0.4">
      <c r="A274" s="4"/>
      <c r="B274" s="4"/>
      <c r="C274" s="4"/>
      <c r="D274" s="4"/>
      <c r="E274" s="4"/>
      <c r="F274" s="4"/>
      <c r="G274" s="4"/>
      <c r="H274" s="4"/>
      <c r="I274" s="4"/>
    </row>
    <row r="275" spans="1:9" ht="15.9" x14ac:dyDescent="0.4">
      <c r="A275" s="4"/>
      <c r="B275" s="4"/>
      <c r="C275" s="4"/>
      <c r="D275" s="4"/>
      <c r="E275" s="4"/>
      <c r="F275" s="4"/>
      <c r="G275" s="4"/>
      <c r="H275" s="4"/>
      <c r="I275" s="4"/>
    </row>
    <row r="276" spans="1:9" ht="15.9" x14ac:dyDescent="0.4">
      <c r="A276" s="4"/>
      <c r="B276" s="4"/>
      <c r="C276" s="4"/>
      <c r="D276" s="4"/>
      <c r="E276" s="4"/>
      <c r="F276" s="4"/>
      <c r="G276" s="4"/>
      <c r="H276" s="4"/>
      <c r="I276" s="4"/>
    </row>
    <row r="277" spans="1:9" ht="15.9" x14ac:dyDescent="0.4">
      <c r="A277" s="4"/>
      <c r="B277" s="4"/>
      <c r="C277" s="4"/>
      <c r="D277" s="4"/>
      <c r="E277" s="4"/>
      <c r="F277" s="4"/>
      <c r="G277" s="4"/>
      <c r="H277" s="4"/>
      <c r="I277" s="4"/>
    </row>
    <row r="278" spans="1:9" ht="15.9" x14ac:dyDescent="0.4">
      <c r="A278" s="4"/>
      <c r="B278" s="4"/>
      <c r="C278" s="4"/>
      <c r="D278" s="4"/>
      <c r="E278" s="4"/>
      <c r="F278" s="4"/>
      <c r="G278" s="4"/>
      <c r="H278" s="4"/>
      <c r="I278" s="4"/>
    </row>
    <row r="279" spans="1:9" ht="15.9" x14ac:dyDescent="0.4">
      <c r="A279" s="4"/>
      <c r="B279" s="4"/>
      <c r="C279" s="4"/>
      <c r="D279" s="4"/>
      <c r="E279" s="4"/>
      <c r="F279" s="4"/>
      <c r="G279" s="4"/>
      <c r="H279" s="4"/>
      <c r="I279" s="4"/>
    </row>
    <row r="280" spans="1:9" ht="15.9" x14ac:dyDescent="0.4">
      <c r="A280" s="4"/>
      <c r="B280" s="4"/>
      <c r="C280" s="4"/>
      <c r="D280" s="4"/>
      <c r="E280" s="4"/>
      <c r="F280" s="4"/>
      <c r="G280" s="4"/>
      <c r="H280" s="4"/>
      <c r="I280" s="4"/>
    </row>
    <row r="281" spans="1:9" ht="15.9" x14ac:dyDescent="0.4">
      <c r="A281" s="4"/>
      <c r="B281" s="4"/>
      <c r="C281" s="4"/>
      <c r="D281" s="4"/>
      <c r="E281" s="4"/>
      <c r="F281" s="4"/>
      <c r="G281" s="4"/>
      <c r="H281" s="4"/>
      <c r="I281" s="4"/>
    </row>
    <row r="282" spans="1:9" ht="15.9" x14ac:dyDescent="0.4">
      <c r="A282" s="4"/>
      <c r="B282" s="4"/>
      <c r="C282" s="4"/>
      <c r="D282" s="4"/>
      <c r="E282" s="4"/>
      <c r="F282" s="4"/>
      <c r="G282" s="4"/>
      <c r="H282" s="4"/>
      <c r="I282" s="4"/>
    </row>
    <row r="283" spans="1:9" ht="15.9" x14ac:dyDescent="0.4">
      <c r="A283" s="4"/>
      <c r="B283" s="4"/>
      <c r="C283" s="4"/>
      <c r="D283" s="4"/>
      <c r="E283" s="4"/>
      <c r="F283" s="4"/>
      <c r="G283" s="4"/>
      <c r="H283" s="4"/>
      <c r="I283" s="4"/>
    </row>
    <row r="284" spans="1:9" ht="15.9" x14ac:dyDescent="0.4">
      <c r="A284" s="4"/>
      <c r="B284" s="4"/>
      <c r="C284" s="4"/>
      <c r="D284" s="4"/>
      <c r="E284" s="4"/>
      <c r="F284" s="4"/>
      <c r="G284" s="4"/>
      <c r="H284" s="4"/>
      <c r="I284" s="4"/>
    </row>
    <row r="285" spans="1:9" ht="15.9" x14ac:dyDescent="0.4">
      <c r="A285" s="4"/>
      <c r="B285" s="4"/>
      <c r="C285" s="4"/>
      <c r="D285" s="4"/>
      <c r="E285" s="4"/>
      <c r="F285" s="4"/>
      <c r="G285" s="4"/>
      <c r="H285" s="4"/>
      <c r="I285" s="4"/>
    </row>
    <row r="286" spans="1:9" ht="15.9" x14ac:dyDescent="0.4">
      <c r="A286" s="4"/>
      <c r="B286" s="4"/>
      <c r="C286" s="4"/>
      <c r="D286" s="4"/>
      <c r="E286" s="4"/>
      <c r="F286" s="4"/>
      <c r="G286" s="4"/>
      <c r="H286" s="4"/>
      <c r="I286" s="4"/>
    </row>
    <row r="287" spans="1:9" ht="15.9" x14ac:dyDescent="0.4">
      <c r="A287" s="4"/>
      <c r="B287" s="4"/>
      <c r="C287" s="4"/>
      <c r="D287" s="4"/>
      <c r="E287" s="4"/>
      <c r="F287" s="4"/>
      <c r="G287" s="4"/>
      <c r="H287" s="4"/>
      <c r="I287" s="4"/>
    </row>
    <row r="288" spans="1:9" ht="15.9" x14ac:dyDescent="0.4">
      <c r="A288" s="4"/>
      <c r="B288" s="4"/>
      <c r="C288" s="4"/>
      <c r="D288" s="4"/>
      <c r="E288" s="4"/>
      <c r="F288" s="4"/>
      <c r="G288" s="4"/>
      <c r="H288" s="4"/>
      <c r="I288" s="4"/>
    </row>
    <row r="289" spans="1:9" ht="15.9" x14ac:dyDescent="0.4">
      <c r="A289" s="4"/>
      <c r="B289" s="4"/>
      <c r="C289" s="4"/>
      <c r="D289" s="4"/>
      <c r="E289" s="4"/>
      <c r="F289" s="4"/>
      <c r="G289" s="4"/>
      <c r="H289" s="4"/>
      <c r="I289" s="4"/>
    </row>
    <row r="290" spans="1:9" ht="15.9" x14ac:dyDescent="0.4">
      <c r="A290" s="4"/>
      <c r="B290" s="4"/>
      <c r="C290" s="4"/>
      <c r="D290" s="4"/>
      <c r="E290" s="4"/>
      <c r="F290" s="4"/>
      <c r="G290" s="4"/>
      <c r="H290" s="4"/>
      <c r="I290" s="4"/>
    </row>
    <row r="291" spans="1:9" ht="15.9" x14ac:dyDescent="0.4">
      <c r="A291" s="4"/>
      <c r="B291" s="4"/>
      <c r="C291" s="4"/>
      <c r="D291" s="4"/>
      <c r="E291" s="4"/>
      <c r="F291" s="4"/>
      <c r="G291" s="4"/>
      <c r="H291" s="4"/>
      <c r="I291" s="4"/>
    </row>
    <row r="292" spans="1:9" ht="15.9" x14ac:dyDescent="0.4">
      <c r="A292" s="4"/>
      <c r="B292" s="4"/>
      <c r="C292" s="4"/>
      <c r="D292" s="4"/>
      <c r="E292" s="4"/>
      <c r="F292" s="4"/>
      <c r="G292" s="4"/>
      <c r="H292" s="4"/>
      <c r="I292" s="4"/>
    </row>
    <row r="293" spans="1:9" ht="15.9" x14ac:dyDescent="0.4">
      <c r="A293" s="4"/>
      <c r="B293" s="4"/>
      <c r="C293" s="4"/>
      <c r="D293" s="4"/>
      <c r="E293" s="4"/>
      <c r="F293" s="4"/>
      <c r="G293" s="4"/>
      <c r="H293" s="4"/>
      <c r="I293" s="4"/>
    </row>
    <row r="294" spans="1:9" ht="15.9" x14ac:dyDescent="0.4">
      <c r="A294" s="4"/>
      <c r="B294" s="4"/>
      <c r="C294" s="4"/>
      <c r="D294" s="4"/>
      <c r="E294" s="4"/>
      <c r="F294" s="4"/>
      <c r="G294" s="4"/>
      <c r="H294" s="4"/>
      <c r="I294" s="4"/>
    </row>
    <row r="295" spans="1:9" ht="15.9" x14ac:dyDescent="0.4">
      <c r="A295" s="4"/>
      <c r="B295" s="4"/>
      <c r="C295" s="4"/>
      <c r="D295" s="4"/>
      <c r="E295" s="4"/>
      <c r="F295" s="4"/>
      <c r="G295" s="4"/>
      <c r="H295" s="4"/>
      <c r="I295" s="4"/>
    </row>
    <row r="296" spans="1:9" ht="15.9" x14ac:dyDescent="0.4">
      <c r="A296" s="4"/>
      <c r="B296" s="4"/>
      <c r="C296" s="4"/>
      <c r="D296" s="4"/>
      <c r="E296" s="4"/>
      <c r="F296" s="4"/>
      <c r="G296" s="4"/>
      <c r="H296" s="4"/>
      <c r="I296" s="4"/>
    </row>
    <row r="297" spans="1:9" ht="15.9" x14ac:dyDescent="0.4">
      <c r="A297" s="4"/>
      <c r="B297" s="4"/>
      <c r="C297" s="4"/>
      <c r="D297" s="4"/>
      <c r="E297" s="4"/>
      <c r="F297" s="4"/>
      <c r="G297" s="4"/>
      <c r="H297" s="4"/>
      <c r="I297" s="4"/>
    </row>
    <row r="298" spans="1:9" ht="15.9" x14ac:dyDescent="0.4">
      <c r="A298" s="4"/>
      <c r="B298" s="4"/>
      <c r="C298" s="4"/>
      <c r="D298" s="4"/>
      <c r="E298" s="4"/>
      <c r="F298" s="4"/>
      <c r="G298" s="4"/>
      <c r="H298" s="4"/>
      <c r="I298" s="4"/>
    </row>
    <row r="299" spans="1:9" ht="15.9" x14ac:dyDescent="0.4">
      <c r="A299" s="4"/>
      <c r="B299" s="4"/>
      <c r="C299" s="4"/>
      <c r="D299" s="4"/>
      <c r="E299" s="4"/>
      <c r="F299" s="4"/>
      <c r="G299" s="4"/>
      <c r="H299" s="4"/>
      <c r="I299" s="4"/>
    </row>
    <row r="300" spans="1:9" ht="15.9" x14ac:dyDescent="0.4">
      <c r="A300" s="4"/>
      <c r="B300" s="4"/>
      <c r="C300" s="4"/>
      <c r="D300" s="4"/>
      <c r="E300" s="4"/>
      <c r="F300" s="4"/>
      <c r="G300" s="4"/>
      <c r="H300" s="4"/>
      <c r="I300" s="4"/>
    </row>
    <row r="301" spans="1:9" ht="15.9" x14ac:dyDescent="0.4">
      <c r="A301" s="4"/>
      <c r="B301" s="4"/>
      <c r="C301" s="4"/>
      <c r="D301" s="4"/>
      <c r="E301" s="4"/>
      <c r="F301" s="4"/>
      <c r="G301" s="4"/>
      <c r="H301" s="4"/>
      <c r="I301" s="4"/>
    </row>
    <row r="302" spans="1:9" ht="15.9" x14ac:dyDescent="0.4">
      <c r="A302" s="4"/>
      <c r="B302" s="4"/>
      <c r="C302" s="4"/>
      <c r="D302" s="4"/>
      <c r="E302" s="4"/>
      <c r="F302" s="4"/>
      <c r="G302" s="4"/>
      <c r="H302" s="4"/>
      <c r="I302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F039C-4348-4247-8490-171373497F9E}">
  <dimension ref="A1:I304"/>
  <sheetViews>
    <sheetView topLeftCell="A87" workbookViewId="0">
      <selection activeCell="H108" sqref="H108"/>
    </sheetView>
  </sheetViews>
  <sheetFormatPr defaultRowHeight="14.6" x14ac:dyDescent="0.4"/>
  <cols>
    <col min="1" max="1" width="16.53515625" customWidth="1"/>
    <col min="2" max="2" width="41.53515625" customWidth="1"/>
    <col min="3" max="3" width="41" customWidth="1"/>
    <col min="4" max="4" width="14" customWidth="1"/>
    <col min="5" max="5" width="17.15234375" customWidth="1"/>
    <col min="6" max="6" width="26" customWidth="1"/>
    <col min="7" max="7" width="20.3828125" customWidth="1"/>
    <col min="8" max="8" width="13.53515625" customWidth="1"/>
    <col min="9" max="9" width="51" customWidth="1"/>
  </cols>
  <sheetData>
    <row r="1" spans="1:9" s="2" customFormat="1" ht="18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9" x14ac:dyDescent="0.4">
      <c r="A2" s="3">
        <v>45839</v>
      </c>
      <c r="B2" s="4" t="s">
        <v>1559</v>
      </c>
      <c r="C2" s="4" t="s">
        <v>1560</v>
      </c>
      <c r="D2" s="4">
        <v>870</v>
      </c>
      <c r="E2" s="4">
        <v>1</v>
      </c>
      <c r="F2" s="4" t="s">
        <v>35</v>
      </c>
      <c r="G2" s="4" t="s">
        <v>161</v>
      </c>
      <c r="H2" s="5">
        <v>241.16</v>
      </c>
      <c r="I2" s="4" t="s">
        <v>1561</v>
      </c>
    </row>
    <row r="3" spans="1:9" ht="15.9" x14ac:dyDescent="0.4">
      <c r="A3" s="3">
        <v>45839</v>
      </c>
      <c r="B3" s="4" t="s">
        <v>1366</v>
      </c>
      <c r="C3" s="4" t="s">
        <v>1562</v>
      </c>
      <c r="D3" s="4">
        <v>1660</v>
      </c>
      <c r="E3" s="4">
        <v>2</v>
      </c>
      <c r="F3" s="4" t="s">
        <v>35</v>
      </c>
      <c r="G3" s="4" t="s">
        <v>161</v>
      </c>
      <c r="H3" s="5">
        <v>414.84</v>
      </c>
      <c r="I3" s="4"/>
    </row>
    <row r="4" spans="1:9" ht="15.9" x14ac:dyDescent="0.4">
      <c r="A4" s="3">
        <v>45839</v>
      </c>
      <c r="B4" s="4" t="s">
        <v>775</v>
      </c>
      <c r="C4" s="4" t="s">
        <v>1563</v>
      </c>
      <c r="D4" s="4">
        <v>1425</v>
      </c>
      <c r="E4" s="4">
        <v>2</v>
      </c>
      <c r="F4" s="4" t="s">
        <v>35</v>
      </c>
      <c r="G4" s="4" t="s">
        <v>161</v>
      </c>
      <c r="H4" s="5">
        <v>338.25</v>
      </c>
      <c r="I4" s="4"/>
    </row>
    <row r="5" spans="1:9" ht="15.9" x14ac:dyDescent="0.4">
      <c r="A5" s="3">
        <v>45839</v>
      </c>
      <c r="B5" s="4" t="s">
        <v>168</v>
      </c>
      <c r="C5" s="4" t="s">
        <v>1564</v>
      </c>
      <c r="D5" s="4">
        <v>15580</v>
      </c>
      <c r="E5" s="4">
        <v>19</v>
      </c>
      <c r="F5" s="4" t="s">
        <v>756</v>
      </c>
      <c r="G5" s="4" t="s">
        <v>25</v>
      </c>
      <c r="H5" s="5">
        <v>2500</v>
      </c>
      <c r="I5" s="4"/>
    </row>
    <row r="6" spans="1:9" ht="15.9" x14ac:dyDescent="0.4">
      <c r="A6" s="3">
        <v>45839</v>
      </c>
      <c r="B6" s="4" t="s">
        <v>129</v>
      </c>
      <c r="C6" s="4" t="s">
        <v>1565</v>
      </c>
      <c r="D6" s="4">
        <v>4980</v>
      </c>
      <c r="E6" s="4">
        <v>6</v>
      </c>
      <c r="F6" s="4" t="s">
        <v>35</v>
      </c>
      <c r="G6" s="4" t="s">
        <v>161</v>
      </c>
      <c r="H6" s="5">
        <v>564.6</v>
      </c>
      <c r="I6" s="4"/>
    </row>
    <row r="7" spans="1:9" ht="15.9" x14ac:dyDescent="0.4">
      <c r="A7" s="3">
        <v>45839</v>
      </c>
      <c r="B7" s="4" t="s">
        <v>81</v>
      </c>
      <c r="C7" s="4" t="s">
        <v>1566</v>
      </c>
      <c r="D7" s="4">
        <v>820</v>
      </c>
      <c r="E7" s="4">
        <v>1</v>
      </c>
      <c r="F7" s="4" t="s">
        <v>35</v>
      </c>
      <c r="G7" s="4" t="s">
        <v>12</v>
      </c>
      <c r="H7" s="5"/>
      <c r="I7" s="4"/>
    </row>
    <row r="8" spans="1:9" ht="15.9" x14ac:dyDescent="0.4">
      <c r="A8" s="3">
        <v>45839</v>
      </c>
      <c r="B8" s="4" t="s">
        <v>20</v>
      </c>
      <c r="C8" s="4" t="s">
        <v>1567</v>
      </c>
      <c r="D8" s="4">
        <v>26430</v>
      </c>
      <c r="E8" s="4">
        <v>31</v>
      </c>
      <c r="F8" s="4" t="s">
        <v>1568</v>
      </c>
      <c r="G8" s="4" t="s">
        <v>19</v>
      </c>
      <c r="H8" s="5">
        <v>3300</v>
      </c>
      <c r="I8" s="4"/>
    </row>
    <row r="9" spans="1:9" ht="15.9" x14ac:dyDescent="0.4">
      <c r="A9" s="3">
        <v>45839</v>
      </c>
      <c r="B9" s="4" t="s">
        <v>52</v>
      </c>
      <c r="C9" s="4" t="s">
        <v>1569</v>
      </c>
      <c r="D9" s="4">
        <v>36651</v>
      </c>
      <c r="E9" s="4">
        <v>39</v>
      </c>
      <c r="F9" s="4" t="s">
        <v>756</v>
      </c>
      <c r="G9" s="4" t="s">
        <v>25</v>
      </c>
      <c r="H9" s="5">
        <v>2950</v>
      </c>
      <c r="I9" s="4"/>
    </row>
    <row r="10" spans="1:9" ht="15.9" x14ac:dyDescent="0.4">
      <c r="A10" s="3">
        <v>45839</v>
      </c>
      <c r="B10" s="4" t="s">
        <v>834</v>
      </c>
      <c r="C10" s="4" t="s">
        <v>1570</v>
      </c>
      <c r="D10" s="4">
        <v>16400</v>
      </c>
      <c r="E10" s="4">
        <v>20</v>
      </c>
      <c r="F10" s="4" t="s">
        <v>756</v>
      </c>
      <c r="G10" s="4" t="s">
        <v>1571</v>
      </c>
      <c r="H10" s="5">
        <v>3500</v>
      </c>
      <c r="I10" s="4"/>
    </row>
    <row r="11" spans="1:9" ht="15.9" x14ac:dyDescent="0.4">
      <c r="A11" s="3">
        <v>45840</v>
      </c>
      <c r="B11" s="4" t="s">
        <v>757</v>
      </c>
      <c r="C11" s="4" t="s">
        <v>1572</v>
      </c>
      <c r="D11" s="4">
        <v>32680</v>
      </c>
      <c r="E11" s="4">
        <v>40</v>
      </c>
      <c r="F11" s="4" t="s">
        <v>1568</v>
      </c>
      <c r="G11" s="4" t="s">
        <v>19</v>
      </c>
      <c r="H11" s="5">
        <v>5000</v>
      </c>
      <c r="I11" s="4"/>
    </row>
    <row r="12" spans="1:9" ht="15.9" x14ac:dyDescent="0.4">
      <c r="A12" s="3">
        <v>45840</v>
      </c>
      <c r="B12" s="4" t="s">
        <v>452</v>
      </c>
      <c r="C12" s="4" t="s">
        <v>1573</v>
      </c>
      <c r="D12" s="4">
        <v>35690</v>
      </c>
      <c r="E12" s="4">
        <v>43</v>
      </c>
      <c r="F12" s="4" t="s">
        <v>1568</v>
      </c>
      <c r="G12" s="4" t="s">
        <v>19</v>
      </c>
      <c r="H12" s="5">
        <v>5000</v>
      </c>
      <c r="I12" s="4"/>
    </row>
    <row r="13" spans="1:9" ht="15.9" x14ac:dyDescent="0.4">
      <c r="A13" s="3">
        <v>45840</v>
      </c>
      <c r="B13" s="4" t="s">
        <v>159</v>
      </c>
      <c r="C13" s="4" t="s">
        <v>1574</v>
      </c>
      <c r="D13" s="4">
        <v>7055</v>
      </c>
      <c r="E13" s="4">
        <v>9</v>
      </c>
      <c r="F13" s="4" t="s">
        <v>35</v>
      </c>
      <c r="G13" s="4" t="s">
        <v>161</v>
      </c>
      <c r="H13" s="5">
        <v>378.26</v>
      </c>
      <c r="I13" s="4"/>
    </row>
    <row r="14" spans="1:9" ht="15.9" x14ac:dyDescent="0.4">
      <c r="A14" s="3">
        <v>45840</v>
      </c>
      <c r="B14" s="4" t="s">
        <v>1575</v>
      </c>
      <c r="C14" s="4" t="s">
        <v>1576</v>
      </c>
      <c r="D14" s="4">
        <v>14110</v>
      </c>
      <c r="E14" s="4">
        <v>17</v>
      </c>
      <c r="F14" s="4" t="s">
        <v>756</v>
      </c>
      <c r="G14" s="4" t="s">
        <v>25</v>
      </c>
      <c r="H14" s="5">
        <v>1950</v>
      </c>
      <c r="I14" s="4"/>
    </row>
    <row r="15" spans="1:9" ht="15.9" x14ac:dyDescent="0.4">
      <c r="A15" s="3">
        <v>45840</v>
      </c>
      <c r="B15" s="4" t="s">
        <v>13</v>
      </c>
      <c r="C15" s="4" t="s">
        <v>1577</v>
      </c>
      <c r="D15" s="4">
        <v>7716</v>
      </c>
      <c r="E15" s="4">
        <v>12</v>
      </c>
      <c r="F15" s="4" t="s">
        <v>35</v>
      </c>
      <c r="G15" s="4" t="s">
        <v>1571</v>
      </c>
      <c r="H15" s="5">
        <v>511.23</v>
      </c>
      <c r="I15" s="4"/>
    </row>
    <row r="16" spans="1:9" ht="15.9" x14ac:dyDescent="0.4">
      <c r="A16" s="3">
        <v>45840</v>
      </c>
      <c r="B16" s="4" t="s">
        <v>781</v>
      </c>
      <c r="C16" s="4" t="s">
        <v>1578</v>
      </c>
      <c r="D16" s="4">
        <v>3950</v>
      </c>
      <c r="E16" s="4">
        <v>5</v>
      </c>
      <c r="F16" s="4" t="s">
        <v>35</v>
      </c>
      <c r="G16" s="4" t="s">
        <v>161</v>
      </c>
      <c r="H16" s="5">
        <v>1322.24</v>
      </c>
      <c r="I16" s="4"/>
    </row>
    <row r="17" spans="1:9" ht="15.9" x14ac:dyDescent="0.4">
      <c r="A17" s="3">
        <v>45840</v>
      </c>
      <c r="B17" s="4" t="s">
        <v>385</v>
      </c>
      <c r="C17" s="4" t="s">
        <v>1579</v>
      </c>
      <c r="D17" s="4">
        <v>1900</v>
      </c>
      <c r="E17" s="4" t="s">
        <v>1580</v>
      </c>
      <c r="F17" s="4" t="s">
        <v>35</v>
      </c>
      <c r="G17" s="4" t="s">
        <v>161</v>
      </c>
      <c r="H17" s="5">
        <v>442.9</v>
      </c>
      <c r="I17" s="4"/>
    </row>
    <row r="18" spans="1:9" ht="15.9" x14ac:dyDescent="0.4">
      <c r="A18" s="3">
        <v>45840</v>
      </c>
      <c r="B18" s="4" t="s">
        <v>168</v>
      </c>
      <c r="C18" s="4" t="s">
        <v>1581</v>
      </c>
      <c r="D18" s="4">
        <v>36080</v>
      </c>
      <c r="E18" s="4">
        <v>44</v>
      </c>
      <c r="F18" s="4" t="s">
        <v>756</v>
      </c>
      <c r="G18" s="4" t="s">
        <v>25</v>
      </c>
      <c r="H18" s="5">
        <v>1950</v>
      </c>
      <c r="I18" s="4"/>
    </row>
    <row r="19" spans="1:9" ht="15.9" x14ac:dyDescent="0.4">
      <c r="A19" s="3">
        <v>45841</v>
      </c>
      <c r="B19" s="4" t="s">
        <v>1582</v>
      </c>
      <c r="C19" s="4" t="s">
        <v>1583</v>
      </c>
      <c r="D19" s="4">
        <v>31200</v>
      </c>
      <c r="E19" s="4">
        <v>33</v>
      </c>
      <c r="F19" s="4" t="s">
        <v>756</v>
      </c>
      <c r="G19" s="4" t="s">
        <v>25</v>
      </c>
      <c r="H19" s="5">
        <v>4650</v>
      </c>
      <c r="I19" s="4"/>
    </row>
    <row r="20" spans="1:9" ht="15.9" x14ac:dyDescent="0.4">
      <c r="A20" s="3">
        <v>45845</v>
      </c>
      <c r="B20" s="4" t="s">
        <v>1584</v>
      </c>
      <c r="C20" s="4" t="s">
        <v>1585</v>
      </c>
      <c r="D20" s="4">
        <v>18040</v>
      </c>
      <c r="E20" s="4">
        <v>22</v>
      </c>
      <c r="F20" s="4" t="s">
        <v>1568</v>
      </c>
      <c r="G20" s="4" t="s">
        <v>19</v>
      </c>
      <c r="H20" s="5">
        <v>3075</v>
      </c>
      <c r="I20" s="4"/>
    </row>
    <row r="21" spans="1:9" ht="15.9" x14ac:dyDescent="0.4">
      <c r="A21" s="3">
        <v>45846</v>
      </c>
      <c r="B21" s="4" t="s">
        <v>66</v>
      </c>
      <c r="C21" s="4" t="s">
        <v>1586</v>
      </c>
      <c r="D21" s="4">
        <v>39360</v>
      </c>
      <c r="E21" s="4">
        <v>48</v>
      </c>
      <c r="F21" s="4" t="s">
        <v>756</v>
      </c>
      <c r="G21" s="4" t="s">
        <v>1571</v>
      </c>
      <c r="H21" s="5">
        <v>4200</v>
      </c>
      <c r="I21" s="4"/>
    </row>
    <row r="22" spans="1:9" ht="15.9" x14ac:dyDescent="0.4">
      <c r="A22" s="3">
        <v>45846</v>
      </c>
      <c r="B22" s="4" t="s">
        <v>52</v>
      </c>
      <c r="C22" s="4" t="s">
        <v>1587</v>
      </c>
      <c r="D22" s="4">
        <v>27390</v>
      </c>
      <c r="E22" s="4">
        <v>33</v>
      </c>
      <c r="F22" s="4" t="s">
        <v>756</v>
      </c>
      <c r="G22" s="4" t="s">
        <v>25</v>
      </c>
      <c r="H22" s="5">
        <v>2950</v>
      </c>
      <c r="I22" s="4"/>
    </row>
    <row r="23" spans="1:9" ht="15.9" x14ac:dyDescent="0.4">
      <c r="A23" s="3">
        <v>45846</v>
      </c>
      <c r="B23" s="4" t="s">
        <v>1588</v>
      </c>
      <c r="C23" s="4" t="s">
        <v>1589</v>
      </c>
      <c r="D23" s="4">
        <v>39984</v>
      </c>
      <c r="E23" s="4">
        <v>48</v>
      </c>
      <c r="F23" s="4" t="s">
        <v>1568</v>
      </c>
      <c r="G23" s="4" t="s">
        <v>19</v>
      </c>
      <c r="H23" s="5">
        <v>4125</v>
      </c>
      <c r="I23" s="4"/>
    </row>
    <row r="24" spans="1:9" ht="15.9" x14ac:dyDescent="0.4">
      <c r="A24" s="3">
        <v>45846</v>
      </c>
      <c r="B24" s="4" t="s">
        <v>52</v>
      </c>
      <c r="C24" s="4" t="s">
        <v>1590</v>
      </c>
      <c r="D24" s="4">
        <v>41800</v>
      </c>
      <c r="E24" s="4">
        <v>44</v>
      </c>
      <c r="F24" s="4" t="s">
        <v>756</v>
      </c>
      <c r="G24" s="4" t="s">
        <v>25</v>
      </c>
      <c r="H24" s="5">
        <v>2950</v>
      </c>
      <c r="I24" s="4"/>
    </row>
    <row r="25" spans="1:9" ht="15.9" x14ac:dyDescent="0.4">
      <c r="A25" s="3">
        <v>45846</v>
      </c>
      <c r="B25" s="4" t="s">
        <v>52</v>
      </c>
      <c r="C25" s="4" t="s">
        <v>1591</v>
      </c>
      <c r="D25" s="4">
        <v>41800</v>
      </c>
      <c r="E25" s="4">
        <v>44</v>
      </c>
      <c r="F25" s="4" t="s">
        <v>756</v>
      </c>
      <c r="G25" s="4" t="s">
        <v>25</v>
      </c>
      <c r="H25" s="5">
        <v>2950</v>
      </c>
      <c r="I25" s="4"/>
    </row>
    <row r="26" spans="1:9" ht="15.9" x14ac:dyDescent="0.4">
      <c r="A26" s="3">
        <v>45846</v>
      </c>
      <c r="B26" s="4" t="s">
        <v>1592</v>
      </c>
      <c r="C26" s="4" t="s">
        <v>1593</v>
      </c>
      <c r="D26" s="4">
        <v>35280</v>
      </c>
      <c r="E26" s="4">
        <v>48</v>
      </c>
      <c r="F26" s="4" t="s">
        <v>1568</v>
      </c>
      <c r="G26" s="4" t="s">
        <v>19</v>
      </c>
      <c r="H26" s="5">
        <v>1300</v>
      </c>
      <c r="I26" s="4"/>
    </row>
    <row r="27" spans="1:9" ht="15.9" x14ac:dyDescent="0.4">
      <c r="A27" s="3">
        <v>45846</v>
      </c>
      <c r="B27" s="4" t="s">
        <v>52</v>
      </c>
      <c r="C27" s="4" t="s">
        <v>1594</v>
      </c>
      <c r="D27" s="4">
        <v>41800</v>
      </c>
      <c r="E27" s="4">
        <v>44</v>
      </c>
      <c r="F27" s="4" t="s">
        <v>756</v>
      </c>
      <c r="G27" s="4" t="s">
        <v>25</v>
      </c>
      <c r="H27" s="5">
        <v>2950</v>
      </c>
      <c r="I27" s="4"/>
    </row>
    <row r="28" spans="1:9" ht="15.9" x14ac:dyDescent="0.4">
      <c r="A28" s="3">
        <v>45846</v>
      </c>
      <c r="B28" s="4" t="s">
        <v>183</v>
      </c>
      <c r="C28" s="4" t="s">
        <v>1601</v>
      </c>
      <c r="D28" s="4">
        <v>3952</v>
      </c>
      <c r="E28" s="4">
        <v>4</v>
      </c>
      <c r="F28" s="4" t="s">
        <v>35</v>
      </c>
      <c r="G28" s="4" t="s">
        <v>161</v>
      </c>
      <c r="H28" s="5">
        <v>460.47</v>
      </c>
      <c r="I28" s="4"/>
    </row>
    <row r="29" spans="1:9" ht="15.9" x14ac:dyDescent="0.4">
      <c r="A29" s="3">
        <v>45847</v>
      </c>
      <c r="B29" s="4" t="s">
        <v>1588</v>
      </c>
      <c r="C29" s="4" t="s">
        <v>1595</v>
      </c>
      <c r="D29" s="4">
        <v>39984</v>
      </c>
      <c r="E29" s="4">
        <v>48</v>
      </c>
      <c r="F29" s="4" t="s">
        <v>1568</v>
      </c>
      <c r="G29" s="4" t="s">
        <v>19</v>
      </c>
      <c r="H29" s="5">
        <v>4125</v>
      </c>
      <c r="I29" s="4"/>
    </row>
    <row r="30" spans="1:9" ht="15.9" x14ac:dyDescent="0.4">
      <c r="A30" s="3">
        <v>45847</v>
      </c>
      <c r="B30" s="4" t="s">
        <v>1596</v>
      </c>
      <c r="C30" s="4" t="s">
        <v>1597</v>
      </c>
      <c r="D30" s="4">
        <v>4750</v>
      </c>
      <c r="E30" s="4">
        <v>5</v>
      </c>
      <c r="F30" s="4" t="s">
        <v>35</v>
      </c>
      <c r="G30" s="4" t="s">
        <v>161</v>
      </c>
      <c r="H30" s="5">
        <v>1105.1199999999999</v>
      </c>
      <c r="I30" s="4"/>
    </row>
    <row r="31" spans="1:9" ht="15.9" x14ac:dyDescent="0.4">
      <c r="A31" s="3">
        <v>45847</v>
      </c>
      <c r="B31" s="4" t="s">
        <v>207</v>
      </c>
      <c r="C31" s="4" t="s">
        <v>1598</v>
      </c>
      <c r="D31" s="4">
        <v>35280</v>
      </c>
      <c r="E31" s="4">
        <v>48</v>
      </c>
      <c r="F31" s="4" t="s">
        <v>1568</v>
      </c>
      <c r="G31" s="4" t="s">
        <v>19</v>
      </c>
      <c r="H31" s="5">
        <v>1250</v>
      </c>
      <c r="I31" s="4"/>
    </row>
    <row r="32" spans="1:9" ht="15.9" x14ac:dyDescent="0.4">
      <c r="A32" s="3">
        <v>45847</v>
      </c>
      <c r="B32" s="4" t="s">
        <v>52</v>
      </c>
      <c r="C32" s="4" t="s">
        <v>1599</v>
      </c>
      <c r="D32" s="4">
        <v>41800</v>
      </c>
      <c r="E32" s="4">
        <v>44</v>
      </c>
      <c r="F32" s="4" t="s">
        <v>756</v>
      </c>
      <c r="G32" s="4" t="s">
        <v>25</v>
      </c>
      <c r="H32" s="5">
        <v>2950</v>
      </c>
      <c r="I32" s="4"/>
    </row>
    <row r="33" spans="1:9" ht="15.9" x14ac:dyDescent="0.4">
      <c r="A33" s="3">
        <v>45847</v>
      </c>
      <c r="B33" s="4" t="s">
        <v>52</v>
      </c>
      <c r="C33" s="4" t="s">
        <v>1600</v>
      </c>
      <c r="D33" s="4">
        <v>41800</v>
      </c>
      <c r="E33" s="4">
        <v>44</v>
      </c>
      <c r="F33" s="4" t="s">
        <v>756</v>
      </c>
      <c r="G33" s="4" t="s">
        <v>25</v>
      </c>
      <c r="H33" s="5">
        <v>2950</v>
      </c>
      <c r="I33" s="4"/>
    </row>
    <row r="34" spans="1:9" ht="15.9" x14ac:dyDescent="0.4">
      <c r="A34" s="3">
        <v>45847</v>
      </c>
      <c r="B34" s="4" t="s">
        <v>66</v>
      </c>
      <c r="C34" s="4" t="s">
        <v>1602</v>
      </c>
      <c r="D34" s="4">
        <v>38812</v>
      </c>
      <c r="E34" s="4">
        <v>44</v>
      </c>
      <c r="F34" s="4" t="s">
        <v>1568</v>
      </c>
      <c r="G34" s="4" t="s">
        <v>1571</v>
      </c>
      <c r="H34" s="5">
        <v>4200</v>
      </c>
      <c r="I34" s="4" t="s">
        <v>1603</v>
      </c>
    </row>
    <row r="35" spans="1:9" ht="15.9" x14ac:dyDescent="0.4">
      <c r="A35" s="3">
        <v>45847</v>
      </c>
      <c r="B35" s="4" t="s">
        <v>1588</v>
      </c>
      <c r="C35" s="4" t="s">
        <v>1604</v>
      </c>
      <c r="D35" s="4">
        <v>42240</v>
      </c>
      <c r="E35" s="4">
        <v>48</v>
      </c>
      <c r="F35" s="4" t="s">
        <v>1568</v>
      </c>
      <c r="G35" s="4" t="s">
        <v>19</v>
      </c>
      <c r="H35" s="5">
        <v>4125</v>
      </c>
      <c r="I35" s="4"/>
    </row>
    <row r="36" spans="1:9" ht="15.9" x14ac:dyDescent="0.4">
      <c r="A36" s="3">
        <v>45848</v>
      </c>
      <c r="B36" s="4" t="s">
        <v>1588</v>
      </c>
      <c r="C36" s="4" t="s">
        <v>1605</v>
      </c>
      <c r="D36" s="4">
        <v>39984</v>
      </c>
      <c r="E36" s="4">
        <v>48</v>
      </c>
      <c r="F36" s="4" t="s">
        <v>1568</v>
      </c>
      <c r="G36" s="4" t="s">
        <v>19</v>
      </c>
      <c r="H36" s="5">
        <v>4125</v>
      </c>
      <c r="I36" s="4"/>
    </row>
    <row r="37" spans="1:9" ht="15.9" x14ac:dyDescent="0.4">
      <c r="A37" s="3">
        <v>45848</v>
      </c>
      <c r="B37" s="4" t="s">
        <v>757</v>
      </c>
      <c r="C37" s="4" t="s">
        <v>1606</v>
      </c>
      <c r="D37" s="4">
        <v>32680</v>
      </c>
      <c r="E37" s="4">
        <v>40</v>
      </c>
      <c r="F37" s="4" t="s">
        <v>1568</v>
      </c>
      <c r="G37" s="4" t="s">
        <v>19</v>
      </c>
      <c r="H37" s="5">
        <v>5000</v>
      </c>
      <c r="I37" s="4"/>
    </row>
    <row r="38" spans="1:9" ht="15.9" x14ac:dyDescent="0.4">
      <c r="A38" s="3">
        <v>45848</v>
      </c>
      <c r="B38" s="4" t="s">
        <v>207</v>
      </c>
      <c r="C38" s="4" t="s">
        <v>1607</v>
      </c>
      <c r="D38" s="4">
        <v>1848</v>
      </c>
      <c r="E38" s="4">
        <v>2</v>
      </c>
      <c r="F38" s="4" t="s">
        <v>35</v>
      </c>
      <c r="G38" s="4" t="s">
        <v>161</v>
      </c>
      <c r="H38" s="5">
        <v>234.75</v>
      </c>
      <c r="I38" s="4"/>
    </row>
    <row r="39" spans="1:9" ht="15.9" x14ac:dyDescent="0.4">
      <c r="A39" s="3">
        <v>45848</v>
      </c>
      <c r="B39" s="4" t="s">
        <v>486</v>
      </c>
      <c r="C39" s="4" t="s">
        <v>1608</v>
      </c>
      <c r="D39" s="4">
        <v>35280</v>
      </c>
      <c r="E39" s="4">
        <v>48</v>
      </c>
      <c r="F39" s="4" t="s">
        <v>756</v>
      </c>
      <c r="G39" s="4" t="s">
        <v>25</v>
      </c>
      <c r="H39" s="5">
        <v>4850</v>
      </c>
      <c r="I39" s="4"/>
    </row>
    <row r="40" spans="1:9" ht="15.9" x14ac:dyDescent="0.4">
      <c r="A40" s="3">
        <v>45848</v>
      </c>
      <c r="B40" s="4" t="s">
        <v>1592</v>
      </c>
      <c r="C40" s="4" t="s">
        <v>1609</v>
      </c>
      <c r="D40" s="4">
        <v>26661</v>
      </c>
      <c r="E40" s="4">
        <v>35</v>
      </c>
      <c r="F40" s="4" t="s">
        <v>1568</v>
      </c>
      <c r="G40" s="4" t="s">
        <v>19</v>
      </c>
      <c r="H40" s="5">
        <v>1300</v>
      </c>
      <c r="I40" s="4"/>
    </row>
    <row r="41" spans="1:9" ht="15.9" x14ac:dyDescent="0.4">
      <c r="A41" s="3">
        <v>45848</v>
      </c>
      <c r="B41" s="4" t="s">
        <v>927</v>
      </c>
      <c r="C41" s="4" t="s">
        <v>1610</v>
      </c>
      <c r="D41" s="4">
        <v>27943</v>
      </c>
      <c r="E41" s="4">
        <v>32</v>
      </c>
      <c r="F41" s="4" t="s">
        <v>1568</v>
      </c>
      <c r="G41" s="4" t="s">
        <v>25</v>
      </c>
      <c r="H41" s="5">
        <v>3750</v>
      </c>
      <c r="I41" s="4"/>
    </row>
    <row r="42" spans="1:9" ht="15.9" x14ac:dyDescent="0.4">
      <c r="A42" s="3">
        <v>45848</v>
      </c>
      <c r="B42" s="4" t="s">
        <v>654</v>
      </c>
      <c r="C42" s="4" t="s">
        <v>1611</v>
      </c>
      <c r="D42" s="4">
        <v>13878</v>
      </c>
      <c r="E42" s="4">
        <v>18</v>
      </c>
      <c r="F42" s="4" t="s">
        <v>756</v>
      </c>
      <c r="G42" s="4" t="s">
        <v>1571</v>
      </c>
      <c r="H42" s="5">
        <v>2800</v>
      </c>
      <c r="I42" s="4"/>
    </row>
    <row r="43" spans="1:9" ht="15.9" x14ac:dyDescent="0.4">
      <c r="A43" s="3">
        <v>45848</v>
      </c>
      <c r="B43" s="4" t="s">
        <v>1588</v>
      </c>
      <c r="C43" s="4" t="s">
        <v>1612</v>
      </c>
      <c r="D43" s="4">
        <v>39984</v>
      </c>
      <c r="E43" s="4">
        <v>48</v>
      </c>
      <c r="F43" s="4" t="s">
        <v>1568</v>
      </c>
      <c r="G43" s="4" t="s">
        <v>19</v>
      </c>
      <c r="H43" s="5">
        <v>4125</v>
      </c>
      <c r="I43" s="4"/>
    </row>
    <row r="44" spans="1:9" ht="15.9" x14ac:dyDescent="0.4">
      <c r="A44" s="3">
        <v>45849</v>
      </c>
      <c r="B44" s="4" t="s">
        <v>1592</v>
      </c>
      <c r="C44" s="4" t="s">
        <v>1613</v>
      </c>
      <c r="D44" s="4">
        <v>35280</v>
      </c>
      <c r="E44" s="4">
        <v>48</v>
      </c>
      <c r="F44" s="4" t="s">
        <v>1568</v>
      </c>
      <c r="G44" s="4" t="s">
        <v>19</v>
      </c>
      <c r="H44" s="5">
        <v>1300</v>
      </c>
      <c r="I44" s="4"/>
    </row>
    <row r="45" spans="1:9" ht="15.9" x14ac:dyDescent="0.4">
      <c r="A45" s="3">
        <v>45849</v>
      </c>
      <c r="B45" s="4" t="s">
        <v>1588</v>
      </c>
      <c r="C45" s="4" t="s">
        <v>1614</v>
      </c>
      <c r="D45" s="4">
        <v>41280</v>
      </c>
      <c r="E45" s="4">
        <v>48</v>
      </c>
      <c r="F45" s="4" t="s">
        <v>1568</v>
      </c>
      <c r="G45" s="4" t="s">
        <v>19</v>
      </c>
      <c r="H45" s="5">
        <v>4125</v>
      </c>
      <c r="I45" s="4"/>
    </row>
    <row r="46" spans="1:9" ht="15.9" x14ac:dyDescent="0.4">
      <c r="A46" s="3">
        <v>45849</v>
      </c>
      <c r="B46" s="4" t="s">
        <v>1584</v>
      </c>
      <c r="C46" s="4" t="s">
        <v>1615</v>
      </c>
      <c r="D46" s="4">
        <v>33060</v>
      </c>
      <c r="E46" s="4">
        <v>38</v>
      </c>
      <c r="F46" s="4" t="s">
        <v>1568</v>
      </c>
      <c r="G46" s="4" t="s">
        <v>19</v>
      </c>
      <c r="H46" s="5">
        <v>4800</v>
      </c>
      <c r="I46" s="4"/>
    </row>
    <row r="47" spans="1:9" ht="15.9" x14ac:dyDescent="0.4">
      <c r="A47" s="3">
        <v>45849</v>
      </c>
      <c r="B47" s="4" t="s">
        <v>1588</v>
      </c>
      <c r="C47" s="4" t="s">
        <v>1616</v>
      </c>
      <c r="D47" s="4">
        <v>42240</v>
      </c>
      <c r="E47" s="4">
        <v>48</v>
      </c>
      <c r="F47" s="4" t="s">
        <v>1568</v>
      </c>
      <c r="G47" s="4" t="s">
        <v>19</v>
      </c>
      <c r="H47" s="5">
        <v>4125</v>
      </c>
      <c r="I47" s="4"/>
    </row>
    <row r="48" spans="1:9" ht="15.9" x14ac:dyDescent="0.4">
      <c r="A48" s="3">
        <v>45849</v>
      </c>
      <c r="B48" s="4" t="s">
        <v>1588</v>
      </c>
      <c r="C48" s="4" t="s">
        <v>1617</v>
      </c>
      <c r="D48" s="4">
        <v>41280</v>
      </c>
      <c r="E48" s="4">
        <v>48</v>
      </c>
      <c r="F48" s="4" t="s">
        <v>1568</v>
      </c>
      <c r="G48" s="4" t="s">
        <v>19</v>
      </c>
      <c r="H48" s="5">
        <v>4125</v>
      </c>
      <c r="I48" s="4"/>
    </row>
    <row r="49" spans="1:9" ht="15.9" x14ac:dyDescent="0.4">
      <c r="A49" s="3">
        <v>45852</v>
      </c>
      <c r="B49" s="4" t="s">
        <v>52</v>
      </c>
      <c r="C49" s="4" t="s">
        <v>1618</v>
      </c>
      <c r="D49" s="4">
        <v>33621</v>
      </c>
      <c r="E49" s="4">
        <v>39</v>
      </c>
      <c r="F49" s="4" t="s">
        <v>756</v>
      </c>
      <c r="G49" s="4" t="s">
        <v>25</v>
      </c>
      <c r="H49" s="5">
        <v>2950</v>
      </c>
      <c r="I49" s="4"/>
    </row>
    <row r="50" spans="1:9" ht="15.9" x14ac:dyDescent="0.4">
      <c r="A50" s="3">
        <v>45852</v>
      </c>
      <c r="B50" s="4" t="s">
        <v>52</v>
      </c>
      <c r="C50" s="4" t="s">
        <v>1619</v>
      </c>
      <c r="D50" s="4">
        <v>37830</v>
      </c>
      <c r="E50" s="4">
        <v>40</v>
      </c>
      <c r="F50" s="4" t="s">
        <v>756</v>
      </c>
      <c r="G50" s="4" t="s">
        <v>25</v>
      </c>
      <c r="H50" s="5">
        <v>2950</v>
      </c>
      <c r="I50" s="4"/>
    </row>
    <row r="51" spans="1:9" ht="15.9" x14ac:dyDescent="0.4">
      <c r="A51" s="3">
        <v>45852</v>
      </c>
      <c r="B51" s="4" t="s">
        <v>1584</v>
      </c>
      <c r="C51" s="4" t="s">
        <v>1620</v>
      </c>
      <c r="D51" s="4">
        <v>41760</v>
      </c>
      <c r="E51" s="4">
        <v>48</v>
      </c>
      <c r="F51" s="4" t="s">
        <v>1568</v>
      </c>
      <c r="G51" s="4" t="s">
        <v>19</v>
      </c>
      <c r="H51" s="5">
        <v>5200</v>
      </c>
      <c r="I51" s="4"/>
    </row>
    <row r="52" spans="1:9" ht="15.9" x14ac:dyDescent="0.4">
      <c r="A52" s="3">
        <v>45852</v>
      </c>
      <c r="B52" s="4" t="s">
        <v>1588</v>
      </c>
      <c r="C52" s="4" t="s">
        <v>1621</v>
      </c>
      <c r="D52" s="4">
        <v>41280</v>
      </c>
      <c r="E52" s="4">
        <v>48</v>
      </c>
      <c r="F52" s="4" t="s">
        <v>1568</v>
      </c>
      <c r="G52" s="4" t="s">
        <v>19</v>
      </c>
      <c r="H52" s="5">
        <v>4125</v>
      </c>
      <c r="I52" s="4"/>
    </row>
    <row r="53" spans="1:9" ht="15.9" x14ac:dyDescent="0.4">
      <c r="A53" s="3">
        <v>45852</v>
      </c>
      <c r="B53" s="4" t="s">
        <v>1588</v>
      </c>
      <c r="C53" s="4" t="s">
        <v>1622</v>
      </c>
      <c r="D53" s="4">
        <v>42240</v>
      </c>
      <c r="E53" s="4">
        <v>48</v>
      </c>
      <c r="F53" s="4" t="s">
        <v>1568</v>
      </c>
      <c r="G53" s="4" t="s">
        <v>19</v>
      </c>
      <c r="H53" s="5">
        <v>4125</v>
      </c>
      <c r="I53" s="4"/>
    </row>
    <row r="54" spans="1:9" ht="15.9" x14ac:dyDescent="0.4">
      <c r="A54" s="3">
        <v>45852</v>
      </c>
      <c r="B54" s="4" t="s">
        <v>1588</v>
      </c>
      <c r="C54" s="4" t="s">
        <v>1623</v>
      </c>
      <c r="D54" s="4">
        <v>42000</v>
      </c>
      <c r="E54" s="4">
        <v>48</v>
      </c>
      <c r="F54" s="4" t="s">
        <v>1568</v>
      </c>
      <c r="G54" s="4" t="s">
        <v>19</v>
      </c>
      <c r="H54" s="5">
        <v>4125</v>
      </c>
      <c r="I54" s="4"/>
    </row>
    <row r="55" spans="1:9" ht="15.9" x14ac:dyDescent="0.4">
      <c r="A55" s="3">
        <v>45852</v>
      </c>
      <c r="B55" s="4" t="s">
        <v>1588</v>
      </c>
      <c r="C55" s="4" t="s">
        <v>1624</v>
      </c>
      <c r="D55" s="4">
        <v>42240</v>
      </c>
      <c r="E55" s="4">
        <v>48</v>
      </c>
      <c r="F55" s="4" t="s">
        <v>1568</v>
      </c>
      <c r="G55" s="4" t="s">
        <v>19</v>
      </c>
      <c r="H55" s="5">
        <v>4125</v>
      </c>
      <c r="I55" s="4"/>
    </row>
    <row r="56" spans="1:9" ht="15.9" x14ac:dyDescent="0.4">
      <c r="A56" s="3">
        <v>45853</v>
      </c>
      <c r="B56" s="4" t="s">
        <v>1588</v>
      </c>
      <c r="C56" s="4" t="s">
        <v>1625</v>
      </c>
      <c r="D56" s="4">
        <v>15480</v>
      </c>
      <c r="E56" s="4">
        <v>18</v>
      </c>
      <c r="F56" s="4" t="s">
        <v>1568</v>
      </c>
      <c r="G56" s="4" t="s">
        <v>19</v>
      </c>
      <c r="H56" s="5">
        <v>2380</v>
      </c>
      <c r="I56" s="4" t="s">
        <v>1626</v>
      </c>
    </row>
    <row r="57" spans="1:9" ht="15.9" x14ac:dyDescent="0.4">
      <c r="A57" s="3">
        <v>45853</v>
      </c>
      <c r="B57" s="4" t="s">
        <v>268</v>
      </c>
      <c r="C57" s="4" t="s">
        <v>1627</v>
      </c>
      <c r="D57" s="4">
        <v>37008</v>
      </c>
      <c r="E57" s="4">
        <v>48</v>
      </c>
      <c r="F57" s="4" t="s">
        <v>756</v>
      </c>
      <c r="G57" s="4" t="s">
        <v>25</v>
      </c>
      <c r="H57" s="5">
        <v>2550</v>
      </c>
      <c r="I57" s="4"/>
    </row>
    <row r="58" spans="1:9" ht="15.9" x14ac:dyDescent="0.4">
      <c r="A58" s="3">
        <v>45853</v>
      </c>
      <c r="B58" s="4" t="s">
        <v>268</v>
      </c>
      <c r="C58" s="4" t="s">
        <v>1628</v>
      </c>
      <c r="D58" s="4">
        <v>42240</v>
      </c>
      <c r="E58" s="4">
        <v>48</v>
      </c>
      <c r="F58" s="4" t="s">
        <v>756</v>
      </c>
      <c r="G58" s="4" t="s">
        <v>25</v>
      </c>
      <c r="H58" s="5">
        <v>2550</v>
      </c>
      <c r="I58" s="4"/>
    </row>
    <row r="59" spans="1:9" ht="15.9" x14ac:dyDescent="0.4">
      <c r="A59" s="3">
        <v>45853</v>
      </c>
      <c r="B59" s="4" t="s">
        <v>1629</v>
      </c>
      <c r="C59" s="4" t="s">
        <v>1630</v>
      </c>
      <c r="D59" s="4">
        <v>41760</v>
      </c>
      <c r="E59" s="4">
        <v>48</v>
      </c>
      <c r="F59" s="4" t="s">
        <v>756</v>
      </c>
      <c r="G59" s="4" t="s">
        <v>25</v>
      </c>
      <c r="H59" s="5">
        <v>1600</v>
      </c>
      <c r="I59" s="4"/>
    </row>
    <row r="60" spans="1:9" ht="15.9" x14ac:dyDescent="0.4">
      <c r="A60" s="3">
        <v>45853</v>
      </c>
      <c r="B60" s="4" t="s">
        <v>1629</v>
      </c>
      <c r="C60" s="4" t="s">
        <v>1631</v>
      </c>
      <c r="D60" s="4">
        <v>41760</v>
      </c>
      <c r="E60" s="4">
        <v>48</v>
      </c>
      <c r="F60" s="4" t="s">
        <v>756</v>
      </c>
      <c r="G60" s="4" t="s">
        <v>25</v>
      </c>
      <c r="H60" s="5">
        <v>1600</v>
      </c>
      <c r="I60" s="4"/>
    </row>
    <row r="61" spans="1:9" ht="15.9" x14ac:dyDescent="0.4">
      <c r="A61" s="3">
        <v>45853</v>
      </c>
      <c r="B61" s="4" t="s">
        <v>927</v>
      </c>
      <c r="C61" s="4" t="s">
        <v>1632</v>
      </c>
      <c r="D61" s="4">
        <v>3973</v>
      </c>
      <c r="E61" s="4">
        <v>5</v>
      </c>
      <c r="F61" s="4" t="s">
        <v>35</v>
      </c>
      <c r="G61" s="4" t="s">
        <v>161</v>
      </c>
      <c r="H61" s="5">
        <v>736.67</v>
      </c>
      <c r="I61" s="4"/>
    </row>
    <row r="62" spans="1:9" ht="15.9" x14ac:dyDescent="0.4">
      <c r="A62" s="3">
        <v>45853</v>
      </c>
      <c r="B62" s="4" t="s">
        <v>462</v>
      </c>
      <c r="C62" s="4" t="s">
        <v>1633</v>
      </c>
      <c r="D62" s="4">
        <v>7796</v>
      </c>
      <c r="E62" s="4">
        <v>10</v>
      </c>
      <c r="F62" s="4" t="s">
        <v>35</v>
      </c>
      <c r="G62" s="4" t="s">
        <v>161</v>
      </c>
      <c r="H62" s="5">
        <v>1316.21</v>
      </c>
      <c r="I62" s="4"/>
    </row>
    <row r="63" spans="1:9" ht="15.9" x14ac:dyDescent="0.4">
      <c r="A63" s="3">
        <v>45853</v>
      </c>
      <c r="B63" s="4" t="s">
        <v>1634</v>
      </c>
      <c r="C63" s="4" t="s">
        <v>1635</v>
      </c>
      <c r="D63" s="4">
        <v>1542</v>
      </c>
      <c r="E63" s="4">
        <v>2</v>
      </c>
      <c r="F63" s="4" t="s">
        <v>35</v>
      </c>
      <c r="G63" s="4" t="s">
        <v>161</v>
      </c>
      <c r="H63" s="5">
        <v>662.4</v>
      </c>
      <c r="I63" s="4"/>
    </row>
    <row r="64" spans="1:9" ht="15.9" x14ac:dyDescent="0.4">
      <c r="A64" s="3">
        <v>45853</v>
      </c>
      <c r="B64" s="4" t="s">
        <v>268</v>
      </c>
      <c r="C64" s="4" t="s">
        <v>1636</v>
      </c>
      <c r="D64" s="4">
        <v>31276</v>
      </c>
      <c r="E64" s="4">
        <v>40</v>
      </c>
      <c r="F64" s="4" t="s">
        <v>756</v>
      </c>
      <c r="G64" s="4" t="s">
        <v>25</v>
      </c>
      <c r="H64" s="5">
        <v>2550</v>
      </c>
      <c r="I64" s="4"/>
    </row>
    <row r="65" spans="1:9" ht="15.9" x14ac:dyDescent="0.4">
      <c r="A65" s="3">
        <v>45853</v>
      </c>
      <c r="B65" s="4" t="s">
        <v>268</v>
      </c>
      <c r="C65" s="4" t="s">
        <v>1637</v>
      </c>
      <c r="D65" s="4">
        <v>42240</v>
      </c>
      <c r="E65" s="4">
        <v>48</v>
      </c>
      <c r="F65" s="4" t="s">
        <v>756</v>
      </c>
      <c r="G65" s="4" t="s">
        <v>25</v>
      </c>
      <c r="H65" s="5">
        <v>2550</v>
      </c>
      <c r="I65" s="4"/>
    </row>
    <row r="66" spans="1:9" ht="15.9" x14ac:dyDescent="0.4">
      <c r="A66" s="3">
        <v>45853</v>
      </c>
      <c r="B66" s="4" t="s">
        <v>1629</v>
      </c>
      <c r="C66" s="4" t="s">
        <v>1638</v>
      </c>
      <c r="D66" s="4">
        <v>41760</v>
      </c>
      <c r="E66" s="4">
        <v>48</v>
      </c>
      <c r="F66" s="4" t="s">
        <v>756</v>
      </c>
      <c r="G66" s="4" t="s">
        <v>25</v>
      </c>
      <c r="H66" s="5">
        <v>1600</v>
      </c>
      <c r="I66" s="4"/>
    </row>
    <row r="67" spans="1:9" ht="15.9" x14ac:dyDescent="0.4">
      <c r="A67" s="3">
        <v>45853</v>
      </c>
      <c r="B67" s="4" t="s">
        <v>875</v>
      </c>
      <c r="C67" s="4" t="s">
        <v>907</v>
      </c>
      <c r="D67" s="4">
        <v>39216</v>
      </c>
      <c r="E67" s="4">
        <v>48</v>
      </c>
      <c r="F67" s="4" t="s">
        <v>1568</v>
      </c>
      <c r="G67" s="4" t="s">
        <v>19</v>
      </c>
      <c r="H67" s="5">
        <v>2400</v>
      </c>
      <c r="I67" s="4"/>
    </row>
    <row r="68" spans="1:9" ht="15.9" x14ac:dyDescent="0.4">
      <c r="A68" s="3">
        <v>45853</v>
      </c>
      <c r="B68" s="4" t="s">
        <v>875</v>
      </c>
      <c r="C68" s="4" t="s">
        <v>907</v>
      </c>
      <c r="D68" s="4">
        <v>39216</v>
      </c>
      <c r="E68" s="4">
        <v>48</v>
      </c>
      <c r="F68" s="4" t="s">
        <v>1568</v>
      </c>
      <c r="G68" s="4" t="s">
        <v>19</v>
      </c>
      <c r="H68" s="5">
        <v>2400</v>
      </c>
      <c r="I68" s="4"/>
    </row>
    <row r="69" spans="1:9" ht="15.9" x14ac:dyDescent="0.4">
      <c r="A69" s="3">
        <v>45853</v>
      </c>
      <c r="B69" s="4" t="s">
        <v>66</v>
      </c>
      <c r="C69" s="4" t="s">
        <v>1639</v>
      </c>
      <c r="D69" s="4">
        <v>17220</v>
      </c>
      <c r="E69" s="4">
        <v>21</v>
      </c>
      <c r="F69" s="4" t="s">
        <v>1568</v>
      </c>
      <c r="G69" s="4" t="s">
        <v>1571</v>
      </c>
      <c r="H69" s="5">
        <v>4200</v>
      </c>
      <c r="I69" s="4"/>
    </row>
    <row r="70" spans="1:9" ht="15.9" x14ac:dyDescent="0.4">
      <c r="A70" s="3">
        <v>45853</v>
      </c>
      <c r="B70" s="4" t="s">
        <v>1640</v>
      </c>
      <c r="C70" s="4" t="s">
        <v>1641</v>
      </c>
      <c r="D70" s="4">
        <v>13120</v>
      </c>
      <c r="E70" s="4">
        <v>15</v>
      </c>
      <c r="F70" s="4" t="s">
        <v>35</v>
      </c>
      <c r="G70" s="4" t="s">
        <v>1571</v>
      </c>
      <c r="H70" s="5">
        <v>680.51</v>
      </c>
      <c r="I70" s="4"/>
    </row>
    <row r="71" spans="1:9" ht="15.9" x14ac:dyDescent="0.4">
      <c r="A71" s="3">
        <v>45853</v>
      </c>
      <c r="B71" s="4" t="s">
        <v>1191</v>
      </c>
      <c r="C71" s="4" t="s">
        <v>1642</v>
      </c>
      <c r="D71" s="4">
        <v>3973</v>
      </c>
      <c r="E71" s="4">
        <v>5</v>
      </c>
      <c r="F71" s="4" t="s">
        <v>35</v>
      </c>
      <c r="G71" s="4" t="s">
        <v>161</v>
      </c>
      <c r="H71" s="5">
        <v>969.39</v>
      </c>
      <c r="I71" s="4"/>
    </row>
    <row r="72" spans="1:9" ht="15.9" x14ac:dyDescent="0.4">
      <c r="A72" s="3">
        <v>45853</v>
      </c>
      <c r="B72" s="4" t="s">
        <v>1085</v>
      </c>
      <c r="C72" s="4" t="s">
        <v>1643</v>
      </c>
      <c r="D72" s="4">
        <v>920</v>
      </c>
      <c r="E72" s="4">
        <v>1</v>
      </c>
      <c r="F72" s="4" t="s">
        <v>35</v>
      </c>
      <c r="G72" s="4" t="s">
        <v>161</v>
      </c>
      <c r="H72" s="5">
        <v>331.39</v>
      </c>
      <c r="I72" s="4"/>
    </row>
    <row r="73" spans="1:9" ht="15.9" x14ac:dyDescent="0.4">
      <c r="A73" s="3">
        <v>45853</v>
      </c>
      <c r="B73" s="4" t="s">
        <v>1629</v>
      </c>
      <c r="C73" s="4" t="s">
        <v>1644</v>
      </c>
      <c r="D73" s="4">
        <v>41760</v>
      </c>
      <c r="E73" s="4">
        <v>48</v>
      </c>
      <c r="F73" s="4" t="s">
        <v>756</v>
      </c>
      <c r="G73" s="4" t="s">
        <v>25</v>
      </c>
      <c r="H73" s="5">
        <v>1600</v>
      </c>
      <c r="I73" s="4"/>
    </row>
    <row r="74" spans="1:9" ht="15.9" x14ac:dyDescent="0.4">
      <c r="A74" s="3">
        <v>45854</v>
      </c>
      <c r="B74" s="4" t="s">
        <v>129</v>
      </c>
      <c r="C74" s="4" t="s">
        <v>1645</v>
      </c>
      <c r="D74" s="4">
        <v>32993</v>
      </c>
      <c r="E74" s="4">
        <v>40</v>
      </c>
      <c r="F74" s="4" t="s">
        <v>756</v>
      </c>
      <c r="G74" s="4" t="s">
        <v>25</v>
      </c>
      <c r="H74" s="5">
        <v>2900</v>
      </c>
      <c r="I74" s="4"/>
    </row>
    <row r="75" spans="1:9" ht="15.9" x14ac:dyDescent="0.4">
      <c r="A75" s="3">
        <v>45854</v>
      </c>
      <c r="B75" s="4" t="s">
        <v>129</v>
      </c>
      <c r="C75" s="4" t="s">
        <v>1646</v>
      </c>
      <c r="D75" s="4">
        <v>29450</v>
      </c>
      <c r="E75" s="4">
        <v>31</v>
      </c>
      <c r="F75" s="4" t="s">
        <v>756</v>
      </c>
      <c r="G75" s="4" t="s">
        <v>25</v>
      </c>
      <c r="H75" s="5">
        <v>2900</v>
      </c>
      <c r="I75" s="4"/>
    </row>
    <row r="76" spans="1:9" ht="15.9" x14ac:dyDescent="0.4">
      <c r="A76" s="3">
        <v>45854</v>
      </c>
      <c r="B76" s="4" t="s">
        <v>875</v>
      </c>
      <c r="C76" s="4" t="s">
        <v>907</v>
      </c>
      <c r="D76" s="4">
        <v>35948</v>
      </c>
      <c r="E76" s="4">
        <v>44</v>
      </c>
      <c r="F76" s="4" t="s">
        <v>1568</v>
      </c>
      <c r="G76" s="4" t="s">
        <v>19</v>
      </c>
      <c r="H76" s="5">
        <v>2400</v>
      </c>
      <c r="I76" s="4"/>
    </row>
    <row r="77" spans="1:9" ht="15.9" x14ac:dyDescent="0.4">
      <c r="A77" s="3">
        <v>45854</v>
      </c>
      <c r="B77" s="4" t="s">
        <v>927</v>
      </c>
      <c r="C77" s="4" t="s">
        <v>1505</v>
      </c>
      <c r="D77" s="4">
        <v>3855</v>
      </c>
      <c r="E77" s="4">
        <v>5</v>
      </c>
      <c r="F77" s="4" t="s">
        <v>35</v>
      </c>
      <c r="G77" s="4" t="s">
        <v>12</v>
      </c>
      <c r="H77" s="5"/>
      <c r="I77" s="4"/>
    </row>
    <row r="78" spans="1:9" ht="15.9" x14ac:dyDescent="0.4">
      <c r="A78" s="3">
        <v>45854</v>
      </c>
      <c r="B78" s="4" t="s">
        <v>207</v>
      </c>
      <c r="C78" s="4" t="s">
        <v>1647</v>
      </c>
      <c r="D78" s="4">
        <v>690</v>
      </c>
      <c r="E78" s="4">
        <v>1</v>
      </c>
      <c r="F78" s="4" t="s">
        <v>35</v>
      </c>
      <c r="G78" s="4" t="s">
        <v>161</v>
      </c>
      <c r="H78" s="5">
        <v>235.13</v>
      </c>
      <c r="I78" s="4"/>
    </row>
    <row r="79" spans="1:9" ht="15.9" x14ac:dyDescent="0.4">
      <c r="A79" s="3">
        <v>45854</v>
      </c>
      <c r="B79" s="4" t="s">
        <v>875</v>
      </c>
      <c r="C79" s="4" t="s">
        <v>907</v>
      </c>
      <c r="D79" s="4">
        <v>35948</v>
      </c>
      <c r="E79" s="4">
        <v>44</v>
      </c>
      <c r="F79" s="4" t="s">
        <v>1568</v>
      </c>
      <c r="G79" s="4" t="s">
        <v>19</v>
      </c>
      <c r="H79" s="5">
        <v>2400</v>
      </c>
      <c r="I79" s="4"/>
    </row>
    <row r="80" spans="1:9" ht="15.9" x14ac:dyDescent="0.4">
      <c r="A80" s="3">
        <v>45854</v>
      </c>
      <c r="B80" s="4" t="s">
        <v>385</v>
      </c>
      <c r="C80" s="4" t="s">
        <v>1648</v>
      </c>
      <c r="D80" s="4">
        <v>33230</v>
      </c>
      <c r="E80" s="4">
        <v>37</v>
      </c>
      <c r="F80" s="4" t="s">
        <v>756</v>
      </c>
      <c r="G80" s="4" t="s">
        <v>1571</v>
      </c>
      <c r="H80" s="5">
        <v>2200</v>
      </c>
      <c r="I80" s="4"/>
    </row>
    <row r="81" spans="1:9" ht="15.9" x14ac:dyDescent="0.4">
      <c r="A81" s="3">
        <v>45854</v>
      </c>
      <c r="B81" s="4" t="s">
        <v>52</v>
      </c>
      <c r="C81" s="4" t="s">
        <v>1649</v>
      </c>
      <c r="D81" s="4">
        <v>39216</v>
      </c>
      <c r="E81" s="4">
        <v>48</v>
      </c>
      <c r="F81" s="4" t="s">
        <v>756</v>
      </c>
      <c r="G81" s="4" t="s">
        <v>25</v>
      </c>
      <c r="H81" s="5">
        <v>2950</v>
      </c>
      <c r="I81" s="4"/>
    </row>
    <row r="82" spans="1:9" ht="15.9" x14ac:dyDescent="0.4">
      <c r="A82" s="3">
        <v>45854</v>
      </c>
      <c r="B82" s="4" t="s">
        <v>52</v>
      </c>
      <c r="C82" s="4" t="s">
        <v>1650</v>
      </c>
      <c r="D82" s="4">
        <v>39216</v>
      </c>
      <c r="E82" s="4">
        <v>48</v>
      </c>
      <c r="F82" s="4" t="s">
        <v>756</v>
      </c>
      <c r="G82" s="4" t="s">
        <v>25</v>
      </c>
      <c r="H82" s="5">
        <v>2950</v>
      </c>
      <c r="I82" s="4"/>
    </row>
    <row r="83" spans="1:9" ht="15.9" x14ac:dyDescent="0.4">
      <c r="A83" s="3">
        <v>45854</v>
      </c>
      <c r="B83" s="4" t="s">
        <v>52</v>
      </c>
      <c r="C83" s="4" t="s">
        <v>1651</v>
      </c>
      <c r="D83" s="4">
        <v>39216</v>
      </c>
      <c r="E83" s="4">
        <v>48</v>
      </c>
      <c r="F83" s="4" t="s">
        <v>756</v>
      </c>
      <c r="G83" s="4" t="s">
        <v>25</v>
      </c>
      <c r="H83" s="5">
        <v>2950</v>
      </c>
      <c r="I83" s="4"/>
    </row>
    <row r="84" spans="1:9" ht="15.9" x14ac:dyDescent="0.4">
      <c r="A84" s="3">
        <v>45855</v>
      </c>
      <c r="B84" s="4" t="s">
        <v>52</v>
      </c>
      <c r="C84" s="4" t="s">
        <v>1652</v>
      </c>
      <c r="D84" s="4">
        <v>41800</v>
      </c>
      <c r="E84" s="4">
        <v>44</v>
      </c>
      <c r="F84" s="4" t="s">
        <v>756</v>
      </c>
      <c r="G84" s="4" t="s">
        <v>25</v>
      </c>
      <c r="H84" s="5">
        <v>2950</v>
      </c>
      <c r="I84" s="4"/>
    </row>
    <row r="85" spans="1:9" ht="15.9" x14ac:dyDescent="0.4">
      <c r="A85" s="3">
        <v>45855</v>
      </c>
      <c r="B85" s="4" t="s">
        <v>875</v>
      </c>
      <c r="C85" s="4" t="s">
        <v>907</v>
      </c>
      <c r="D85" s="4">
        <v>35948</v>
      </c>
      <c r="E85" s="4">
        <v>44</v>
      </c>
      <c r="F85" s="4" t="s">
        <v>1568</v>
      </c>
      <c r="G85" s="4" t="s">
        <v>19</v>
      </c>
      <c r="H85" s="5">
        <v>2400</v>
      </c>
      <c r="I85" s="4"/>
    </row>
    <row r="86" spans="1:9" ht="15.9" x14ac:dyDescent="0.4">
      <c r="A86" s="3">
        <v>45855</v>
      </c>
      <c r="B86" s="4" t="s">
        <v>52</v>
      </c>
      <c r="C86" s="4" t="s">
        <v>1653</v>
      </c>
      <c r="D86" s="4">
        <v>26600</v>
      </c>
      <c r="E86" s="4">
        <v>28</v>
      </c>
      <c r="F86" s="4" t="s">
        <v>756</v>
      </c>
      <c r="G86" s="4" t="s">
        <v>25</v>
      </c>
      <c r="H86" s="5">
        <v>2950</v>
      </c>
      <c r="I86" s="4"/>
    </row>
    <row r="87" spans="1:9" ht="15.9" x14ac:dyDescent="0.4">
      <c r="A87" s="3">
        <v>45856</v>
      </c>
      <c r="B87" s="4" t="s">
        <v>1588</v>
      </c>
      <c r="C87" s="4" t="s">
        <v>1654</v>
      </c>
      <c r="D87" s="4">
        <v>39984</v>
      </c>
      <c r="E87" s="4">
        <v>48</v>
      </c>
      <c r="F87" s="4" t="s">
        <v>1568</v>
      </c>
      <c r="G87" s="4" t="s">
        <v>19</v>
      </c>
      <c r="H87" s="5">
        <v>4125</v>
      </c>
      <c r="I87" s="4"/>
    </row>
    <row r="88" spans="1:9" ht="15.9" x14ac:dyDescent="0.4">
      <c r="A88" s="3">
        <v>45859</v>
      </c>
      <c r="B88" s="4" t="s">
        <v>38</v>
      </c>
      <c r="C88" s="4" t="s">
        <v>1655</v>
      </c>
      <c r="D88" s="4">
        <v>31200</v>
      </c>
      <c r="E88" s="4">
        <v>36</v>
      </c>
      <c r="F88" s="4" t="s">
        <v>756</v>
      </c>
      <c r="G88" s="4" t="s">
        <v>25</v>
      </c>
      <c r="H88" s="5">
        <v>3850</v>
      </c>
      <c r="I88" s="4"/>
    </row>
    <row r="89" spans="1:9" ht="15.9" x14ac:dyDescent="0.4">
      <c r="A89" s="3">
        <v>45859</v>
      </c>
      <c r="B89" s="4" t="s">
        <v>52</v>
      </c>
      <c r="C89" s="4" t="s">
        <v>1656</v>
      </c>
      <c r="D89" s="4">
        <v>35948</v>
      </c>
      <c r="E89" s="4">
        <v>44</v>
      </c>
      <c r="F89" s="4" t="s">
        <v>756</v>
      </c>
      <c r="G89" s="4" t="s">
        <v>25</v>
      </c>
      <c r="H89" s="5">
        <v>2950</v>
      </c>
      <c r="I89" s="4"/>
    </row>
    <row r="90" spans="1:9" ht="15.9" x14ac:dyDescent="0.4">
      <c r="A90" s="3">
        <v>45859</v>
      </c>
      <c r="B90" s="4" t="s">
        <v>1596</v>
      </c>
      <c r="C90" s="4" t="s">
        <v>1657</v>
      </c>
      <c r="D90" s="4">
        <v>23000</v>
      </c>
      <c r="E90" s="4">
        <v>25</v>
      </c>
      <c r="F90" s="4" t="s">
        <v>756</v>
      </c>
      <c r="G90" s="4" t="s">
        <v>25</v>
      </c>
      <c r="H90" s="5">
        <v>4500</v>
      </c>
      <c r="I90" s="4"/>
    </row>
    <row r="91" spans="1:9" ht="15.9" x14ac:dyDescent="0.4">
      <c r="A91" s="3">
        <v>45859</v>
      </c>
      <c r="B91" s="4" t="s">
        <v>1278</v>
      </c>
      <c r="C91" s="4" t="s">
        <v>1658</v>
      </c>
      <c r="D91" s="4">
        <v>39888</v>
      </c>
      <c r="E91" s="4">
        <v>48</v>
      </c>
      <c r="F91" s="4" t="s">
        <v>1568</v>
      </c>
      <c r="G91" s="4" t="s">
        <v>12</v>
      </c>
      <c r="H91" s="5"/>
      <c r="I91" s="4"/>
    </row>
    <row r="92" spans="1:9" ht="15.9" x14ac:dyDescent="0.4">
      <c r="A92" s="3">
        <v>45859</v>
      </c>
      <c r="B92" s="4" t="s">
        <v>1278</v>
      </c>
      <c r="C92" s="4" t="s">
        <v>1659</v>
      </c>
      <c r="D92" s="4">
        <v>36564</v>
      </c>
      <c r="E92" s="4">
        <v>44</v>
      </c>
      <c r="F92" s="4" t="s">
        <v>1568</v>
      </c>
      <c r="G92" s="4" t="s">
        <v>12</v>
      </c>
      <c r="H92" s="5"/>
      <c r="I92" s="4"/>
    </row>
    <row r="93" spans="1:9" ht="15.9" x14ac:dyDescent="0.4">
      <c r="A93" s="3">
        <v>45859</v>
      </c>
      <c r="B93" s="4" t="s">
        <v>1278</v>
      </c>
      <c r="C93" s="4" t="s">
        <v>1660</v>
      </c>
      <c r="D93" s="4">
        <v>36564</v>
      </c>
      <c r="E93" s="4">
        <v>44</v>
      </c>
      <c r="F93" s="4" t="s">
        <v>1568</v>
      </c>
      <c r="G93" s="4" t="s">
        <v>12</v>
      </c>
      <c r="H93" s="5"/>
      <c r="I93" s="4"/>
    </row>
    <row r="94" spans="1:9" ht="15.9" x14ac:dyDescent="0.4">
      <c r="A94" s="3">
        <v>45859</v>
      </c>
      <c r="B94" s="4" t="s">
        <v>1278</v>
      </c>
      <c r="C94" s="4" t="s">
        <v>1661</v>
      </c>
      <c r="D94" s="4">
        <v>36564</v>
      </c>
      <c r="E94" s="4">
        <v>44</v>
      </c>
      <c r="F94" s="4" t="s">
        <v>1568</v>
      </c>
      <c r="G94" s="4" t="s">
        <v>12</v>
      </c>
      <c r="H94" s="5"/>
      <c r="I94" s="4"/>
    </row>
    <row r="95" spans="1:9" ht="15.9" x14ac:dyDescent="0.4">
      <c r="A95" s="3">
        <v>45859</v>
      </c>
      <c r="B95" s="4" t="s">
        <v>1278</v>
      </c>
      <c r="C95" s="4" t="s">
        <v>1662</v>
      </c>
      <c r="D95" s="4">
        <v>18282</v>
      </c>
      <c r="E95" s="4">
        <v>22</v>
      </c>
      <c r="F95" s="4" t="s">
        <v>1568</v>
      </c>
      <c r="G95" s="4" t="s">
        <v>12</v>
      </c>
      <c r="H95" s="5"/>
      <c r="I95" s="4"/>
    </row>
    <row r="96" spans="1:9" ht="15.9" x14ac:dyDescent="0.4">
      <c r="A96" s="3">
        <v>45859</v>
      </c>
      <c r="B96" s="4" t="s">
        <v>1265</v>
      </c>
      <c r="C96" s="4" t="s">
        <v>1663</v>
      </c>
      <c r="D96" s="4">
        <v>36202</v>
      </c>
      <c r="E96" s="4">
        <v>43</v>
      </c>
      <c r="F96" s="4" t="s">
        <v>756</v>
      </c>
      <c r="G96" s="4" t="s">
        <v>19</v>
      </c>
      <c r="H96" s="5">
        <v>2800</v>
      </c>
      <c r="I96" s="4"/>
    </row>
    <row r="97" spans="1:9" ht="15.9" x14ac:dyDescent="0.4">
      <c r="A97" s="3">
        <v>45859</v>
      </c>
      <c r="B97" s="4" t="s">
        <v>1664</v>
      </c>
      <c r="C97" s="4" t="s">
        <v>1665</v>
      </c>
      <c r="D97" s="4">
        <v>15715</v>
      </c>
      <c r="E97" s="4">
        <v>20</v>
      </c>
      <c r="F97" s="4" t="s">
        <v>756</v>
      </c>
      <c r="G97" s="4" t="s">
        <v>19</v>
      </c>
      <c r="H97" s="5">
        <v>2250</v>
      </c>
      <c r="I97" s="4"/>
    </row>
    <row r="98" spans="1:9" ht="15.9" x14ac:dyDescent="0.4">
      <c r="A98" s="3">
        <v>45860</v>
      </c>
      <c r="B98" s="4" t="s">
        <v>159</v>
      </c>
      <c r="C98" s="4" t="s">
        <v>1666</v>
      </c>
      <c r="D98" s="4">
        <v>11597</v>
      </c>
      <c r="E98" s="4">
        <v>14</v>
      </c>
      <c r="F98" s="4" t="s">
        <v>35</v>
      </c>
      <c r="G98" s="4" t="s">
        <v>1571</v>
      </c>
      <c r="H98" s="5">
        <v>501.06</v>
      </c>
      <c r="I98" s="4"/>
    </row>
    <row r="99" spans="1:9" ht="15.9" x14ac:dyDescent="0.4">
      <c r="A99" s="3">
        <v>45860</v>
      </c>
      <c r="B99" s="4" t="s">
        <v>202</v>
      </c>
      <c r="C99" s="4" t="s">
        <v>1667</v>
      </c>
      <c r="D99" s="4">
        <v>4085</v>
      </c>
      <c r="E99" s="4">
        <v>5</v>
      </c>
      <c r="F99" s="4" t="s">
        <v>35</v>
      </c>
      <c r="G99" s="4" t="s">
        <v>12</v>
      </c>
      <c r="H99" s="5"/>
      <c r="I99" s="4"/>
    </row>
    <row r="100" spans="1:9" ht="15.9" x14ac:dyDescent="0.4">
      <c r="A100" s="3">
        <v>45860</v>
      </c>
      <c r="B100" s="4" t="s">
        <v>1668</v>
      </c>
      <c r="C100" s="4" t="s">
        <v>1669</v>
      </c>
      <c r="D100" s="4">
        <v>3268</v>
      </c>
      <c r="E100" s="4">
        <v>4</v>
      </c>
      <c r="F100" s="4" t="s">
        <v>35</v>
      </c>
      <c r="G100" s="4" t="s">
        <v>161</v>
      </c>
      <c r="H100" s="5">
        <v>907.36</v>
      </c>
      <c r="I100" s="4"/>
    </row>
    <row r="101" spans="1:9" ht="15.9" x14ac:dyDescent="0.4">
      <c r="A101" s="3">
        <v>45860</v>
      </c>
      <c r="B101" s="4" t="s">
        <v>375</v>
      </c>
      <c r="C101" s="4" t="s">
        <v>1670</v>
      </c>
      <c r="D101" s="4">
        <v>26460</v>
      </c>
      <c r="E101" s="4">
        <v>35</v>
      </c>
      <c r="F101" s="4" t="s">
        <v>756</v>
      </c>
      <c r="G101" s="4" t="s">
        <v>12</v>
      </c>
      <c r="H101" s="5"/>
      <c r="I101" s="4"/>
    </row>
    <row r="102" spans="1:9" ht="15.9" x14ac:dyDescent="0.4">
      <c r="A102" s="3">
        <v>45860</v>
      </c>
      <c r="B102" s="4" t="s">
        <v>319</v>
      </c>
      <c r="C102" s="4" t="s">
        <v>1671</v>
      </c>
      <c r="D102" s="4">
        <v>15236</v>
      </c>
      <c r="E102" s="4">
        <v>18</v>
      </c>
      <c r="F102" s="4" t="s">
        <v>1568</v>
      </c>
      <c r="G102" s="4" t="s">
        <v>12</v>
      </c>
      <c r="H102" s="5"/>
      <c r="I102" s="4"/>
    </row>
    <row r="103" spans="1:9" ht="15.9" x14ac:dyDescent="0.4">
      <c r="A103" s="3">
        <v>45861</v>
      </c>
      <c r="B103" s="4" t="s">
        <v>365</v>
      </c>
      <c r="C103" s="4" t="s">
        <v>1673</v>
      </c>
      <c r="D103" s="4">
        <v>14416</v>
      </c>
      <c r="E103" s="4">
        <v>17</v>
      </c>
      <c r="F103" s="4" t="s">
        <v>756</v>
      </c>
      <c r="G103" s="4" t="s">
        <v>25</v>
      </c>
      <c r="H103" s="5">
        <v>3600</v>
      </c>
      <c r="I103" s="4"/>
    </row>
    <row r="104" spans="1:9" ht="15.9" x14ac:dyDescent="0.4">
      <c r="A104" s="3">
        <v>45861</v>
      </c>
      <c r="B104" s="4" t="s">
        <v>365</v>
      </c>
      <c r="C104" s="4" t="s">
        <v>1672</v>
      </c>
      <c r="D104" s="4">
        <v>39600</v>
      </c>
      <c r="E104" s="4">
        <v>48</v>
      </c>
      <c r="F104" s="4" t="s">
        <v>756</v>
      </c>
      <c r="G104" s="4" t="s">
        <v>25</v>
      </c>
      <c r="H104" s="5">
        <v>3600</v>
      </c>
      <c r="I104" s="4"/>
    </row>
    <row r="105" spans="1:9" ht="15.9" x14ac:dyDescent="0.4">
      <c r="A105" s="3">
        <v>45861</v>
      </c>
      <c r="B105" s="4" t="s">
        <v>1278</v>
      </c>
      <c r="C105" s="4" t="s">
        <v>1674</v>
      </c>
      <c r="D105" s="4">
        <v>39888</v>
      </c>
      <c r="E105" s="4">
        <v>48</v>
      </c>
      <c r="F105" s="4" t="s">
        <v>1568</v>
      </c>
      <c r="G105" s="4" t="s">
        <v>12</v>
      </c>
      <c r="H105" s="5"/>
      <c r="I105" s="4"/>
    </row>
    <row r="106" spans="1:9" ht="15.9" x14ac:dyDescent="0.4">
      <c r="A106" s="3">
        <v>45861</v>
      </c>
      <c r="B106" s="4" t="s">
        <v>493</v>
      </c>
      <c r="C106" s="4" t="s">
        <v>1222</v>
      </c>
      <c r="D106" s="4">
        <v>2788</v>
      </c>
      <c r="E106" s="4">
        <v>3</v>
      </c>
      <c r="F106" s="4" t="s">
        <v>35</v>
      </c>
      <c r="G106" s="4" t="s">
        <v>161</v>
      </c>
      <c r="H106" s="5">
        <v>426.11</v>
      </c>
      <c r="I106" s="4"/>
    </row>
    <row r="107" spans="1:9" ht="15.9" x14ac:dyDescent="0.4">
      <c r="A107" s="3">
        <v>45862</v>
      </c>
      <c r="B107" s="4" t="s">
        <v>1494</v>
      </c>
      <c r="C107" s="4" t="s">
        <v>1675</v>
      </c>
      <c r="D107" s="4">
        <v>817</v>
      </c>
      <c r="E107" s="4">
        <v>1</v>
      </c>
      <c r="F107" s="4" t="s">
        <v>35</v>
      </c>
      <c r="G107" s="4" t="s">
        <v>161</v>
      </c>
      <c r="H107" s="5">
        <v>236.2</v>
      </c>
      <c r="I107" s="4"/>
    </row>
    <row r="108" spans="1:9" ht="15.9" x14ac:dyDescent="0.4">
      <c r="A108" s="3"/>
      <c r="B108" s="4"/>
      <c r="C108" s="4"/>
      <c r="D108" s="4"/>
      <c r="E108" s="4"/>
      <c r="F108" s="4"/>
      <c r="G108" s="4"/>
      <c r="H108" s="5"/>
      <c r="I108" s="4"/>
    </row>
    <row r="109" spans="1:9" ht="15.9" x14ac:dyDescent="0.4">
      <c r="A109" s="3"/>
      <c r="B109" s="4"/>
      <c r="C109" s="4"/>
      <c r="D109" s="4"/>
      <c r="E109" s="4"/>
      <c r="F109" s="4"/>
      <c r="G109" s="4"/>
      <c r="H109" s="5"/>
      <c r="I109" s="4"/>
    </row>
    <row r="110" spans="1:9" ht="15.9" x14ac:dyDescent="0.4">
      <c r="A110" s="3"/>
      <c r="B110" s="4"/>
      <c r="C110" s="4"/>
      <c r="D110" s="4"/>
      <c r="E110" s="4"/>
      <c r="F110" s="4"/>
      <c r="G110" s="4"/>
      <c r="H110" s="5"/>
      <c r="I110" s="4"/>
    </row>
    <row r="111" spans="1:9" ht="15.9" x14ac:dyDescent="0.4">
      <c r="A111" s="3"/>
      <c r="B111" s="4"/>
      <c r="C111" s="4"/>
      <c r="D111" s="4"/>
      <c r="E111" s="4"/>
      <c r="F111" s="4"/>
      <c r="G111" s="4"/>
      <c r="H111" s="5"/>
      <c r="I111" s="4"/>
    </row>
    <row r="112" spans="1:9" ht="15.9" x14ac:dyDescent="0.4">
      <c r="A112" s="3"/>
      <c r="B112" s="4"/>
      <c r="C112" s="4"/>
      <c r="D112" s="4"/>
      <c r="E112" s="4"/>
      <c r="F112" s="4"/>
      <c r="G112" s="4"/>
      <c r="H112" s="5"/>
      <c r="I112" s="4"/>
    </row>
    <row r="113" spans="1:9" ht="15.9" x14ac:dyDescent="0.4">
      <c r="A113" s="3"/>
      <c r="B113" s="4"/>
      <c r="C113" s="4"/>
      <c r="D113" s="4"/>
      <c r="E113" s="4"/>
      <c r="F113" s="4"/>
      <c r="G113" s="4"/>
      <c r="H113" s="5"/>
      <c r="I113" s="4"/>
    </row>
    <row r="114" spans="1:9" ht="15.9" x14ac:dyDescent="0.4">
      <c r="A114" s="3"/>
      <c r="B114" s="4"/>
      <c r="C114" s="4"/>
      <c r="D114" s="4"/>
      <c r="E114" s="4"/>
      <c r="F114" s="4"/>
      <c r="G114" s="4"/>
      <c r="H114" s="5"/>
      <c r="I114" s="4"/>
    </row>
    <row r="115" spans="1:9" ht="15.9" x14ac:dyDescent="0.4">
      <c r="A115" s="3"/>
      <c r="B115" s="4"/>
      <c r="C115" s="4"/>
      <c r="D115" s="4"/>
      <c r="E115" s="4"/>
      <c r="F115" s="4"/>
      <c r="G115" s="4"/>
      <c r="H115" s="5"/>
      <c r="I115" s="4"/>
    </row>
    <row r="116" spans="1:9" ht="15.9" x14ac:dyDescent="0.4">
      <c r="A116" s="3"/>
      <c r="B116" s="4"/>
      <c r="C116" s="4"/>
      <c r="D116" s="4"/>
      <c r="E116" s="4"/>
      <c r="F116" s="4"/>
      <c r="G116" s="4"/>
      <c r="H116" s="5"/>
      <c r="I116" s="4"/>
    </row>
    <row r="117" spans="1:9" ht="15.9" x14ac:dyDescent="0.4">
      <c r="A117" s="3"/>
      <c r="B117" s="4"/>
      <c r="C117" s="4"/>
      <c r="D117" s="4"/>
      <c r="E117" s="4"/>
      <c r="F117" s="4"/>
      <c r="G117" s="4"/>
      <c r="H117" s="5"/>
      <c r="I117" s="4"/>
    </row>
    <row r="118" spans="1:9" ht="15.9" x14ac:dyDescent="0.4">
      <c r="A118" s="3"/>
      <c r="B118" s="4"/>
      <c r="C118" s="4"/>
      <c r="D118" s="4"/>
      <c r="E118" s="4"/>
      <c r="F118" s="4"/>
      <c r="G118" s="4"/>
      <c r="H118" s="5"/>
      <c r="I118" s="4"/>
    </row>
    <row r="119" spans="1:9" ht="15.9" x14ac:dyDescent="0.4">
      <c r="A119" s="3"/>
      <c r="B119" s="4"/>
      <c r="C119" s="4"/>
      <c r="D119" s="4"/>
      <c r="E119" s="4"/>
      <c r="F119" s="4"/>
      <c r="G119" s="4"/>
      <c r="H119" s="5"/>
      <c r="I119" s="4"/>
    </row>
    <row r="120" spans="1:9" ht="15.9" x14ac:dyDescent="0.4">
      <c r="A120" s="3"/>
      <c r="B120" s="4"/>
      <c r="C120" s="4"/>
      <c r="D120" s="4"/>
      <c r="E120" s="4"/>
      <c r="F120" s="4"/>
      <c r="G120" s="4"/>
      <c r="H120" s="5"/>
      <c r="I120" s="4"/>
    </row>
    <row r="121" spans="1:9" ht="15.9" x14ac:dyDescent="0.4">
      <c r="A121" s="3"/>
      <c r="B121" s="4"/>
      <c r="C121" s="4"/>
      <c r="D121" s="4"/>
      <c r="E121" s="4"/>
      <c r="F121" s="4"/>
      <c r="G121" s="4"/>
      <c r="H121" s="5"/>
      <c r="I121" s="4"/>
    </row>
    <row r="122" spans="1:9" ht="15.9" x14ac:dyDescent="0.4">
      <c r="A122" s="3"/>
      <c r="B122" s="4"/>
      <c r="C122" s="4"/>
      <c r="D122" s="4"/>
      <c r="E122" s="4"/>
      <c r="F122" s="4"/>
      <c r="G122" s="4"/>
      <c r="H122" s="5"/>
      <c r="I122" s="4"/>
    </row>
    <row r="123" spans="1:9" ht="15.9" x14ac:dyDescent="0.4">
      <c r="A123" s="3"/>
      <c r="B123" s="4"/>
      <c r="C123" s="4"/>
      <c r="D123" s="4"/>
      <c r="E123" s="4"/>
      <c r="F123" s="4"/>
      <c r="G123" s="4"/>
      <c r="H123" s="5"/>
      <c r="I123" s="4"/>
    </row>
    <row r="124" spans="1:9" ht="15.9" x14ac:dyDescent="0.4">
      <c r="A124" s="3"/>
      <c r="B124" s="4"/>
      <c r="C124" s="4"/>
      <c r="D124" s="4"/>
      <c r="E124" s="4"/>
      <c r="F124" s="4"/>
      <c r="G124" s="4"/>
      <c r="H124" s="5"/>
      <c r="I124" s="4"/>
    </row>
    <row r="125" spans="1:9" ht="15.9" x14ac:dyDescent="0.4">
      <c r="A125" s="4"/>
      <c r="B125" s="4"/>
      <c r="C125" s="4"/>
      <c r="D125" s="4"/>
      <c r="E125" s="4"/>
      <c r="F125" s="4"/>
      <c r="G125" s="4"/>
      <c r="H125" s="4"/>
      <c r="I125" s="4"/>
    </row>
    <row r="126" spans="1:9" ht="15.9" x14ac:dyDescent="0.4">
      <c r="A126" s="4"/>
      <c r="B126" s="4"/>
      <c r="C126" s="4"/>
      <c r="D126" s="4"/>
      <c r="E126" s="4"/>
      <c r="F126" s="4"/>
      <c r="G126" s="4"/>
      <c r="H126" s="4"/>
      <c r="I126" s="4"/>
    </row>
    <row r="127" spans="1:9" ht="15.9" x14ac:dyDescent="0.4">
      <c r="A127" s="4"/>
      <c r="B127" s="4"/>
      <c r="C127" s="4"/>
      <c r="D127" s="4"/>
      <c r="E127" s="4"/>
      <c r="F127" s="4"/>
      <c r="G127" s="4"/>
      <c r="H127" s="4"/>
      <c r="I127" s="4"/>
    </row>
    <row r="128" spans="1:9" ht="15.9" x14ac:dyDescent="0.4">
      <c r="A128" s="4"/>
      <c r="B128" s="4"/>
      <c r="C128" s="4"/>
      <c r="D128" s="4"/>
      <c r="E128" s="4"/>
      <c r="F128" s="4"/>
      <c r="G128" s="4"/>
      <c r="H128" s="4"/>
      <c r="I128" s="4"/>
    </row>
    <row r="129" spans="1:9" ht="15.9" x14ac:dyDescent="0.4">
      <c r="A129" s="4"/>
      <c r="B129" s="4"/>
      <c r="C129" s="4"/>
      <c r="D129" s="4"/>
      <c r="E129" s="4"/>
      <c r="F129" s="4"/>
      <c r="G129" s="4"/>
      <c r="H129" s="4"/>
      <c r="I129" s="4"/>
    </row>
    <row r="130" spans="1:9" ht="15.9" x14ac:dyDescent="0.4">
      <c r="A130" s="4"/>
      <c r="B130" s="4"/>
      <c r="C130" s="4"/>
      <c r="D130" s="4"/>
      <c r="E130" s="4"/>
      <c r="F130" s="4"/>
      <c r="G130" s="4"/>
      <c r="H130" s="4"/>
      <c r="I130" s="4"/>
    </row>
    <row r="131" spans="1:9" ht="15.9" x14ac:dyDescent="0.4">
      <c r="A131" s="4"/>
      <c r="B131" s="4"/>
      <c r="C131" s="4"/>
      <c r="D131" s="4"/>
      <c r="E131" s="4"/>
      <c r="F131" s="4"/>
      <c r="G131" s="4"/>
      <c r="H131" s="4"/>
      <c r="I131" s="4"/>
    </row>
    <row r="132" spans="1:9" ht="15.9" x14ac:dyDescent="0.4">
      <c r="A132" s="4"/>
      <c r="B132" s="4"/>
      <c r="C132" s="4"/>
      <c r="D132" s="4"/>
      <c r="E132" s="4"/>
      <c r="F132" s="4"/>
      <c r="G132" s="4"/>
      <c r="H132" s="4"/>
      <c r="I132" s="4"/>
    </row>
    <row r="133" spans="1:9" ht="15.9" x14ac:dyDescent="0.4">
      <c r="A133" s="4"/>
      <c r="B133" s="4"/>
      <c r="C133" s="4"/>
      <c r="D133" s="4"/>
      <c r="E133" s="4"/>
      <c r="F133" s="4"/>
      <c r="G133" s="4"/>
      <c r="H133" s="4"/>
      <c r="I133" s="4"/>
    </row>
    <row r="134" spans="1:9" ht="15.9" x14ac:dyDescent="0.4">
      <c r="A134" s="4"/>
      <c r="B134" s="4"/>
      <c r="C134" s="4"/>
      <c r="D134" s="4"/>
      <c r="E134" s="4"/>
      <c r="F134" s="4"/>
      <c r="G134" s="4"/>
      <c r="H134" s="4"/>
      <c r="I134" s="4"/>
    </row>
    <row r="135" spans="1:9" ht="15.9" x14ac:dyDescent="0.4">
      <c r="A135" s="4"/>
      <c r="B135" s="4"/>
      <c r="C135" s="4"/>
      <c r="D135" s="4"/>
      <c r="E135" s="4"/>
      <c r="F135" s="4"/>
      <c r="G135" s="4"/>
      <c r="H135" s="4"/>
      <c r="I135" s="4"/>
    </row>
    <row r="136" spans="1:9" ht="15.9" x14ac:dyDescent="0.4">
      <c r="A136" s="4"/>
      <c r="B136" s="4"/>
      <c r="C136" s="4"/>
      <c r="D136" s="4"/>
      <c r="E136" s="4"/>
      <c r="F136" s="4"/>
      <c r="G136" s="4"/>
      <c r="H136" s="4"/>
      <c r="I136" s="4"/>
    </row>
    <row r="137" spans="1:9" ht="15.9" x14ac:dyDescent="0.4">
      <c r="A137" s="4"/>
      <c r="B137" s="4"/>
      <c r="C137" s="4"/>
      <c r="D137" s="4"/>
      <c r="E137" s="4"/>
      <c r="F137" s="4"/>
      <c r="G137" s="4"/>
      <c r="H137" s="4"/>
      <c r="I137" s="4"/>
    </row>
    <row r="138" spans="1:9" ht="15.9" x14ac:dyDescent="0.4">
      <c r="A138" s="4"/>
      <c r="B138" s="4"/>
      <c r="C138" s="4"/>
      <c r="D138" s="4"/>
      <c r="E138" s="4"/>
      <c r="F138" s="4"/>
      <c r="G138" s="4"/>
      <c r="H138" s="4"/>
      <c r="I138" s="4"/>
    </row>
    <row r="139" spans="1:9" ht="15.9" x14ac:dyDescent="0.4">
      <c r="A139" s="4"/>
      <c r="B139" s="4"/>
      <c r="C139" s="4"/>
      <c r="D139" s="4"/>
      <c r="E139" s="4"/>
      <c r="F139" s="4"/>
      <c r="G139" s="4"/>
      <c r="H139" s="4"/>
      <c r="I139" s="4"/>
    </row>
    <row r="140" spans="1:9" ht="15.9" x14ac:dyDescent="0.4">
      <c r="A140" s="4"/>
      <c r="B140" s="4"/>
      <c r="C140" s="4"/>
      <c r="D140" s="4"/>
      <c r="E140" s="4"/>
      <c r="F140" s="4"/>
      <c r="G140" s="4"/>
      <c r="H140" s="4"/>
      <c r="I140" s="4"/>
    </row>
    <row r="141" spans="1:9" ht="15.9" x14ac:dyDescent="0.4">
      <c r="A141" s="4"/>
      <c r="B141" s="4"/>
      <c r="C141" s="4"/>
      <c r="D141" s="4"/>
      <c r="E141" s="4"/>
      <c r="F141" s="4"/>
      <c r="G141" s="4"/>
      <c r="H141" s="4"/>
      <c r="I141" s="4"/>
    </row>
    <row r="142" spans="1:9" ht="15.9" x14ac:dyDescent="0.4">
      <c r="A142" s="4"/>
      <c r="B142" s="4"/>
      <c r="C142" s="4"/>
      <c r="D142" s="4"/>
      <c r="E142" s="4"/>
      <c r="F142" s="4"/>
      <c r="G142" s="4"/>
      <c r="H142" s="4"/>
      <c r="I142" s="4"/>
    </row>
    <row r="143" spans="1:9" ht="15.9" x14ac:dyDescent="0.4">
      <c r="A143" s="4"/>
      <c r="B143" s="4"/>
      <c r="C143" s="4"/>
      <c r="D143" s="4"/>
      <c r="E143" s="4"/>
      <c r="F143" s="4"/>
      <c r="G143" s="4"/>
      <c r="H143" s="4"/>
      <c r="I143" s="4"/>
    </row>
    <row r="144" spans="1:9" ht="15.9" x14ac:dyDescent="0.4">
      <c r="A144" s="4"/>
      <c r="B144" s="4"/>
      <c r="C144" s="4"/>
      <c r="D144" s="4"/>
      <c r="E144" s="4"/>
      <c r="F144" s="4"/>
      <c r="G144" s="4"/>
      <c r="H144" s="4"/>
      <c r="I144" s="4"/>
    </row>
    <row r="145" spans="1:9" ht="15.9" x14ac:dyDescent="0.4">
      <c r="A145" s="4"/>
      <c r="B145" s="4"/>
      <c r="C145" s="4"/>
      <c r="D145" s="4"/>
      <c r="E145" s="4"/>
      <c r="F145" s="4"/>
      <c r="G145" s="4"/>
      <c r="H145" s="4"/>
      <c r="I145" s="4"/>
    </row>
    <row r="146" spans="1:9" ht="15.9" x14ac:dyDescent="0.4">
      <c r="A146" s="4"/>
      <c r="B146" s="4"/>
      <c r="C146" s="4"/>
      <c r="D146" s="4"/>
      <c r="E146" s="4"/>
      <c r="F146" s="4"/>
      <c r="G146" s="4"/>
      <c r="H146" s="4"/>
      <c r="I146" s="4"/>
    </row>
    <row r="147" spans="1:9" ht="15.9" x14ac:dyDescent="0.4">
      <c r="A147" s="4"/>
      <c r="B147" s="4"/>
      <c r="C147" s="4"/>
      <c r="D147" s="4"/>
      <c r="E147" s="4"/>
      <c r="F147" s="4"/>
      <c r="G147" s="4"/>
      <c r="H147" s="4"/>
      <c r="I147" s="4"/>
    </row>
    <row r="148" spans="1:9" ht="15.9" x14ac:dyDescent="0.4">
      <c r="A148" s="4"/>
      <c r="B148" s="4"/>
      <c r="C148" s="4"/>
      <c r="D148" s="4"/>
      <c r="E148" s="4"/>
      <c r="F148" s="4"/>
      <c r="G148" s="4"/>
      <c r="H148" s="4"/>
      <c r="I148" s="4"/>
    </row>
    <row r="149" spans="1:9" ht="15.9" x14ac:dyDescent="0.4">
      <c r="A149" s="4"/>
      <c r="B149" s="4"/>
      <c r="C149" s="4"/>
      <c r="D149" s="4"/>
      <c r="E149" s="4"/>
      <c r="F149" s="4"/>
      <c r="G149" s="4"/>
      <c r="H149" s="4"/>
      <c r="I149" s="4"/>
    </row>
    <row r="150" spans="1:9" ht="15.9" x14ac:dyDescent="0.4">
      <c r="A150" s="4"/>
      <c r="B150" s="4"/>
      <c r="C150" s="4"/>
      <c r="D150" s="4"/>
      <c r="E150" s="4"/>
      <c r="F150" s="4"/>
      <c r="G150" s="4"/>
      <c r="H150" s="4"/>
      <c r="I150" s="4"/>
    </row>
    <row r="151" spans="1:9" ht="15.9" x14ac:dyDescent="0.4">
      <c r="A151" s="4"/>
      <c r="B151" s="4"/>
      <c r="C151" s="4"/>
      <c r="D151" s="4"/>
      <c r="E151" s="4"/>
      <c r="F151" s="4"/>
      <c r="G151" s="4"/>
      <c r="H151" s="4"/>
      <c r="I151" s="4"/>
    </row>
    <row r="152" spans="1:9" ht="15.9" x14ac:dyDescent="0.4">
      <c r="A152" s="4"/>
      <c r="B152" s="4"/>
      <c r="C152" s="4"/>
      <c r="D152" s="4"/>
      <c r="E152" s="4"/>
      <c r="F152" s="4"/>
      <c r="G152" s="4"/>
      <c r="H152" s="4"/>
      <c r="I152" s="4"/>
    </row>
    <row r="153" spans="1:9" ht="15.9" x14ac:dyDescent="0.4">
      <c r="A153" s="4"/>
      <c r="B153" s="4"/>
      <c r="C153" s="4"/>
      <c r="D153" s="4"/>
      <c r="E153" s="4"/>
      <c r="F153" s="4"/>
      <c r="G153" s="4"/>
      <c r="H153" s="4"/>
      <c r="I153" s="4"/>
    </row>
    <row r="154" spans="1:9" ht="15.9" x14ac:dyDescent="0.4">
      <c r="A154" s="4"/>
      <c r="B154" s="4"/>
      <c r="C154" s="4"/>
      <c r="D154" s="4"/>
      <c r="E154" s="4"/>
      <c r="F154" s="4"/>
      <c r="G154" s="4"/>
      <c r="H154" s="4"/>
      <c r="I154" s="4"/>
    </row>
    <row r="155" spans="1:9" ht="15.9" x14ac:dyDescent="0.4">
      <c r="A155" s="4"/>
      <c r="B155" s="4"/>
      <c r="C155" s="4"/>
      <c r="D155" s="4"/>
      <c r="E155" s="4"/>
      <c r="F155" s="4"/>
      <c r="G155" s="4"/>
      <c r="H155" s="4"/>
      <c r="I155" s="4"/>
    </row>
    <row r="156" spans="1:9" ht="15.9" x14ac:dyDescent="0.4">
      <c r="A156" s="4"/>
      <c r="B156" s="4"/>
      <c r="C156" s="4"/>
      <c r="D156" s="4"/>
      <c r="E156" s="4"/>
      <c r="F156" s="4"/>
      <c r="G156" s="4"/>
      <c r="H156" s="4"/>
      <c r="I156" s="4"/>
    </row>
    <row r="157" spans="1:9" ht="15.9" x14ac:dyDescent="0.4">
      <c r="A157" s="4"/>
      <c r="B157" s="4"/>
      <c r="C157" s="4"/>
      <c r="D157" s="4"/>
      <c r="E157" s="4"/>
      <c r="F157" s="4"/>
      <c r="G157" s="4"/>
      <c r="H157" s="4"/>
      <c r="I157" s="4"/>
    </row>
    <row r="158" spans="1:9" ht="15.9" x14ac:dyDescent="0.4">
      <c r="A158" s="4"/>
      <c r="B158" s="4"/>
      <c r="C158" s="4"/>
      <c r="D158" s="4"/>
      <c r="E158" s="4"/>
      <c r="F158" s="4"/>
      <c r="G158" s="4"/>
      <c r="H158" s="4"/>
      <c r="I158" s="4"/>
    </row>
    <row r="159" spans="1:9" ht="15.9" x14ac:dyDescent="0.4">
      <c r="A159" s="4"/>
      <c r="B159" s="4"/>
      <c r="C159" s="4"/>
      <c r="D159" s="4"/>
      <c r="E159" s="4"/>
      <c r="F159" s="4"/>
      <c r="G159" s="4"/>
      <c r="H159" s="4"/>
      <c r="I159" s="4"/>
    </row>
    <row r="160" spans="1:9" ht="15.9" x14ac:dyDescent="0.4">
      <c r="A160" s="4"/>
      <c r="B160" s="4"/>
      <c r="C160" s="4"/>
      <c r="D160" s="4"/>
      <c r="E160" s="4"/>
      <c r="F160" s="4"/>
      <c r="G160" s="4"/>
      <c r="H160" s="4"/>
      <c r="I160" s="4"/>
    </row>
    <row r="161" spans="1:9" ht="15.9" x14ac:dyDescent="0.4">
      <c r="A161" s="4"/>
      <c r="B161" s="4"/>
      <c r="C161" s="4"/>
      <c r="D161" s="4"/>
      <c r="E161" s="4"/>
      <c r="F161" s="4"/>
      <c r="G161" s="4"/>
      <c r="H161" s="4"/>
      <c r="I161" s="4"/>
    </row>
    <row r="162" spans="1:9" ht="15.9" x14ac:dyDescent="0.4">
      <c r="A162" s="4"/>
      <c r="B162" s="4"/>
      <c r="C162" s="4"/>
      <c r="D162" s="4"/>
      <c r="E162" s="4"/>
      <c r="F162" s="4"/>
      <c r="G162" s="4"/>
      <c r="H162" s="4"/>
      <c r="I162" s="4"/>
    </row>
    <row r="163" spans="1:9" ht="15.9" x14ac:dyDescent="0.4">
      <c r="A163" s="4"/>
      <c r="B163" s="4"/>
      <c r="C163" s="4"/>
      <c r="D163" s="4"/>
      <c r="E163" s="4"/>
      <c r="F163" s="4"/>
      <c r="G163" s="4"/>
      <c r="H163" s="4"/>
      <c r="I163" s="4"/>
    </row>
    <row r="164" spans="1:9" ht="15.9" x14ac:dyDescent="0.4">
      <c r="A164" s="4"/>
      <c r="B164" s="4"/>
      <c r="C164" s="4"/>
      <c r="D164" s="4"/>
      <c r="E164" s="4"/>
      <c r="F164" s="4"/>
      <c r="G164" s="4"/>
      <c r="H164" s="4"/>
      <c r="I164" s="4"/>
    </row>
    <row r="165" spans="1:9" ht="15.9" x14ac:dyDescent="0.4">
      <c r="A165" s="4"/>
      <c r="B165" s="4"/>
      <c r="C165" s="4"/>
      <c r="D165" s="4"/>
      <c r="E165" s="4"/>
      <c r="F165" s="4"/>
      <c r="G165" s="4"/>
      <c r="H165" s="4"/>
      <c r="I165" s="4"/>
    </row>
    <row r="166" spans="1:9" ht="15.9" x14ac:dyDescent="0.4">
      <c r="A166" s="4"/>
      <c r="B166" s="4"/>
      <c r="C166" s="4"/>
      <c r="D166" s="4"/>
      <c r="E166" s="4"/>
      <c r="F166" s="4"/>
      <c r="G166" s="4"/>
      <c r="H166" s="4"/>
      <c r="I166" s="4"/>
    </row>
    <row r="167" spans="1:9" ht="15.9" x14ac:dyDescent="0.4">
      <c r="A167" s="4"/>
      <c r="B167" s="4"/>
      <c r="C167" s="4"/>
      <c r="D167" s="4"/>
      <c r="E167" s="4"/>
      <c r="F167" s="4"/>
      <c r="G167" s="4"/>
      <c r="H167" s="4"/>
      <c r="I167" s="4"/>
    </row>
    <row r="168" spans="1:9" ht="15.9" x14ac:dyDescent="0.4">
      <c r="A168" s="4"/>
      <c r="B168" s="4"/>
      <c r="C168" s="4"/>
      <c r="D168" s="4"/>
      <c r="E168" s="4"/>
      <c r="F168" s="4"/>
      <c r="G168" s="4"/>
      <c r="H168" s="4"/>
      <c r="I168" s="4"/>
    </row>
    <row r="169" spans="1:9" ht="15.9" x14ac:dyDescent="0.4">
      <c r="A169" s="4"/>
      <c r="B169" s="4"/>
      <c r="C169" s="4"/>
      <c r="D169" s="4"/>
      <c r="E169" s="4"/>
      <c r="F169" s="4"/>
      <c r="G169" s="4"/>
      <c r="H169" s="4"/>
      <c r="I169" s="4"/>
    </row>
    <row r="170" spans="1:9" ht="15.9" x14ac:dyDescent="0.4">
      <c r="A170" s="4"/>
      <c r="B170" s="4"/>
      <c r="C170" s="4"/>
      <c r="D170" s="4"/>
      <c r="E170" s="4"/>
      <c r="F170" s="4"/>
      <c r="G170" s="4"/>
      <c r="H170" s="4"/>
      <c r="I170" s="4"/>
    </row>
    <row r="171" spans="1:9" ht="15.9" x14ac:dyDescent="0.4">
      <c r="A171" s="4"/>
      <c r="B171" s="4"/>
      <c r="C171" s="4"/>
      <c r="D171" s="4"/>
      <c r="E171" s="4"/>
      <c r="F171" s="4"/>
      <c r="G171" s="4"/>
      <c r="H171" s="4"/>
      <c r="I171" s="4"/>
    </row>
    <row r="172" spans="1:9" ht="15.9" x14ac:dyDescent="0.4">
      <c r="A172" s="4"/>
      <c r="B172" s="4"/>
      <c r="C172" s="4"/>
      <c r="D172" s="4"/>
      <c r="E172" s="4"/>
      <c r="F172" s="4"/>
      <c r="G172" s="4"/>
      <c r="H172" s="4"/>
      <c r="I172" s="4"/>
    </row>
    <row r="173" spans="1:9" ht="15.9" x14ac:dyDescent="0.4">
      <c r="A173" s="4"/>
      <c r="B173" s="4"/>
      <c r="C173" s="4"/>
      <c r="D173" s="4"/>
      <c r="E173" s="4"/>
      <c r="F173" s="4"/>
      <c r="G173" s="4"/>
      <c r="H173" s="4"/>
      <c r="I173" s="4"/>
    </row>
    <row r="174" spans="1:9" ht="15.9" x14ac:dyDescent="0.4">
      <c r="A174" s="4"/>
      <c r="B174" s="4"/>
      <c r="C174" s="4"/>
      <c r="D174" s="4"/>
      <c r="E174" s="4"/>
      <c r="F174" s="4"/>
      <c r="G174" s="4"/>
      <c r="H174" s="4"/>
      <c r="I174" s="4"/>
    </row>
    <row r="175" spans="1:9" ht="15.9" x14ac:dyDescent="0.4">
      <c r="A175" s="4"/>
      <c r="B175" s="4"/>
      <c r="C175" s="4"/>
      <c r="D175" s="4"/>
      <c r="E175" s="4"/>
      <c r="F175" s="4"/>
      <c r="G175" s="4"/>
      <c r="H175" s="4"/>
      <c r="I175" s="4"/>
    </row>
    <row r="176" spans="1:9" ht="15.9" x14ac:dyDescent="0.4">
      <c r="A176" s="4"/>
      <c r="B176" s="4"/>
      <c r="C176" s="4"/>
      <c r="D176" s="4"/>
      <c r="E176" s="4"/>
      <c r="F176" s="4"/>
      <c r="G176" s="4"/>
      <c r="H176" s="4"/>
      <c r="I176" s="4"/>
    </row>
    <row r="177" spans="1:9" ht="15.9" x14ac:dyDescent="0.4">
      <c r="A177" s="4"/>
      <c r="B177" s="4"/>
      <c r="C177" s="4"/>
      <c r="D177" s="4"/>
      <c r="E177" s="4"/>
      <c r="F177" s="4"/>
      <c r="G177" s="4"/>
      <c r="H177" s="4"/>
      <c r="I177" s="4"/>
    </row>
    <row r="178" spans="1:9" ht="15.9" x14ac:dyDescent="0.4">
      <c r="A178" s="4"/>
      <c r="B178" s="4"/>
      <c r="C178" s="4"/>
      <c r="D178" s="4"/>
      <c r="E178" s="4"/>
      <c r="F178" s="4"/>
      <c r="G178" s="4"/>
      <c r="H178" s="4"/>
      <c r="I178" s="4"/>
    </row>
    <row r="179" spans="1:9" ht="15.9" x14ac:dyDescent="0.4">
      <c r="A179" s="4"/>
      <c r="B179" s="4"/>
      <c r="C179" s="4"/>
      <c r="D179" s="4"/>
      <c r="E179" s="4"/>
      <c r="F179" s="4"/>
      <c r="G179" s="4"/>
      <c r="H179" s="4"/>
      <c r="I179" s="4"/>
    </row>
    <row r="180" spans="1:9" ht="15.9" x14ac:dyDescent="0.4">
      <c r="A180" s="4"/>
      <c r="B180" s="4"/>
      <c r="C180" s="4"/>
      <c r="D180" s="4"/>
      <c r="E180" s="4"/>
      <c r="F180" s="4"/>
      <c r="G180" s="4"/>
      <c r="H180" s="4"/>
      <c r="I180" s="4"/>
    </row>
    <row r="181" spans="1:9" ht="15.9" x14ac:dyDescent="0.4">
      <c r="A181" s="4"/>
      <c r="B181" s="4"/>
      <c r="C181" s="4"/>
      <c r="D181" s="4"/>
      <c r="E181" s="4"/>
      <c r="F181" s="4"/>
      <c r="G181" s="4"/>
      <c r="H181" s="4"/>
      <c r="I181" s="4"/>
    </row>
    <row r="182" spans="1:9" ht="15.9" x14ac:dyDescent="0.4">
      <c r="A182" s="4"/>
      <c r="B182" s="4"/>
      <c r="C182" s="4"/>
      <c r="D182" s="4"/>
      <c r="E182" s="4"/>
      <c r="F182" s="4"/>
      <c r="G182" s="4"/>
      <c r="H182" s="4"/>
      <c r="I182" s="4"/>
    </row>
    <row r="183" spans="1:9" ht="15.9" x14ac:dyDescent="0.4">
      <c r="A183" s="4"/>
      <c r="B183" s="4"/>
      <c r="C183" s="4"/>
      <c r="D183" s="4"/>
      <c r="E183" s="4"/>
      <c r="F183" s="4"/>
      <c r="G183" s="4"/>
      <c r="H183" s="4"/>
      <c r="I183" s="4"/>
    </row>
    <row r="184" spans="1:9" ht="15.9" x14ac:dyDescent="0.4">
      <c r="A184" s="4"/>
      <c r="B184" s="4"/>
      <c r="C184" s="4"/>
      <c r="D184" s="4"/>
      <c r="E184" s="4"/>
      <c r="F184" s="4"/>
      <c r="G184" s="4"/>
      <c r="H184" s="4"/>
      <c r="I184" s="4"/>
    </row>
    <row r="185" spans="1:9" ht="15.9" x14ac:dyDescent="0.4">
      <c r="A185" s="4"/>
      <c r="B185" s="4"/>
      <c r="C185" s="4"/>
      <c r="D185" s="4"/>
      <c r="E185" s="4"/>
      <c r="F185" s="4"/>
      <c r="G185" s="4"/>
      <c r="H185" s="4"/>
      <c r="I185" s="4"/>
    </row>
    <row r="186" spans="1:9" ht="15.9" x14ac:dyDescent="0.4">
      <c r="A186" s="4"/>
      <c r="B186" s="4"/>
      <c r="C186" s="4"/>
      <c r="D186" s="4"/>
      <c r="E186" s="4"/>
      <c r="F186" s="4"/>
      <c r="G186" s="4"/>
      <c r="H186" s="4"/>
      <c r="I186" s="4"/>
    </row>
    <row r="187" spans="1:9" ht="15.9" x14ac:dyDescent="0.4">
      <c r="A187" s="4"/>
      <c r="B187" s="4"/>
      <c r="C187" s="4"/>
      <c r="D187" s="4"/>
      <c r="E187" s="4"/>
      <c r="F187" s="4"/>
      <c r="G187" s="4"/>
      <c r="H187" s="4"/>
      <c r="I187" s="4"/>
    </row>
    <row r="188" spans="1:9" ht="15.9" x14ac:dyDescent="0.4">
      <c r="A188" s="4"/>
      <c r="B188" s="4"/>
      <c r="C188" s="4"/>
      <c r="D188" s="4"/>
      <c r="E188" s="4"/>
      <c r="F188" s="4"/>
      <c r="G188" s="4"/>
      <c r="H188" s="4"/>
      <c r="I188" s="4"/>
    </row>
    <row r="189" spans="1:9" ht="15.9" x14ac:dyDescent="0.4">
      <c r="A189" s="4"/>
      <c r="B189" s="4"/>
      <c r="C189" s="4"/>
      <c r="D189" s="4"/>
      <c r="E189" s="4"/>
      <c r="F189" s="4"/>
      <c r="G189" s="4"/>
      <c r="H189" s="4"/>
      <c r="I189" s="4"/>
    </row>
    <row r="190" spans="1:9" ht="15.9" x14ac:dyDescent="0.4">
      <c r="A190" s="4"/>
      <c r="B190" s="4"/>
      <c r="C190" s="4"/>
      <c r="D190" s="4"/>
      <c r="E190" s="4"/>
      <c r="F190" s="4"/>
      <c r="G190" s="4"/>
      <c r="H190" s="4"/>
      <c r="I190" s="4"/>
    </row>
    <row r="191" spans="1:9" ht="15.9" x14ac:dyDescent="0.4">
      <c r="A191" s="4"/>
      <c r="B191" s="4"/>
      <c r="C191" s="4"/>
      <c r="D191" s="4"/>
      <c r="E191" s="4"/>
      <c r="F191" s="4"/>
      <c r="G191" s="4"/>
      <c r="H191" s="4"/>
      <c r="I191" s="4"/>
    </row>
    <row r="192" spans="1:9" ht="15.9" x14ac:dyDescent="0.4">
      <c r="A192" s="4"/>
      <c r="B192" s="4"/>
      <c r="C192" s="4"/>
      <c r="D192" s="4"/>
      <c r="E192" s="4"/>
      <c r="F192" s="4"/>
      <c r="G192" s="4"/>
      <c r="H192" s="4"/>
      <c r="I192" s="4"/>
    </row>
    <row r="193" spans="1:9" ht="15.9" x14ac:dyDescent="0.4">
      <c r="A193" s="4"/>
      <c r="B193" s="4"/>
      <c r="C193" s="4"/>
      <c r="D193" s="4"/>
      <c r="E193" s="4"/>
      <c r="F193" s="4"/>
      <c r="G193" s="4"/>
      <c r="H193" s="4"/>
      <c r="I193" s="4"/>
    </row>
    <row r="194" spans="1:9" ht="15.9" x14ac:dyDescent="0.4">
      <c r="A194" s="4"/>
      <c r="B194" s="4"/>
      <c r="C194" s="4"/>
      <c r="D194" s="4"/>
      <c r="E194" s="4"/>
      <c r="F194" s="4"/>
      <c r="G194" s="4"/>
      <c r="H194" s="4"/>
      <c r="I194" s="4"/>
    </row>
    <row r="195" spans="1:9" ht="15.9" x14ac:dyDescent="0.4">
      <c r="A195" s="4"/>
      <c r="B195" s="4"/>
      <c r="C195" s="4"/>
      <c r="D195" s="4"/>
      <c r="E195" s="4"/>
      <c r="F195" s="4"/>
      <c r="G195" s="4"/>
      <c r="H195" s="4"/>
      <c r="I195" s="4"/>
    </row>
    <row r="196" spans="1:9" ht="15.9" x14ac:dyDescent="0.4">
      <c r="A196" s="4"/>
      <c r="B196" s="4"/>
      <c r="C196" s="4"/>
      <c r="D196" s="4"/>
      <c r="E196" s="4"/>
      <c r="F196" s="4"/>
      <c r="G196" s="4"/>
      <c r="H196" s="4"/>
      <c r="I196" s="4"/>
    </row>
    <row r="197" spans="1:9" ht="15.9" x14ac:dyDescent="0.4">
      <c r="A197" s="4"/>
      <c r="B197" s="4"/>
      <c r="C197" s="4"/>
      <c r="D197" s="4"/>
      <c r="E197" s="4"/>
      <c r="F197" s="4"/>
      <c r="G197" s="4"/>
      <c r="H197" s="4"/>
      <c r="I197" s="4"/>
    </row>
    <row r="198" spans="1:9" ht="15.9" x14ac:dyDescent="0.4">
      <c r="A198" s="4"/>
      <c r="B198" s="4"/>
      <c r="C198" s="4"/>
      <c r="D198" s="4"/>
      <c r="E198" s="4"/>
      <c r="F198" s="4"/>
      <c r="G198" s="4"/>
      <c r="H198" s="4"/>
      <c r="I198" s="4"/>
    </row>
    <row r="199" spans="1:9" ht="15.9" x14ac:dyDescent="0.4">
      <c r="A199" s="4"/>
      <c r="B199" s="4"/>
      <c r="C199" s="4"/>
      <c r="D199" s="4"/>
      <c r="E199" s="4"/>
      <c r="F199" s="4"/>
      <c r="G199" s="4"/>
      <c r="H199" s="4"/>
      <c r="I199" s="4"/>
    </row>
    <row r="200" spans="1:9" ht="15.9" x14ac:dyDescent="0.4">
      <c r="A200" s="4"/>
      <c r="B200" s="4"/>
      <c r="C200" s="4"/>
      <c r="D200" s="4"/>
      <c r="E200" s="4"/>
      <c r="F200" s="4"/>
      <c r="G200" s="4"/>
      <c r="H200" s="4"/>
      <c r="I200" s="4"/>
    </row>
    <row r="201" spans="1:9" ht="15.9" x14ac:dyDescent="0.4">
      <c r="A201" s="4"/>
      <c r="B201" s="4"/>
      <c r="C201" s="4"/>
      <c r="D201" s="4"/>
      <c r="E201" s="4"/>
      <c r="F201" s="4"/>
      <c r="G201" s="4"/>
      <c r="H201" s="4"/>
      <c r="I201" s="4"/>
    </row>
    <row r="202" spans="1:9" ht="15.9" x14ac:dyDescent="0.4">
      <c r="A202" s="4"/>
      <c r="B202" s="4"/>
      <c r="C202" s="4"/>
      <c r="D202" s="4"/>
      <c r="E202" s="4"/>
      <c r="F202" s="4"/>
      <c r="G202" s="4"/>
      <c r="H202" s="4"/>
      <c r="I202" s="4"/>
    </row>
    <row r="203" spans="1:9" ht="15.9" x14ac:dyDescent="0.4">
      <c r="A203" s="4"/>
      <c r="B203" s="4"/>
      <c r="C203" s="4"/>
      <c r="D203" s="4"/>
      <c r="E203" s="4"/>
      <c r="F203" s="4"/>
      <c r="G203" s="4"/>
      <c r="H203" s="4"/>
      <c r="I203" s="4"/>
    </row>
    <row r="204" spans="1:9" ht="15.9" x14ac:dyDescent="0.4">
      <c r="A204" s="4"/>
      <c r="B204" s="4"/>
      <c r="C204" s="4"/>
      <c r="D204" s="4"/>
      <c r="E204" s="4"/>
      <c r="F204" s="4"/>
      <c r="G204" s="4"/>
      <c r="H204" s="4"/>
      <c r="I204" s="4"/>
    </row>
    <row r="205" spans="1:9" ht="15.9" x14ac:dyDescent="0.4">
      <c r="A205" s="4"/>
      <c r="B205" s="4"/>
      <c r="C205" s="4"/>
      <c r="D205" s="4"/>
      <c r="E205" s="4"/>
      <c r="F205" s="4"/>
      <c r="G205" s="4"/>
      <c r="H205" s="4"/>
      <c r="I205" s="4"/>
    </row>
    <row r="206" spans="1:9" ht="15.9" x14ac:dyDescent="0.4">
      <c r="A206" s="4"/>
      <c r="B206" s="4"/>
      <c r="C206" s="4"/>
      <c r="D206" s="4"/>
      <c r="E206" s="4"/>
      <c r="F206" s="4"/>
      <c r="G206" s="4"/>
      <c r="H206" s="4"/>
      <c r="I206" s="4"/>
    </row>
    <row r="207" spans="1:9" ht="15.9" x14ac:dyDescent="0.4">
      <c r="A207" s="4"/>
      <c r="B207" s="4"/>
      <c r="C207" s="4"/>
      <c r="D207" s="4"/>
      <c r="E207" s="4"/>
      <c r="F207" s="4"/>
      <c r="G207" s="4"/>
      <c r="H207" s="4"/>
      <c r="I207" s="4"/>
    </row>
    <row r="208" spans="1:9" ht="15.9" x14ac:dyDescent="0.4">
      <c r="A208" s="4"/>
      <c r="B208" s="4"/>
      <c r="C208" s="4"/>
      <c r="D208" s="4"/>
      <c r="E208" s="4"/>
      <c r="F208" s="4"/>
      <c r="G208" s="4"/>
      <c r="H208" s="4"/>
      <c r="I208" s="4"/>
    </row>
    <row r="209" spans="1:9" ht="15.9" x14ac:dyDescent="0.4">
      <c r="A209" s="4"/>
      <c r="B209" s="4"/>
      <c r="C209" s="4"/>
      <c r="D209" s="4"/>
      <c r="E209" s="4"/>
      <c r="F209" s="4"/>
      <c r="G209" s="4"/>
      <c r="H209" s="4"/>
      <c r="I209" s="4"/>
    </row>
    <row r="210" spans="1:9" ht="15.9" x14ac:dyDescent="0.4">
      <c r="A210" s="4"/>
      <c r="B210" s="4"/>
      <c r="C210" s="4"/>
      <c r="D210" s="4"/>
      <c r="E210" s="4"/>
      <c r="F210" s="4"/>
      <c r="G210" s="4"/>
      <c r="H210" s="4"/>
      <c r="I210" s="4"/>
    </row>
    <row r="211" spans="1:9" ht="15.9" x14ac:dyDescent="0.4">
      <c r="A211" s="4"/>
      <c r="B211" s="4"/>
      <c r="C211" s="4"/>
      <c r="D211" s="4"/>
      <c r="E211" s="4"/>
      <c r="F211" s="4"/>
      <c r="G211" s="4"/>
      <c r="H211" s="4"/>
      <c r="I211" s="4"/>
    </row>
    <row r="212" spans="1:9" ht="15.9" x14ac:dyDescent="0.4">
      <c r="A212" s="4"/>
      <c r="B212" s="4"/>
      <c r="C212" s="4"/>
      <c r="D212" s="4"/>
      <c r="E212" s="4"/>
      <c r="F212" s="4"/>
      <c r="G212" s="4"/>
      <c r="H212" s="4"/>
      <c r="I212" s="4"/>
    </row>
    <row r="213" spans="1:9" ht="15.9" x14ac:dyDescent="0.4">
      <c r="A213" s="4"/>
      <c r="B213" s="4"/>
      <c r="C213" s="4"/>
      <c r="D213" s="4"/>
      <c r="E213" s="4"/>
      <c r="F213" s="4"/>
      <c r="G213" s="4"/>
      <c r="H213" s="4"/>
      <c r="I213" s="4"/>
    </row>
    <row r="214" spans="1:9" ht="15.9" x14ac:dyDescent="0.4">
      <c r="A214" s="4"/>
      <c r="B214" s="4"/>
      <c r="C214" s="4"/>
      <c r="D214" s="4"/>
      <c r="E214" s="4"/>
      <c r="F214" s="4"/>
      <c r="G214" s="4"/>
      <c r="H214" s="4"/>
      <c r="I214" s="4"/>
    </row>
    <row r="215" spans="1:9" ht="15.9" x14ac:dyDescent="0.4">
      <c r="A215" s="4"/>
      <c r="B215" s="4"/>
      <c r="C215" s="4"/>
      <c r="D215" s="4"/>
      <c r="E215" s="4"/>
      <c r="F215" s="4"/>
      <c r="G215" s="4"/>
      <c r="H215" s="4"/>
      <c r="I215" s="4"/>
    </row>
    <row r="216" spans="1:9" ht="15.9" x14ac:dyDescent="0.4">
      <c r="A216" s="4"/>
      <c r="B216" s="4"/>
      <c r="C216" s="4"/>
      <c r="D216" s="4"/>
      <c r="E216" s="4"/>
      <c r="F216" s="4"/>
      <c r="G216" s="4"/>
      <c r="H216" s="4"/>
      <c r="I216" s="4"/>
    </row>
    <row r="217" spans="1:9" ht="15.9" x14ac:dyDescent="0.4">
      <c r="A217" s="4"/>
      <c r="B217" s="4"/>
      <c r="C217" s="4"/>
      <c r="D217" s="4"/>
      <c r="E217" s="4"/>
      <c r="F217" s="4"/>
      <c r="G217" s="4"/>
      <c r="H217" s="4"/>
      <c r="I217" s="4"/>
    </row>
    <row r="218" spans="1:9" ht="15.9" x14ac:dyDescent="0.4">
      <c r="A218" s="4"/>
      <c r="B218" s="4"/>
      <c r="C218" s="4"/>
      <c r="D218" s="4"/>
      <c r="E218" s="4"/>
      <c r="F218" s="4"/>
      <c r="G218" s="4"/>
      <c r="H218" s="4"/>
      <c r="I218" s="4"/>
    </row>
    <row r="219" spans="1:9" ht="15.9" x14ac:dyDescent="0.4">
      <c r="A219" s="4"/>
      <c r="B219" s="4"/>
      <c r="C219" s="4"/>
      <c r="D219" s="4"/>
      <c r="E219" s="4"/>
      <c r="F219" s="4"/>
      <c r="G219" s="4"/>
      <c r="H219" s="4"/>
      <c r="I219" s="4"/>
    </row>
    <row r="220" spans="1:9" ht="15.9" x14ac:dyDescent="0.4">
      <c r="A220" s="4"/>
      <c r="B220" s="4"/>
      <c r="C220" s="4"/>
      <c r="D220" s="4"/>
      <c r="E220" s="4"/>
      <c r="F220" s="4"/>
      <c r="G220" s="4"/>
      <c r="H220" s="4"/>
      <c r="I220" s="4"/>
    </row>
    <row r="221" spans="1:9" ht="15.9" x14ac:dyDescent="0.4">
      <c r="A221" s="4"/>
      <c r="B221" s="4"/>
      <c r="C221" s="4"/>
      <c r="D221" s="4"/>
      <c r="E221" s="4"/>
      <c r="F221" s="4"/>
      <c r="G221" s="4"/>
      <c r="H221" s="4"/>
      <c r="I221" s="4"/>
    </row>
    <row r="222" spans="1:9" ht="15.9" x14ac:dyDescent="0.4">
      <c r="A222" s="4"/>
      <c r="B222" s="4"/>
      <c r="C222" s="4"/>
      <c r="D222" s="4"/>
      <c r="E222" s="4"/>
      <c r="F222" s="4"/>
      <c r="G222" s="4"/>
      <c r="H222" s="4"/>
      <c r="I222" s="4"/>
    </row>
    <row r="223" spans="1:9" ht="15.9" x14ac:dyDescent="0.4">
      <c r="A223" s="4"/>
      <c r="B223" s="4"/>
      <c r="C223" s="4"/>
      <c r="D223" s="4"/>
      <c r="E223" s="4"/>
      <c r="F223" s="4"/>
      <c r="G223" s="4"/>
      <c r="H223" s="4"/>
      <c r="I223" s="4"/>
    </row>
    <row r="224" spans="1:9" ht="15.9" x14ac:dyDescent="0.4">
      <c r="A224" s="4"/>
      <c r="B224" s="4"/>
      <c r="C224" s="4"/>
      <c r="D224" s="4"/>
      <c r="E224" s="4"/>
      <c r="F224" s="4"/>
      <c r="G224" s="4"/>
      <c r="H224" s="4"/>
      <c r="I224" s="4"/>
    </row>
    <row r="225" spans="1:9" ht="15.9" x14ac:dyDescent="0.4">
      <c r="A225" s="4"/>
      <c r="B225" s="4"/>
      <c r="C225" s="4"/>
      <c r="D225" s="4"/>
      <c r="E225" s="4"/>
      <c r="F225" s="4"/>
      <c r="G225" s="4"/>
      <c r="H225" s="4"/>
      <c r="I225" s="4"/>
    </row>
    <row r="226" spans="1:9" ht="15.9" x14ac:dyDescent="0.4">
      <c r="A226" s="4"/>
      <c r="B226" s="4"/>
      <c r="C226" s="4"/>
      <c r="D226" s="4"/>
      <c r="E226" s="4"/>
      <c r="F226" s="4"/>
      <c r="G226" s="4"/>
      <c r="H226" s="4"/>
      <c r="I226" s="4"/>
    </row>
    <row r="227" spans="1:9" ht="15.9" x14ac:dyDescent="0.4">
      <c r="A227" s="4"/>
      <c r="B227" s="4"/>
      <c r="C227" s="4"/>
      <c r="D227" s="4"/>
      <c r="E227" s="4"/>
      <c r="F227" s="4"/>
      <c r="G227" s="4"/>
      <c r="H227" s="4"/>
      <c r="I227" s="4"/>
    </row>
    <row r="228" spans="1:9" ht="15.9" x14ac:dyDescent="0.4">
      <c r="A228" s="4"/>
      <c r="B228" s="4"/>
      <c r="C228" s="4"/>
      <c r="D228" s="4"/>
      <c r="E228" s="4"/>
      <c r="F228" s="4"/>
      <c r="G228" s="4"/>
      <c r="H228" s="4"/>
      <c r="I228" s="4"/>
    </row>
    <row r="229" spans="1:9" ht="15.9" x14ac:dyDescent="0.4">
      <c r="A229" s="4"/>
      <c r="B229" s="4"/>
      <c r="C229" s="4"/>
      <c r="D229" s="4"/>
      <c r="E229" s="4"/>
      <c r="F229" s="4"/>
      <c r="G229" s="4"/>
      <c r="H229" s="4"/>
      <c r="I229" s="4"/>
    </row>
    <row r="230" spans="1:9" ht="15.9" x14ac:dyDescent="0.4">
      <c r="A230" s="4"/>
      <c r="B230" s="4"/>
      <c r="C230" s="4"/>
      <c r="D230" s="4"/>
      <c r="E230" s="4"/>
      <c r="F230" s="4"/>
      <c r="G230" s="4"/>
      <c r="H230" s="4"/>
      <c r="I230" s="4"/>
    </row>
    <row r="231" spans="1:9" ht="15.9" x14ac:dyDescent="0.4">
      <c r="A231" s="4"/>
      <c r="B231" s="4"/>
      <c r="C231" s="4"/>
      <c r="D231" s="4"/>
      <c r="E231" s="4"/>
      <c r="F231" s="4"/>
      <c r="G231" s="4"/>
      <c r="H231" s="4"/>
      <c r="I231" s="4"/>
    </row>
    <row r="232" spans="1:9" ht="15.9" x14ac:dyDescent="0.4">
      <c r="A232" s="4"/>
      <c r="B232" s="4"/>
      <c r="C232" s="4"/>
      <c r="D232" s="4"/>
      <c r="E232" s="4"/>
      <c r="F232" s="4"/>
      <c r="G232" s="4"/>
      <c r="H232" s="4"/>
      <c r="I232" s="4"/>
    </row>
    <row r="233" spans="1:9" ht="15.9" x14ac:dyDescent="0.4">
      <c r="A233" s="4"/>
      <c r="B233" s="4"/>
      <c r="C233" s="4"/>
      <c r="D233" s="4"/>
      <c r="E233" s="4"/>
      <c r="F233" s="4"/>
      <c r="G233" s="4"/>
      <c r="H233" s="4"/>
      <c r="I233" s="4"/>
    </row>
    <row r="234" spans="1:9" ht="15.9" x14ac:dyDescent="0.4">
      <c r="A234" s="4"/>
      <c r="B234" s="4"/>
      <c r="C234" s="4"/>
      <c r="D234" s="4"/>
      <c r="E234" s="4"/>
      <c r="F234" s="4"/>
      <c r="G234" s="4"/>
      <c r="H234" s="4"/>
      <c r="I234" s="4"/>
    </row>
    <row r="235" spans="1:9" ht="15.9" x14ac:dyDescent="0.4">
      <c r="A235" s="4"/>
      <c r="B235" s="4"/>
      <c r="C235" s="4"/>
      <c r="D235" s="4"/>
      <c r="E235" s="4"/>
      <c r="F235" s="4"/>
      <c r="G235" s="4"/>
      <c r="H235" s="4"/>
      <c r="I235" s="4"/>
    </row>
    <row r="236" spans="1:9" ht="15.9" x14ac:dyDescent="0.4">
      <c r="A236" s="4"/>
      <c r="B236" s="4"/>
      <c r="C236" s="4"/>
      <c r="D236" s="4"/>
      <c r="E236" s="4"/>
      <c r="F236" s="4"/>
      <c r="G236" s="4"/>
      <c r="H236" s="4"/>
      <c r="I236" s="4"/>
    </row>
    <row r="237" spans="1:9" ht="15.9" x14ac:dyDescent="0.4">
      <c r="A237" s="4"/>
      <c r="B237" s="4"/>
      <c r="C237" s="4"/>
      <c r="D237" s="4"/>
      <c r="E237" s="4"/>
      <c r="F237" s="4"/>
      <c r="G237" s="4"/>
      <c r="H237" s="4"/>
      <c r="I237" s="4"/>
    </row>
    <row r="238" spans="1:9" ht="15.9" x14ac:dyDescent="0.4">
      <c r="A238" s="4"/>
      <c r="B238" s="4"/>
      <c r="C238" s="4"/>
      <c r="D238" s="4"/>
      <c r="E238" s="4"/>
      <c r="F238" s="4"/>
      <c r="G238" s="4"/>
      <c r="H238" s="4"/>
      <c r="I238" s="4"/>
    </row>
    <row r="239" spans="1:9" ht="15.9" x14ac:dyDescent="0.4">
      <c r="A239" s="4"/>
      <c r="B239" s="4"/>
      <c r="C239" s="4"/>
      <c r="D239" s="4"/>
      <c r="E239" s="4"/>
      <c r="F239" s="4"/>
      <c r="G239" s="4"/>
      <c r="H239" s="4"/>
      <c r="I239" s="4"/>
    </row>
    <row r="240" spans="1:9" ht="15.9" x14ac:dyDescent="0.4">
      <c r="A240" s="4"/>
      <c r="B240" s="4"/>
      <c r="C240" s="4"/>
      <c r="D240" s="4"/>
      <c r="E240" s="4"/>
      <c r="F240" s="4"/>
      <c r="G240" s="4"/>
      <c r="H240" s="4"/>
      <c r="I240" s="4"/>
    </row>
    <row r="241" spans="1:9" ht="15.9" x14ac:dyDescent="0.4">
      <c r="A241" s="4"/>
      <c r="B241" s="4"/>
      <c r="C241" s="4"/>
      <c r="D241" s="4"/>
      <c r="E241" s="4"/>
      <c r="F241" s="4"/>
      <c r="G241" s="4"/>
      <c r="H241" s="4"/>
      <c r="I241" s="4"/>
    </row>
    <row r="242" spans="1:9" ht="15.9" x14ac:dyDescent="0.4">
      <c r="A242" s="4"/>
      <c r="B242" s="4"/>
      <c r="C242" s="4"/>
      <c r="D242" s="4"/>
      <c r="E242" s="4"/>
      <c r="F242" s="4"/>
      <c r="G242" s="4"/>
      <c r="H242" s="4"/>
      <c r="I242" s="4"/>
    </row>
    <row r="243" spans="1:9" ht="15.9" x14ac:dyDescent="0.4">
      <c r="A243" s="4"/>
      <c r="B243" s="4"/>
      <c r="C243" s="4"/>
      <c r="D243" s="4"/>
      <c r="E243" s="4"/>
      <c r="F243" s="4"/>
      <c r="G243" s="4"/>
      <c r="H243" s="4"/>
      <c r="I243" s="4"/>
    </row>
    <row r="244" spans="1:9" ht="15.9" x14ac:dyDescent="0.4">
      <c r="A244" s="4"/>
      <c r="B244" s="4"/>
      <c r="C244" s="4"/>
      <c r="D244" s="4"/>
      <c r="E244" s="4"/>
      <c r="F244" s="4"/>
      <c r="G244" s="4"/>
      <c r="H244" s="4"/>
      <c r="I244" s="4"/>
    </row>
    <row r="245" spans="1:9" ht="15.9" x14ac:dyDescent="0.4">
      <c r="A245" s="4"/>
      <c r="B245" s="4"/>
      <c r="C245" s="4"/>
      <c r="D245" s="4"/>
      <c r="E245" s="4"/>
      <c r="F245" s="4"/>
      <c r="G245" s="4"/>
      <c r="H245" s="4"/>
      <c r="I245" s="4"/>
    </row>
    <row r="246" spans="1:9" ht="15.9" x14ac:dyDescent="0.4">
      <c r="A246" s="4"/>
      <c r="B246" s="4"/>
      <c r="C246" s="4"/>
      <c r="D246" s="4"/>
      <c r="E246" s="4"/>
      <c r="F246" s="4"/>
      <c r="G246" s="4"/>
      <c r="H246" s="4"/>
      <c r="I246" s="4"/>
    </row>
    <row r="247" spans="1:9" ht="15.9" x14ac:dyDescent="0.4">
      <c r="A247" s="4"/>
      <c r="B247" s="4"/>
      <c r="C247" s="4"/>
      <c r="D247" s="4"/>
      <c r="E247" s="4"/>
      <c r="F247" s="4"/>
      <c r="G247" s="4"/>
      <c r="H247" s="4"/>
      <c r="I247" s="4"/>
    </row>
    <row r="248" spans="1:9" ht="15.9" x14ac:dyDescent="0.4">
      <c r="A248" s="4"/>
      <c r="B248" s="4"/>
      <c r="C248" s="4"/>
      <c r="D248" s="4"/>
      <c r="E248" s="4"/>
      <c r="F248" s="4"/>
      <c r="G248" s="4"/>
      <c r="H248" s="4"/>
      <c r="I248" s="4"/>
    </row>
    <row r="249" spans="1:9" ht="15.9" x14ac:dyDescent="0.4">
      <c r="A249" s="4"/>
      <c r="B249" s="4"/>
      <c r="C249" s="4"/>
      <c r="D249" s="4"/>
      <c r="E249" s="4"/>
      <c r="F249" s="4"/>
      <c r="G249" s="4"/>
      <c r="H249" s="4"/>
      <c r="I249" s="4"/>
    </row>
    <row r="250" spans="1:9" ht="15.9" x14ac:dyDescent="0.4">
      <c r="A250" s="4"/>
      <c r="B250" s="4"/>
      <c r="C250" s="4"/>
      <c r="D250" s="4"/>
      <c r="E250" s="4"/>
      <c r="F250" s="4"/>
      <c r="G250" s="4"/>
      <c r="H250" s="4"/>
      <c r="I250" s="4"/>
    </row>
    <row r="251" spans="1:9" ht="15.9" x14ac:dyDescent="0.4">
      <c r="A251" s="4"/>
      <c r="B251" s="4"/>
      <c r="C251" s="4"/>
      <c r="D251" s="4"/>
      <c r="E251" s="4"/>
      <c r="F251" s="4"/>
      <c r="G251" s="4"/>
      <c r="H251" s="4"/>
      <c r="I251" s="4"/>
    </row>
    <row r="252" spans="1:9" ht="15.9" x14ac:dyDescent="0.4">
      <c r="A252" s="4"/>
      <c r="B252" s="4"/>
      <c r="C252" s="4"/>
      <c r="D252" s="4"/>
      <c r="E252" s="4"/>
      <c r="F252" s="4"/>
      <c r="G252" s="4"/>
      <c r="H252" s="4"/>
      <c r="I252" s="4"/>
    </row>
    <row r="253" spans="1:9" ht="15.9" x14ac:dyDescent="0.4">
      <c r="A253" s="4"/>
      <c r="B253" s="4"/>
      <c r="C253" s="4"/>
      <c r="D253" s="4"/>
      <c r="E253" s="4"/>
      <c r="F253" s="4"/>
      <c r="G253" s="4"/>
      <c r="H253" s="4"/>
      <c r="I253" s="4"/>
    </row>
    <row r="254" spans="1:9" ht="15.9" x14ac:dyDescent="0.4">
      <c r="A254" s="4"/>
      <c r="B254" s="4"/>
      <c r="C254" s="4"/>
      <c r="D254" s="4"/>
      <c r="E254" s="4"/>
      <c r="F254" s="4"/>
      <c r="G254" s="4"/>
      <c r="H254" s="4"/>
      <c r="I254" s="4"/>
    </row>
    <row r="255" spans="1:9" ht="15.9" x14ac:dyDescent="0.4">
      <c r="A255" s="4"/>
      <c r="B255" s="4"/>
      <c r="C255" s="4"/>
      <c r="D255" s="4"/>
      <c r="E255" s="4"/>
      <c r="F255" s="4"/>
      <c r="G255" s="4"/>
      <c r="H255" s="4"/>
      <c r="I255" s="4"/>
    </row>
    <row r="256" spans="1:9" ht="15.9" x14ac:dyDescent="0.4">
      <c r="A256" s="4"/>
      <c r="B256" s="4"/>
      <c r="C256" s="4"/>
      <c r="D256" s="4"/>
      <c r="E256" s="4"/>
      <c r="F256" s="4"/>
      <c r="G256" s="4"/>
      <c r="H256" s="4"/>
      <c r="I256" s="4"/>
    </row>
    <row r="257" spans="1:9" ht="15.9" x14ac:dyDescent="0.4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5.9" x14ac:dyDescent="0.4">
      <c r="A258" s="4"/>
      <c r="B258" s="4"/>
      <c r="C258" s="4"/>
      <c r="D258" s="4"/>
      <c r="E258" s="4"/>
      <c r="F258" s="4"/>
      <c r="G258" s="4"/>
      <c r="H258" s="4"/>
      <c r="I258" s="4"/>
    </row>
    <row r="259" spans="1:9" ht="15.9" x14ac:dyDescent="0.4">
      <c r="A259" s="4"/>
      <c r="B259" s="4"/>
      <c r="C259" s="4"/>
      <c r="D259" s="4"/>
      <c r="E259" s="4"/>
      <c r="F259" s="4"/>
      <c r="G259" s="4"/>
      <c r="H259" s="4"/>
      <c r="I259" s="4"/>
    </row>
    <row r="260" spans="1:9" ht="15.9" x14ac:dyDescent="0.4">
      <c r="A260" s="4"/>
      <c r="B260" s="4"/>
      <c r="C260" s="4"/>
      <c r="D260" s="4"/>
      <c r="E260" s="4"/>
      <c r="F260" s="4"/>
      <c r="G260" s="4"/>
      <c r="H260" s="4"/>
      <c r="I260" s="4"/>
    </row>
    <row r="261" spans="1:9" ht="15.9" x14ac:dyDescent="0.4">
      <c r="A261" s="4"/>
      <c r="B261" s="4"/>
      <c r="C261" s="4"/>
      <c r="D261" s="4"/>
      <c r="E261" s="4"/>
      <c r="F261" s="4"/>
      <c r="G261" s="4"/>
      <c r="H261" s="4"/>
      <c r="I261" s="4"/>
    </row>
    <row r="262" spans="1:9" ht="15.9" x14ac:dyDescent="0.4">
      <c r="A262" s="4"/>
      <c r="B262" s="4"/>
      <c r="C262" s="4"/>
      <c r="D262" s="4"/>
      <c r="E262" s="4"/>
      <c r="F262" s="4"/>
      <c r="G262" s="4"/>
      <c r="H262" s="4"/>
      <c r="I262" s="4"/>
    </row>
    <row r="263" spans="1:9" ht="15.9" x14ac:dyDescent="0.4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5.9" x14ac:dyDescent="0.4">
      <c r="A264" s="4"/>
      <c r="B264" s="4"/>
      <c r="C264" s="4"/>
      <c r="D264" s="4"/>
      <c r="E264" s="4"/>
      <c r="F264" s="4"/>
      <c r="G264" s="4"/>
      <c r="H264" s="4"/>
      <c r="I264" s="4"/>
    </row>
    <row r="265" spans="1:9" ht="15.9" x14ac:dyDescent="0.4">
      <c r="A265" s="4"/>
      <c r="B265" s="4"/>
      <c r="C265" s="4"/>
      <c r="D265" s="4"/>
      <c r="E265" s="4"/>
      <c r="F265" s="4"/>
      <c r="G265" s="4"/>
      <c r="H265" s="4"/>
      <c r="I265" s="4"/>
    </row>
    <row r="266" spans="1:9" ht="15.9" x14ac:dyDescent="0.4">
      <c r="A266" s="4"/>
      <c r="B266" s="4"/>
      <c r="C266" s="4"/>
      <c r="D266" s="4"/>
      <c r="E266" s="4"/>
      <c r="F266" s="4"/>
      <c r="G266" s="4"/>
      <c r="H266" s="4"/>
      <c r="I266" s="4"/>
    </row>
    <row r="267" spans="1:9" ht="15.9" x14ac:dyDescent="0.4">
      <c r="A267" s="4"/>
      <c r="B267" s="4"/>
      <c r="C267" s="4"/>
      <c r="D267" s="4"/>
      <c r="E267" s="4"/>
      <c r="F267" s="4"/>
      <c r="G267" s="4"/>
      <c r="H267" s="4"/>
      <c r="I267" s="4"/>
    </row>
    <row r="268" spans="1:9" ht="15.9" x14ac:dyDescent="0.4">
      <c r="A268" s="4"/>
      <c r="B268" s="4"/>
      <c r="C268" s="4"/>
      <c r="D268" s="4"/>
      <c r="E268" s="4"/>
      <c r="F268" s="4"/>
      <c r="G268" s="4"/>
      <c r="H268" s="4"/>
      <c r="I268" s="4"/>
    </row>
    <row r="269" spans="1:9" ht="15.9" x14ac:dyDescent="0.4">
      <c r="A269" s="4"/>
      <c r="B269" s="4"/>
      <c r="C269" s="4"/>
      <c r="D269" s="4"/>
      <c r="E269" s="4"/>
      <c r="F269" s="4"/>
      <c r="G269" s="4"/>
      <c r="H269" s="4"/>
      <c r="I269" s="4"/>
    </row>
    <row r="270" spans="1:9" ht="15.9" x14ac:dyDescent="0.4">
      <c r="A270" s="4"/>
      <c r="B270" s="4"/>
      <c r="C270" s="4"/>
      <c r="D270" s="4"/>
      <c r="E270" s="4"/>
      <c r="F270" s="4"/>
      <c r="G270" s="4"/>
      <c r="H270" s="4"/>
      <c r="I270" s="4"/>
    </row>
    <row r="271" spans="1:9" ht="15.9" x14ac:dyDescent="0.4">
      <c r="A271" s="4"/>
      <c r="B271" s="4"/>
      <c r="C271" s="4"/>
      <c r="D271" s="4"/>
      <c r="E271" s="4"/>
      <c r="F271" s="4"/>
      <c r="G271" s="4"/>
      <c r="H271" s="4"/>
      <c r="I271" s="4"/>
    </row>
    <row r="272" spans="1:9" ht="15.9" x14ac:dyDescent="0.4">
      <c r="A272" s="4"/>
      <c r="B272" s="4"/>
      <c r="C272" s="4"/>
      <c r="D272" s="4"/>
      <c r="E272" s="4"/>
      <c r="F272" s="4"/>
      <c r="G272" s="4"/>
      <c r="H272" s="4"/>
      <c r="I272" s="4"/>
    </row>
    <row r="273" spans="1:9" ht="15.9" x14ac:dyDescent="0.4">
      <c r="A273" s="4"/>
      <c r="B273" s="4"/>
      <c r="C273" s="4"/>
      <c r="D273" s="4"/>
      <c r="E273" s="4"/>
      <c r="F273" s="4"/>
      <c r="G273" s="4"/>
      <c r="H273" s="4"/>
      <c r="I273" s="4"/>
    </row>
    <row r="274" spans="1:9" ht="15.9" x14ac:dyDescent="0.4">
      <c r="A274" s="4"/>
      <c r="B274" s="4"/>
      <c r="C274" s="4"/>
      <c r="D274" s="4"/>
      <c r="E274" s="4"/>
      <c r="F274" s="4"/>
      <c r="G274" s="4"/>
      <c r="H274" s="4"/>
      <c r="I274" s="4"/>
    </row>
    <row r="275" spans="1:9" ht="15.9" x14ac:dyDescent="0.4">
      <c r="A275" s="4"/>
      <c r="B275" s="4"/>
      <c r="C275" s="4"/>
      <c r="D275" s="4"/>
      <c r="E275" s="4"/>
      <c r="F275" s="4"/>
      <c r="G275" s="4"/>
      <c r="H275" s="4"/>
      <c r="I275" s="4"/>
    </row>
    <row r="276" spans="1:9" ht="15.9" x14ac:dyDescent="0.4">
      <c r="A276" s="4"/>
      <c r="B276" s="4"/>
      <c r="C276" s="4"/>
      <c r="D276" s="4"/>
      <c r="E276" s="4"/>
      <c r="F276" s="4"/>
      <c r="G276" s="4"/>
      <c r="H276" s="4"/>
      <c r="I276" s="4"/>
    </row>
    <row r="277" spans="1:9" ht="15.9" x14ac:dyDescent="0.4">
      <c r="A277" s="4"/>
      <c r="B277" s="4"/>
      <c r="C277" s="4"/>
      <c r="D277" s="4"/>
      <c r="E277" s="4"/>
      <c r="F277" s="4"/>
      <c r="G277" s="4"/>
      <c r="H277" s="4"/>
      <c r="I277" s="4"/>
    </row>
    <row r="278" spans="1:9" ht="15.9" x14ac:dyDescent="0.4">
      <c r="A278" s="4"/>
      <c r="B278" s="4"/>
      <c r="C278" s="4"/>
      <c r="D278" s="4"/>
      <c r="E278" s="4"/>
      <c r="F278" s="4"/>
      <c r="G278" s="4"/>
      <c r="H278" s="4"/>
      <c r="I278" s="4"/>
    </row>
    <row r="279" spans="1:9" ht="15.9" x14ac:dyDescent="0.4">
      <c r="A279" s="4"/>
      <c r="B279" s="4"/>
      <c r="C279" s="4"/>
      <c r="D279" s="4"/>
      <c r="E279" s="4"/>
      <c r="F279" s="4"/>
      <c r="G279" s="4"/>
      <c r="H279" s="4"/>
      <c r="I279" s="4"/>
    </row>
    <row r="280" spans="1:9" ht="15.9" x14ac:dyDescent="0.4">
      <c r="A280" s="4"/>
      <c r="B280" s="4"/>
      <c r="C280" s="4"/>
      <c r="D280" s="4"/>
      <c r="E280" s="4"/>
      <c r="F280" s="4"/>
      <c r="G280" s="4"/>
      <c r="H280" s="4"/>
      <c r="I280" s="4"/>
    </row>
    <row r="281" spans="1:9" ht="15.9" x14ac:dyDescent="0.4">
      <c r="A281" s="4"/>
      <c r="B281" s="4"/>
      <c r="C281" s="4"/>
      <c r="D281" s="4"/>
      <c r="E281" s="4"/>
      <c r="F281" s="4"/>
      <c r="G281" s="4"/>
      <c r="H281" s="4"/>
      <c r="I281" s="4"/>
    </row>
    <row r="282" spans="1:9" ht="15.9" x14ac:dyDescent="0.4">
      <c r="A282" s="4"/>
      <c r="B282" s="4"/>
      <c r="C282" s="4"/>
      <c r="D282" s="4"/>
      <c r="E282" s="4"/>
      <c r="F282" s="4"/>
      <c r="G282" s="4"/>
      <c r="H282" s="4"/>
      <c r="I282" s="4"/>
    </row>
    <row r="283" spans="1:9" ht="15.9" x14ac:dyDescent="0.4">
      <c r="A283" s="4"/>
      <c r="B283" s="4"/>
      <c r="C283" s="4"/>
      <c r="D283" s="4"/>
      <c r="E283" s="4"/>
      <c r="F283" s="4"/>
      <c r="G283" s="4"/>
      <c r="H283" s="4"/>
      <c r="I283" s="4"/>
    </row>
    <row r="284" spans="1:9" ht="15.9" x14ac:dyDescent="0.4">
      <c r="A284" s="4"/>
      <c r="B284" s="4"/>
      <c r="C284" s="4"/>
      <c r="D284" s="4"/>
      <c r="E284" s="4"/>
      <c r="F284" s="4"/>
      <c r="G284" s="4"/>
      <c r="H284" s="4"/>
      <c r="I284" s="4"/>
    </row>
    <row r="285" spans="1:9" ht="15.9" x14ac:dyDescent="0.4">
      <c r="A285" s="4"/>
      <c r="B285" s="4"/>
      <c r="C285" s="4"/>
      <c r="D285" s="4"/>
      <c r="E285" s="4"/>
      <c r="F285" s="4"/>
      <c r="G285" s="4"/>
      <c r="H285" s="4"/>
      <c r="I285" s="4"/>
    </row>
    <row r="286" spans="1:9" ht="15.9" x14ac:dyDescent="0.4">
      <c r="A286" s="4"/>
      <c r="B286" s="4"/>
      <c r="C286" s="4"/>
      <c r="D286" s="4"/>
      <c r="E286" s="4"/>
      <c r="F286" s="4"/>
      <c r="G286" s="4"/>
      <c r="H286" s="4"/>
      <c r="I286" s="4"/>
    </row>
    <row r="287" spans="1:9" ht="15.9" x14ac:dyDescent="0.4">
      <c r="A287" s="4"/>
      <c r="B287" s="4"/>
      <c r="C287" s="4"/>
      <c r="D287" s="4"/>
      <c r="E287" s="4"/>
      <c r="F287" s="4"/>
      <c r="G287" s="4"/>
      <c r="H287" s="4"/>
      <c r="I287" s="4"/>
    </row>
    <row r="288" spans="1:9" ht="15.9" x14ac:dyDescent="0.4">
      <c r="A288" s="4"/>
      <c r="B288" s="4"/>
      <c r="C288" s="4"/>
      <c r="D288" s="4"/>
      <c r="E288" s="4"/>
      <c r="F288" s="4"/>
      <c r="G288" s="4"/>
      <c r="H288" s="4"/>
      <c r="I288" s="4"/>
    </row>
    <row r="289" spans="1:9" ht="15.9" x14ac:dyDescent="0.4">
      <c r="A289" s="4"/>
      <c r="B289" s="4"/>
      <c r="C289" s="4"/>
      <c r="D289" s="4"/>
      <c r="E289" s="4"/>
      <c r="F289" s="4"/>
      <c r="G289" s="4"/>
      <c r="H289" s="4"/>
      <c r="I289" s="4"/>
    </row>
    <row r="290" spans="1:9" ht="15.9" x14ac:dyDescent="0.4">
      <c r="A290" s="4"/>
      <c r="B290" s="4"/>
      <c r="C290" s="4"/>
      <c r="D290" s="4"/>
      <c r="E290" s="4"/>
      <c r="F290" s="4"/>
      <c r="G290" s="4"/>
      <c r="H290" s="4"/>
      <c r="I290" s="4"/>
    </row>
    <row r="291" spans="1:9" ht="15.9" x14ac:dyDescent="0.4">
      <c r="A291" s="4"/>
      <c r="B291" s="4"/>
      <c r="C291" s="4"/>
      <c r="D291" s="4"/>
      <c r="E291" s="4"/>
      <c r="F291" s="4"/>
      <c r="G291" s="4"/>
      <c r="H291" s="4"/>
      <c r="I291" s="4"/>
    </row>
    <row r="292" spans="1:9" ht="15.9" x14ac:dyDescent="0.4">
      <c r="A292" s="4"/>
      <c r="B292" s="4"/>
      <c r="C292" s="4"/>
      <c r="D292" s="4"/>
      <c r="E292" s="4"/>
      <c r="F292" s="4"/>
      <c r="G292" s="4"/>
      <c r="H292" s="4"/>
      <c r="I292" s="4"/>
    </row>
    <row r="293" spans="1:9" ht="15.9" x14ac:dyDescent="0.4">
      <c r="A293" s="4"/>
      <c r="B293" s="4"/>
      <c r="C293" s="4"/>
      <c r="D293" s="4"/>
      <c r="E293" s="4"/>
      <c r="F293" s="4"/>
      <c r="G293" s="4"/>
      <c r="H293" s="4"/>
      <c r="I293" s="4"/>
    </row>
    <row r="294" spans="1:9" ht="15.9" x14ac:dyDescent="0.4">
      <c r="A294" s="4"/>
      <c r="B294" s="4"/>
      <c r="C294" s="4"/>
      <c r="D294" s="4"/>
      <c r="E294" s="4"/>
      <c r="F294" s="4"/>
      <c r="G294" s="4"/>
      <c r="H294" s="4"/>
      <c r="I294" s="4"/>
    </row>
    <row r="295" spans="1:9" ht="15.9" x14ac:dyDescent="0.4">
      <c r="A295" s="4"/>
      <c r="B295" s="4"/>
      <c r="C295" s="4"/>
      <c r="D295" s="4"/>
      <c r="E295" s="4"/>
      <c r="F295" s="4"/>
      <c r="G295" s="4"/>
      <c r="H295" s="4"/>
      <c r="I295" s="4"/>
    </row>
    <row r="296" spans="1:9" ht="15.9" x14ac:dyDescent="0.4">
      <c r="A296" s="4"/>
      <c r="B296" s="4"/>
      <c r="C296" s="4"/>
      <c r="D296" s="4"/>
      <c r="E296" s="4"/>
      <c r="F296" s="4"/>
      <c r="G296" s="4"/>
      <c r="H296" s="4"/>
      <c r="I296" s="4"/>
    </row>
    <row r="297" spans="1:9" ht="15.9" x14ac:dyDescent="0.4">
      <c r="A297" s="4"/>
      <c r="B297" s="4"/>
      <c r="C297" s="4"/>
      <c r="D297" s="4"/>
      <c r="E297" s="4"/>
      <c r="F297" s="4"/>
      <c r="G297" s="4"/>
      <c r="H297" s="4"/>
      <c r="I297" s="4"/>
    </row>
    <row r="298" spans="1:9" ht="15.9" x14ac:dyDescent="0.4">
      <c r="A298" s="4"/>
      <c r="B298" s="4"/>
      <c r="C298" s="4"/>
      <c r="D298" s="4"/>
      <c r="E298" s="4"/>
      <c r="F298" s="4"/>
      <c r="G298" s="4"/>
      <c r="H298" s="4"/>
      <c r="I298" s="4"/>
    </row>
    <row r="299" spans="1:9" ht="15.9" x14ac:dyDescent="0.4">
      <c r="A299" s="4"/>
      <c r="B299" s="4"/>
      <c r="C299" s="4"/>
      <c r="D299" s="4"/>
      <c r="E299" s="4"/>
      <c r="F299" s="4"/>
      <c r="G299" s="4"/>
      <c r="H299" s="4"/>
      <c r="I299" s="4"/>
    </row>
    <row r="300" spans="1:9" ht="15.9" x14ac:dyDescent="0.4">
      <c r="A300" s="4"/>
      <c r="B300" s="4"/>
      <c r="C300" s="4"/>
      <c r="D300" s="4"/>
      <c r="E300" s="4"/>
      <c r="F300" s="4"/>
      <c r="G300" s="4"/>
      <c r="H300" s="4"/>
      <c r="I300" s="4"/>
    </row>
    <row r="301" spans="1:9" ht="15.9" x14ac:dyDescent="0.4">
      <c r="A301" s="4"/>
      <c r="B301" s="4"/>
      <c r="C301" s="4"/>
      <c r="D301" s="4"/>
      <c r="E301" s="4"/>
      <c r="F301" s="4"/>
      <c r="G301" s="4"/>
      <c r="H301" s="4"/>
      <c r="I301" s="4"/>
    </row>
    <row r="302" spans="1:9" ht="15.9" x14ac:dyDescent="0.4">
      <c r="A302" s="4"/>
      <c r="B302" s="4"/>
      <c r="C302" s="4"/>
      <c r="D302" s="4"/>
      <c r="E302" s="4"/>
      <c r="F302" s="4"/>
      <c r="G302" s="4"/>
      <c r="H302" s="4"/>
      <c r="I302" s="4"/>
    </row>
    <row r="303" spans="1:9" ht="15.9" x14ac:dyDescent="0.4">
      <c r="A303" s="4"/>
      <c r="B303" s="4"/>
      <c r="C303" s="4"/>
      <c r="D303" s="4"/>
      <c r="E303" s="4"/>
      <c r="F303" s="4"/>
      <c r="G303" s="4"/>
      <c r="H303" s="4"/>
      <c r="I303" s="4"/>
    </row>
    <row r="304" spans="1:9" ht="15.9" x14ac:dyDescent="0.4">
      <c r="A304" s="4"/>
      <c r="B304" s="4"/>
      <c r="C304" s="4"/>
      <c r="D304" s="4"/>
      <c r="E304" s="4"/>
      <c r="F304" s="4"/>
      <c r="G304" s="4"/>
      <c r="H304" s="4"/>
      <c r="I304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5F149-C853-435F-927D-536FEF98057D}">
  <dimension ref="A1:I302"/>
  <sheetViews>
    <sheetView topLeftCell="A84" workbookViewId="0">
      <selection activeCell="C103" sqref="C103"/>
    </sheetView>
  </sheetViews>
  <sheetFormatPr defaultRowHeight="14.6" x14ac:dyDescent="0.4"/>
  <cols>
    <col min="1" max="1" width="16.53515625" customWidth="1"/>
    <col min="2" max="2" width="37.84375" customWidth="1"/>
    <col min="3" max="3" width="39" customWidth="1"/>
    <col min="4" max="4" width="14" customWidth="1"/>
    <col min="5" max="5" width="17.15234375" customWidth="1"/>
    <col min="6" max="6" width="26" customWidth="1"/>
    <col min="7" max="7" width="20.3828125" customWidth="1"/>
    <col min="8" max="8" width="13.53515625" customWidth="1"/>
    <col min="9" max="9" width="37.3828125" customWidth="1"/>
  </cols>
  <sheetData>
    <row r="1" spans="1:9" s="2" customFormat="1" ht="18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9" x14ac:dyDescent="0.4">
      <c r="A2" s="3">
        <v>45870</v>
      </c>
      <c r="B2" s="4" t="s">
        <v>268</v>
      </c>
      <c r="C2" s="4" t="s">
        <v>1676</v>
      </c>
      <c r="D2" s="4">
        <v>19360</v>
      </c>
      <c r="E2" s="4">
        <v>22</v>
      </c>
      <c r="F2" s="4" t="s">
        <v>15</v>
      </c>
      <c r="G2" s="4" t="s">
        <v>25</v>
      </c>
      <c r="H2" s="5">
        <v>2550</v>
      </c>
      <c r="I2" s="4"/>
    </row>
    <row r="3" spans="1:9" ht="15.9" x14ac:dyDescent="0.4">
      <c r="A3" s="3">
        <v>45873</v>
      </c>
      <c r="B3" s="4" t="s">
        <v>1677</v>
      </c>
      <c r="C3" s="4" t="s">
        <v>1678</v>
      </c>
      <c r="D3" s="4">
        <v>5861</v>
      </c>
      <c r="E3" s="4">
        <v>7</v>
      </c>
      <c r="F3" s="4" t="s">
        <v>11</v>
      </c>
      <c r="G3" s="4" t="s">
        <v>19</v>
      </c>
      <c r="H3" s="5">
        <v>1330</v>
      </c>
      <c r="I3" s="4"/>
    </row>
    <row r="4" spans="1:9" ht="15.9" x14ac:dyDescent="0.4">
      <c r="A4" s="3">
        <v>45873</v>
      </c>
      <c r="B4" s="4" t="s">
        <v>875</v>
      </c>
      <c r="C4" s="4" t="s">
        <v>1679</v>
      </c>
      <c r="D4" s="4">
        <v>37030</v>
      </c>
      <c r="E4" s="4">
        <v>48</v>
      </c>
      <c r="F4" s="4" t="s">
        <v>11</v>
      </c>
      <c r="G4" s="4" t="s">
        <v>19</v>
      </c>
      <c r="H4" s="5">
        <v>2400</v>
      </c>
      <c r="I4" s="4"/>
    </row>
    <row r="5" spans="1:9" ht="15.9" x14ac:dyDescent="0.4">
      <c r="A5" s="3">
        <v>45873</v>
      </c>
      <c r="B5" s="4" t="s">
        <v>875</v>
      </c>
      <c r="C5" s="4" t="s">
        <v>1680</v>
      </c>
      <c r="D5" s="4">
        <v>37008</v>
      </c>
      <c r="E5" s="4">
        <v>48</v>
      </c>
      <c r="F5" s="4" t="s">
        <v>11</v>
      </c>
      <c r="G5" s="4" t="s">
        <v>19</v>
      </c>
      <c r="H5" s="5">
        <v>2400</v>
      </c>
      <c r="I5" s="4"/>
    </row>
    <row r="6" spans="1:9" ht="15.9" x14ac:dyDescent="0.4">
      <c r="A6" s="3">
        <v>45873</v>
      </c>
      <c r="B6" s="4" t="s">
        <v>268</v>
      </c>
      <c r="C6" s="4" t="s">
        <v>1681</v>
      </c>
      <c r="D6" s="4">
        <v>38720</v>
      </c>
      <c r="E6" s="4">
        <v>44</v>
      </c>
      <c r="F6" s="4" t="s">
        <v>15</v>
      </c>
      <c r="G6" s="4" t="s">
        <v>25</v>
      </c>
      <c r="H6" s="5">
        <v>2550</v>
      </c>
      <c r="I6" s="4"/>
    </row>
    <row r="7" spans="1:9" ht="15.9" x14ac:dyDescent="0.4">
      <c r="A7" s="3">
        <v>45874</v>
      </c>
      <c r="B7" s="4" t="s">
        <v>875</v>
      </c>
      <c r="C7" s="4" t="s">
        <v>1682</v>
      </c>
      <c r="D7" s="4">
        <v>42248</v>
      </c>
      <c r="E7" s="4">
        <v>48</v>
      </c>
      <c r="F7" s="4" t="s">
        <v>11</v>
      </c>
      <c r="G7" s="4" t="s">
        <v>19</v>
      </c>
      <c r="H7" s="5">
        <v>2400</v>
      </c>
      <c r="I7" s="4"/>
    </row>
    <row r="8" spans="1:9" ht="15.9" x14ac:dyDescent="0.4">
      <c r="A8" s="3">
        <v>45874</v>
      </c>
      <c r="B8" s="4" t="s">
        <v>875</v>
      </c>
      <c r="C8" s="4" t="s">
        <v>1683</v>
      </c>
      <c r="D8" s="4">
        <v>4400</v>
      </c>
      <c r="E8" s="4">
        <v>5</v>
      </c>
      <c r="F8" s="4" t="s">
        <v>35</v>
      </c>
      <c r="G8" s="4" t="s">
        <v>161</v>
      </c>
      <c r="H8" s="5">
        <v>480.74</v>
      </c>
      <c r="I8" s="4"/>
    </row>
    <row r="9" spans="1:9" ht="15.9" x14ac:dyDescent="0.4">
      <c r="A9" s="3">
        <v>45874</v>
      </c>
      <c r="B9" s="4" t="s">
        <v>1684</v>
      </c>
      <c r="C9" s="4" t="s">
        <v>1685</v>
      </c>
      <c r="D9" s="4">
        <v>2349</v>
      </c>
      <c r="E9" s="4">
        <v>4</v>
      </c>
      <c r="F9" s="4" t="s">
        <v>35</v>
      </c>
      <c r="G9" s="4" t="s">
        <v>161</v>
      </c>
      <c r="H9" s="5">
        <v>690.25</v>
      </c>
      <c r="I9" s="4"/>
    </row>
    <row r="10" spans="1:9" ht="15.9" x14ac:dyDescent="0.4">
      <c r="A10" s="3">
        <v>45875</v>
      </c>
      <c r="B10" s="4" t="s">
        <v>207</v>
      </c>
      <c r="C10" s="4" t="s">
        <v>1686</v>
      </c>
      <c r="D10" s="4">
        <v>9677</v>
      </c>
      <c r="E10" s="4">
        <v>11</v>
      </c>
      <c r="F10" s="4" t="s">
        <v>11</v>
      </c>
      <c r="G10" s="4" t="s">
        <v>19</v>
      </c>
      <c r="H10" s="5">
        <v>800</v>
      </c>
      <c r="I10" s="4"/>
    </row>
    <row r="11" spans="1:9" ht="15.9" x14ac:dyDescent="0.4">
      <c r="A11" s="3">
        <v>45875</v>
      </c>
      <c r="B11" s="4" t="s">
        <v>1687</v>
      </c>
      <c r="C11" s="4" t="s">
        <v>1688</v>
      </c>
      <c r="D11" s="4">
        <v>39790</v>
      </c>
      <c r="E11" s="4">
        <v>46</v>
      </c>
      <c r="F11" s="4" t="s">
        <v>15</v>
      </c>
      <c r="G11" s="4" t="s">
        <v>25</v>
      </c>
      <c r="H11" s="5">
        <v>1350</v>
      </c>
      <c r="I11" s="4"/>
    </row>
    <row r="12" spans="1:9" ht="15.9" x14ac:dyDescent="0.4">
      <c r="A12" s="3">
        <v>45877</v>
      </c>
      <c r="B12" s="4" t="s">
        <v>207</v>
      </c>
      <c r="C12" s="4" t="s">
        <v>1689</v>
      </c>
      <c r="D12" s="4">
        <v>37008</v>
      </c>
      <c r="E12" s="4">
        <v>48</v>
      </c>
      <c r="F12" s="4" t="s">
        <v>11</v>
      </c>
      <c r="G12" s="4" t="s">
        <v>19</v>
      </c>
      <c r="H12" s="5">
        <v>1250</v>
      </c>
      <c r="I12" s="4"/>
    </row>
    <row r="13" spans="1:9" ht="15.9" x14ac:dyDescent="0.4">
      <c r="A13" s="3">
        <v>45880</v>
      </c>
      <c r="B13" s="4" t="s">
        <v>1690</v>
      </c>
      <c r="C13" s="4" t="s">
        <v>1691</v>
      </c>
      <c r="D13" s="4">
        <v>39888</v>
      </c>
      <c r="E13" s="4">
        <v>48</v>
      </c>
      <c r="F13" s="4" t="s">
        <v>11</v>
      </c>
      <c r="G13" s="4" t="s">
        <v>12</v>
      </c>
      <c r="H13" s="5"/>
      <c r="I13" s="4"/>
    </row>
    <row r="14" spans="1:9" ht="15.9" x14ac:dyDescent="0.4">
      <c r="A14" s="3">
        <v>45880</v>
      </c>
      <c r="B14" s="4" t="s">
        <v>1690</v>
      </c>
      <c r="C14" s="4" t="s">
        <v>1692</v>
      </c>
      <c r="D14" s="4">
        <v>39888</v>
      </c>
      <c r="E14" s="4">
        <v>48</v>
      </c>
      <c r="F14" s="4" t="s">
        <v>11</v>
      </c>
      <c r="G14" s="4" t="s">
        <v>12</v>
      </c>
      <c r="H14" s="5"/>
      <c r="I14" s="4"/>
    </row>
    <row r="15" spans="1:9" ht="15.9" x14ac:dyDescent="0.4">
      <c r="A15" s="3">
        <v>45880</v>
      </c>
      <c r="B15" s="4" t="s">
        <v>1690</v>
      </c>
      <c r="C15" s="4" t="s">
        <v>1693</v>
      </c>
      <c r="D15" s="4">
        <v>39888</v>
      </c>
      <c r="E15" s="4">
        <v>48</v>
      </c>
      <c r="F15" s="4" t="s">
        <v>11</v>
      </c>
      <c r="G15" s="4" t="s">
        <v>12</v>
      </c>
      <c r="H15" s="5"/>
      <c r="I15" s="4"/>
    </row>
    <row r="16" spans="1:9" ht="15.9" x14ac:dyDescent="0.4">
      <c r="A16" s="3">
        <v>45880</v>
      </c>
      <c r="B16" s="4" t="s">
        <v>1690</v>
      </c>
      <c r="C16" s="4" t="s">
        <v>1694</v>
      </c>
      <c r="D16" s="4">
        <v>39888</v>
      </c>
      <c r="E16" s="4">
        <v>48</v>
      </c>
      <c r="F16" s="4" t="s">
        <v>11</v>
      </c>
      <c r="G16" s="4" t="s">
        <v>12</v>
      </c>
      <c r="H16" s="5"/>
      <c r="I16" s="4"/>
    </row>
    <row r="17" spans="1:9" ht="15.9" x14ac:dyDescent="0.4">
      <c r="A17" s="3">
        <v>45880</v>
      </c>
      <c r="B17" s="4" t="s">
        <v>1695</v>
      </c>
      <c r="C17" s="4" t="s">
        <v>1696</v>
      </c>
      <c r="D17" s="4">
        <v>29900</v>
      </c>
      <c r="E17" s="4">
        <v>23</v>
      </c>
      <c r="F17" s="4" t="s">
        <v>15</v>
      </c>
      <c r="G17" s="4" t="s">
        <v>25</v>
      </c>
      <c r="H17" s="5">
        <v>1950</v>
      </c>
      <c r="I17" s="4"/>
    </row>
    <row r="18" spans="1:9" ht="15.9" x14ac:dyDescent="0.4">
      <c r="A18" s="3">
        <v>45880</v>
      </c>
      <c r="B18" s="4" t="s">
        <v>13</v>
      </c>
      <c r="C18" s="4" t="s">
        <v>1697</v>
      </c>
      <c r="D18" s="4">
        <v>8190</v>
      </c>
      <c r="E18" s="4">
        <v>9</v>
      </c>
      <c r="F18" s="4" t="s">
        <v>35</v>
      </c>
      <c r="G18" s="4" t="s">
        <v>1119</v>
      </c>
      <c r="H18" s="5">
        <v>524.66</v>
      </c>
      <c r="I18" s="4"/>
    </row>
    <row r="19" spans="1:9" ht="15.9" x14ac:dyDescent="0.4">
      <c r="A19" s="3">
        <v>45880</v>
      </c>
      <c r="B19" s="4" t="s">
        <v>1698</v>
      </c>
      <c r="C19" s="4" t="s">
        <v>1699</v>
      </c>
      <c r="D19" s="4">
        <v>3520</v>
      </c>
      <c r="E19" s="4">
        <v>4</v>
      </c>
      <c r="F19" s="4" t="s">
        <v>35</v>
      </c>
      <c r="G19" s="4" t="s">
        <v>161</v>
      </c>
      <c r="H19" s="5">
        <v>638.88</v>
      </c>
      <c r="I19" s="4"/>
    </row>
    <row r="20" spans="1:9" ht="15.9" x14ac:dyDescent="0.4">
      <c r="A20" s="3">
        <v>45880</v>
      </c>
      <c r="B20" s="4" t="s">
        <v>207</v>
      </c>
      <c r="C20" s="6" t="s">
        <v>1700</v>
      </c>
      <c r="D20" s="4">
        <v>37008</v>
      </c>
      <c r="E20" s="4">
        <v>48</v>
      </c>
      <c r="F20" s="4" t="s">
        <v>11</v>
      </c>
      <c r="G20" s="4" t="s">
        <v>19</v>
      </c>
      <c r="H20" s="5">
        <v>1250</v>
      </c>
      <c r="I20" s="4"/>
    </row>
    <row r="21" spans="1:9" ht="15.9" x14ac:dyDescent="0.4">
      <c r="A21" s="3">
        <v>45881</v>
      </c>
      <c r="B21" s="4" t="s">
        <v>1690</v>
      </c>
      <c r="C21" s="4" t="s">
        <v>1701</v>
      </c>
      <c r="D21" s="4">
        <v>22021</v>
      </c>
      <c r="E21" s="4">
        <v>27</v>
      </c>
      <c r="F21" s="4" t="s">
        <v>11</v>
      </c>
      <c r="G21" s="4" t="s">
        <v>12</v>
      </c>
      <c r="H21" s="5"/>
      <c r="I21" s="4"/>
    </row>
    <row r="22" spans="1:9" ht="15.9" x14ac:dyDescent="0.4">
      <c r="A22" s="3">
        <v>45881</v>
      </c>
      <c r="B22" s="4" t="s">
        <v>1690</v>
      </c>
      <c r="C22" s="4" t="s">
        <v>1702</v>
      </c>
      <c r="D22" s="4">
        <v>39888</v>
      </c>
      <c r="E22" s="4">
        <v>48</v>
      </c>
      <c r="F22" s="4" t="s">
        <v>11</v>
      </c>
      <c r="G22" s="4" t="s">
        <v>12</v>
      </c>
      <c r="H22" s="5"/>
      <c r="I22" s="4"/>
    </row>
    <row r="23" spans="1:9" ht="15.9" x14ac:dyDescent="0.4">
      <c r="A23" s="3">
        <v>45881</v>
      </c>
      <c r="B23" s="4" t="s">
        <v>556</v>
      </c>
      <c r="C23" s="4" t="s">
        <v>1703</v>
      </c>
      <c r="D23" s="4">
        <v>1382</v>
      </c>
      <c r="E23" s="4">
        <v>2</v>
      </c>
      <c r="F23" s="4" t="s">
        <v>35</v>
      </c>
      <c r="G23" s="4" t="s">
        <v>161</v>
      </c>
      <c r="H23" s="5">
        <v>550.48</v>
      </c>
      <c r="I23" s="4"/>
    </row>
    <row r="24" spans="1:9" ht="15.9" x14ac:dyDescent="0.4">
      <c r="A24" s="3">
        <v>45881</v>
      </c>
      <c r="B24" s="4" t="s">
        <v>1500</v>
      </c>
      <c r="C24" s="4" t="s">
        <v>1704</v>
      </c>
      <c r="D24" s="4">
        <v>4400</v>
      </c>
      <c r="E24" s="4">
        <v>5</v>
      </c>
      <c r="F24" s="4" t="s">
        <v>35</v>
      </c>
      <c r="G24" s="4" t="s">
        <v>1119</v>
      </c>
      <c r="H24" s="5">
        <v>587.99</v>
      </c>
      <c r="I24" s="4"/>
    </row>
    <row r="25" spans="1:9" ht="15.9" x14ac:dyDescent="0.4">
      <c r="A25" s="3">
        <v>45881</v>
      </c>
      <c r="B25" s="4" t="s">
        <v>1690</v>
      </c>
      <c r="C25" s="6" t="s">
        <v>1705</v>
      </c>
      <c r="D25" s="4">
        <v>39888</v>
      </c>
      <c r="E25" s="4">
        <v>48</v>
      </c>
      <c r="F25" s="4" t="s">
        <v>11</v>
      </c>
      <c r="G25" s="4" t="s">
        <v>12</v>
      </c>
      <c r="H25" s="5"/>
      <c r="I25" s="4"/>
    </row>
    <row r="26" spans="1:9" ht="15.9" x14ac:dyDescent="0.4">
      <c r="A26" s="3">
        <v>45881</v>
      </c>
      <c r="B26" s="4" t="s">
        <v>1690</v>
      </c>
      <c r="C26" s="4" t="s">
        <v>1706</v>
      </c>
      <c r="D26" s="4">
        <v>39888</v>
      </c>
      <c r="E26" s="4">
        <v>48</v>
      </c>
      <c r="F26" s="4" t="s">
        <v>11</v>
      </c>
      <c r="G26" s="4" t="s">
        <v>12</v>
      </c>
      <c r="H26" s="5"/>
      <c r="I26" s="4"/>
    </row>
    <row r="27" spans="1:9" ht="15.9" x14ac:dyDescent="0.4">
      <c r="A27" s="3">
        <v>45881</v>
      </c>
      <c r="B27" s="4" t="s">
        <v>1690</v>
      </c>
      <c r="C27" s="4" t="s">
        <v>1707</v>
      </c>
      <c r="D27" s="4">
        <v>39888</v>
      </c>
      <c r="E27" s="4">
        <v>48</v>
      </c>
      <c r="F27" s="4" t="s">
        <v>11</v>
      </c>
      <c r="G27" s="4" t="s">
        <v>12</v>
      </c>
      <c r="H27" s="5"/>
      <c r="I27" s="4"/>
    </row>
    <row r="28" spans="1:9" ht="15.9" x14ac:dyDescent="0.4">
      <c r="A28" s="3">
        <v>45881</v>
      </c>
      <c r="B28" s="4" t="s">
        <v>875</v>
      </c>
      <c r="C28" s="4" t="s">
        <v>1708</v>
      </c>
      <c r="D28" s="4">
        <v>30870</v>
      </c>
      <c r="E28" s="4">
        <v>42</v>
      </c>
      <c r="F28" s="4" t="s">
        <v>11</v>
      </c>
      <c r="G28" s="4" t="s">
        <v>19</v>
      </c>
      <c r="H28" s="5">
        <v>2400</v>
      </c>
      <c r="I28" s="4"/>
    </row>
    <row r="29" spans="1:9" ht="15.9" x14ac:dyDescent="0.4">
      <c r="A29" s="3">
        <v>45882</v>
      </c>
      <c r="B29" s="4" t="s">
        <v>75</v>
      </c>
      <c r="C29" s="4" t="s">
        <v>1111</v>
      </c>
      <c r="D29" s="4">
        <v>33960</v>
      </c>
      <c r="E29" s="4">
        <v>30</v>
      </c>
      <c r="F29" s="4" t="s">
        <v>11</v>
      </c>
      <c r="G29" s="4" t="s">
        <v>12</v>
      </c>
      <c r="H29" s="5"/>
      <c r="I29" s="4"/>
    </row>
    <row r="30" spans="1:9" ht="15.9" x14ac:dyDescent="0.4">
      <c r="A30" s="3">
        <v>45882</v>
      </c>
      <c r="B30" s="4" t="s">
        <v>75</v>
      </c>
      <c r="C30" s="4" t="s">
        <v>1105</v>
      </c>
      <c r="D30" s="4">
        <v>36224</v>
      </c>
      <c r="E30" s="4">
        <v>32</v>
      </c>
      <c r="F30" s="4" t="s">
        <v>11</v>
      </c>
      <c r="G30" s="4" t="s">
        <v>12</v>
      </c>
      <c r="H30" s="5"/>
      <c r="I30" s="4"/>
    </row>
    <row r="31" spans="1:9" ht="15.9" x14ac:dyDescent="0.4">
      <c r="A31" s="3">
        <v>45882</v>
      </c>
      <c r="B31" s="4" t="s">
        <v>1677</v>
      </c>
      <c r="C31" s="4" t="s">
        <v>1709</v>
      </c>
      <c r="D31" s="4">
        <v>11400</v>
      </c>
      <c r="E31" s="4">
        <v>12</v>
      </c>
      <c r="F31" s="4" t="s">
        <v>11</v>
      </c>
      <c r="G31" s="4" t="s">
        <v>19</v>
      </c>
      <c r="H31" s="5">
        <v>1330</v>
      </c>
      <c r="I31" s="4"/>
    </row>
    <row r="32" spans="1:9" ht="15.9" x14ac:dyDescent="0.4">
      <c r="A32" s="3">
        <v>45882</v>
      </c>
      <c r="B32" s="4" t="s">
        <v>1710</v>
      </c>
      <c r="C32" s="4" t="s">
        <v>1711</v>
      </c>
      <c r="D32" s="4">
        <v>770</v>
      </c>
      <c r="E32" s="4">
        <v>1</v>
      </c>
      <c r="F32" s="4" t="s">
        <v>35</v>
      </c>
      <c r="G32" s="4" t="s">
        <v>161</v>
      </c>
      <c r="H32" s="5">
        <v>220.4</v>
      </c>
      <c r="I32" s="4"/>
    </row>
    <row r="33" spans="1:9" ht="15.9" x14ac:dyDescent="0.4">
      <c r="A33" s="3">
        <v>45882</v>
      </c>
      <c r="B33" s="4" t="s">
        <v>493</v>
      </c>
      <c r="C33" s="4" t="s">
        <v>1712</v>
      </c>
      <c r="D33" s="4">
        <v>6970</v>
      </c>
      <c r="E33" s="4">
        <v>10</v>
      </c>
      <c r="F33" s="4" t="s">
        <v>35</v>
      </c>
      <c r="G33" s="4" t="s">
        <v>1119</v>
      </c>
      <c r="H33" s="5">
        <v>748.55</v>
      </c>
      <c r="I33" s="4"/>
    </row>
    <row r="34" spans="1:9" ht="15.9" x14ac:dyDescent="0.4">
      <c r="A34" s="3">
        <v>45883</v>
      </c>
      <c r="B34" s="4" t="s">
        <v>875</v>
      </c>
      <c r="C34" s="4" t="s">
        <v>1713</v>
      </c>
      <c r="D34" s="4">
        <v>31605</v>
      </c>
      <c r="E34" s="4">
        <v>43</v>
      </c>
      <c r="F34" s="4" t="s">
        <v>11</v>
      </c>
      <c r="G34" s="4" t="s">
        <v>19</v>
      </c>
      <c r="H34" s="5">
        <v>2400</v>
      </c>
      <c r="I34" s="4"/>
    </row>
    <row r="35" spans="1:9" ht="15.9" x14ac:dyDescent="0.4">
      <c r="A35" s="3">
        <v>45883</v>
      </c>
      <c r="B35" s="4" t="s">
        <v>1690</v>
      </c>
      <c r="C35" s="4" t="s">
        <v>1714</v>
      </c>
      <c r="D35" s="4">
        <v>16620</v>
      </c>
      <c r="E35" s="4">
        <v>20</v>
      </c>
      <c r="F35" s="4" t="s">
        <v>11</v>
      </c>
      <c r="G35" s="4" t="s">
        <v>12</v>
      </c>
      <c r="H35" s="5"/>
      <c r="I35" s="4"/>
    </row>
    <row r="36" spans="1:9" ht="15.9" x14ac:dyDescent="0.4">
      <c r="A36" s="3">
        <v>45883</v>
      </c>
      <c r="B36" s="4" t="s">
        <v>1690</v>
      </c>
      <c r="C36" s="4" t="s">
        <v>1715</v>
      </c>
      <c r="D36" s="4">
        <v>39888</v>
      </c>
      <c r="E36" s="4">
        <v>48</v>
      </c>
      <c r="F36" s="4" t="s">
        <v>11</v>
      </c>
      <c r="G36" s="4" t="s">
        <v>12</v>
      </c>
      <c r="H36" s="5"/>
      <c r="I36" s="4"/>
    </row>
    <row r="37" spans="1:9" ht="15.9" x14ac:dyDescent="0.4">
      <c r="A37" s="3">
        <v>45883</v>
      </c>
      <c r="B37" s="4" t="s">
        <v>52</v>
      </c>
      <c r="C37" s="4" t="s">
        <v>1716</v>
      </c>
      <c r="D37" s="4">
        <v>17100</v>
      </c>
      <c r="E37" s="4">
        <v>18</v>
      </c>
      <c r="F37" s="4" t="s">
        <v>15</v>
      </c>
      <c r="G37" s="4" t="s">
        <v>25</v>
      </c>
      <c r="H37" s="5">
        <v>2950</v>
      </c>
      <c r="I37" s="4"/>
    </row>
    <row r="38" spans="1:9" ht="15.9" x14ac:dyDescent="0.4">
      <c r="A38" s="3">
        <v>45883</v>
      </c>
      <c r="B38" s="4" t="s">
        <v>781</v>
      </c>
      <c r="C38" s="4" t="s">
        <v>1717</v>
      </c>
      <c r="D38" s="4">
        <v>3675</v>
      </c>
      <c r="E38" s="4">
        <v>5</v>
      </c>
      <c r="F38" s="4" t="s">
        <v>35</v>
      </c>
      <c r="G38" s="4" t="s">
        <v>12</v>
      </c>
      <c r="H38" s="5"/>
      <c r="I38" s="4"/>
    </row>
    <row r="39" spans="1:9" ht="15.9" x14ac:dyDescent="0.4">
      <c r="A39" s="3">
        <v>45884</v>
      </c>
      <c r="B39" s="4" t="s">
        <v>31</v>
      </c>
      <c r="C39" s="4" t="s">
        <v>1718</v>
      </c>
      <c r="D39" s="4">
        <v>44043</v>
      </c>
      <c r="E39" s="4">
        <v>49</v>
      </c>
      <c r="F39" s="4" t="s">
        <v>15</v>
      </c>
      <c r="G39" s="4" t="s">
        <v>25</v>
      </c>
      <c r="H39" s="5">
        <v>3900</v>
      </c>
      <c r="I39" s="4"/>
    </row>
    <row r="40" spans="1:9" ht="15.9" x14ac:dyDescent="0.4">
      <c r="A40" s="3">
        <v>45884</v>
      </c>
      <c r="B40" s="4" t="s">
        <v>1719</v>
      </c>
      <c r="C40" s="4" t="s">
        <v>1720</v>
      </c>
      <c r="D40" s="4">
        <v>35280</v>
      </c>
      <c r="E40" s="4">
        <v>48</v>
      </c>
      <c r="F40" s="4" t="s">
        <v>15</v>
      </c>
      <c r="G40" s="4" t="s">
        <v>12</v>
      </c>
      <c r="H40" s="5"/>
      <c r="I40" s="4"/>
    </row>
    <row r="41" spans="1:9" ht="15.9" x14ac:dyDescent="0.4">
      <c r="A41" s="3">
        <v>45884</v>
      </c>
      <c r="B41" s="4" t="s">
        <v>1721</v>
      </c>
      <c r="C41" s="4" t="s">
        <v>1722</v>
      </c>
      <c r="D41" s="4">
        <v>11565</v>
      </c>
      <c r="E41" s="4">
        <v>15</v>
      </c>
      <c r="F41" s="4" t="s">
        <v>15</v>
      </c>
      <c r="G41" s="4" t="s">
        <v>19</v>
      </c>
      <c r="H41" s="5">
        <v>1400</v>
      </c>
      <c r="I41" s="4" t="s">
        <v>1723</v>
      </c>
    </row>
    <row r="42" spans="1:9" ht="15.9" x14ac:dyDescent="0.4">
      <c r="A42" s="3">
        <v>45884</v>
      </c>
      <c r="B42" s="4" t="s">
        <v>1664</v>
      </c>
      <c r="C42" s="4" t="s">
        <v>1724</v>
      </c>
      <c r="D42" s="4">
        <v>10972</v>
      </c>
      <c r="E42" s="4">
        <v>14</v>
      </c>
      <c r="F42" s="4" t="s">
        <v>15</v>
      </c>
      <c r="G42" s="4" t="s">
        <v>19</v>
      </c>
      <c r="H42" s="5">
        <v>1400</v>
      </c>
      <c r="I42" s="4" t="s">
        <v>1725</v>
      </c>
    </row>
    <row r="43" spans="1:9" ht="15.9" x14ac:dyDescent="0.4">
      <c r="A43" s="3">
        <v>45884</v>
      </c>
      <c r="B43" s="4" t="s">
        <v>17</v>
      </c>
      <c r="C43" s="4" t="s">
        <v>1726</v>
      </c>
      <c r="D43" s="4">
        <v>22483</v>
      </c>
      <c r="E43" s="4">
        <v>28</v>
      </c>
      <c r="F43" s="4" t="s">
        <v>15</v>
      </c>
      <c r="G43" s="4" t="s">
        <v>1119</v>
      </c>
      <c r="H43" s="5">
        <v>1600</v>
      </c>
      <c r="I43" s="4"/>
    </row>
    <row r="44" spans="1:9" ht="15.9" x14ac:dyDescent="0.4">
      <c r="A44" s="3">
        <v>45887</v>
      </c>
      <c r="B44" s="4" t="s">
        <v>268</v>
      </c>
      <c r="C44" s="4" t="s">
        <v>1727</v>
      </c>
      <c r="D44" s="4">
        <v>33924</v>
      </c>
      <c r="E44" s="4">
        <v>44</v>
      </c>
      <c r="F44" s="4" t="s">
        <v>15</v>
      </c>
      <c r="G44" s="4" t="s">
        <v>25</v>
      </c>
      <c r="H44" s="5">
        <v>2550</v>
      </c>
      <c r="I44" s="4"/>
    </row>
    <row r="45" spans="1:9" ht="15.9" x14ac:dyDescent="0.4">
      <c r="A45" s="3">
        <v>45887</v>
      </c>
      <c r="B45" s="4" t="s">
        <v>875</v>
      </c>
      <c r="C45" s="4" t="s">
        <v>1728</v>
      </c>
      <c r="D45" s="4">
        <v>34040</v>
      </c>
      <c r="E45" s="4">
        <v>37</v>
      </c>
      <c r="F45" s="4" t="s">
        <v>11</v>
      </c>
      <c r="G45" s="4" t="s">
        <v>19</v>
      </c>
      <c r="H45" s="5">
        <v>2400</v>
      </c>
      <c r="I45" s="4"/>
    </row>
    <row r="46" spans="1:9" ht="15.9" x14ac:dyDescent="0.4">
      <c r="A46" s="3">
        <v>45887</v>
      </c>
      <c r="B46" s="4" t="s">
        <v>268</v>
      </c>
      <c r="C46" s="4" t="s">
        <v>1729</v>
      </c>
      <c r="D46" s="4">
        <v>30840</v>
      </c>
      <c r="E46" s="4">
        <v>40</v>
      </c>
      <c r="F46" s="4" t="s">
        <v>15</v>
      </c>
      <c r="G46" s="4" t="s">
        <v>25</v>
      </c>
      <c r="H46" s="5">
        <v>2550</v>
      </c>
      <c r="I46" s="4"/>
    </row>
    <row r="47" spans="1:9" ht="15.9" x14ac:dyDescent="0.4">
      <c r="A47" s="3">
        <v>45887</v>
      </c>
      <c r="B47" s="4" t="s">
        <v>875</v>
      </c>
      <c r="C47" s="4" t="s">
        <v>1730</v>
      </c>
      <c r="D47" s="4">
        <v>27108</v>
      </c>
      <c r="E47" s="4">
        <v>34</v>
      </c>
      <c r="F47" s="4" t="s">
        <v>11</v>
      </c>
      <c r="G47" s="4" t="s">
        <v>19</v>
      </c>
      <c r="H47" s="5">
        <v>2400</v>
      </c>
      <c r="I47" s="4"/>
    </row>
    <row r="48" spans="1:9" ht="15.9" x14ac:dyDescent="0.4">
      <c r="A48" s="3">
        <v>45887</v>
      </c>
      <c r="B48" s="4" t="s">
        <v>1064</v>
      </c>
      <c r="C48" s="4" t="s">
        <v>1731</v>
      </c>
      <c r="D48" s="4">
        <v>38775</v>
      </c>
      <c r="E48" s="4">
        <v>47</v>
      </c>
      <c r="F48" s="4" t="s">
        <v>11</v>
      </c>
      <c r="G48" s="4" t="s">
        <v>19</v>
      </c>
      <c r="H48" s="5">
        <v>2325</v>
      </c>
      <c r="I48" s="4"/>
    </row>
    <row r="49" spans="1:9" ht="15.9" x14ac:dyDescent="0.4">
      <c r="A49" s="3">
        <v>45887</v>
      </c>
      <c r="B49" s="4" t="s">
        <v>1064</v>
      </c>
      <c r="C49" s="4" t="s">
        <v>1732</v>
      </c>
      <c r="D49" s="4">
        <v>38775</v>
      </c>
      <c r="E49" s="4">
        <v>47</v>
      </c>
      <c r="F49" s="4" t="s">
        <v>11</v>
      </c>
      <c r="G49" s="4" t="s">
        <v>19</v>
      </c>
      <c r="H49" s="5">
        <v>2325</v>
      </c>
      <c r="I49" s="4"/>
    </row>
    <row r="50" spans="1:9" ht="15.9" x14ac:dyDescent="0.4">
      <c r="A50" s="3">
        <v>45888</v>
      </c>
      <c r="B50" s="4" t="s">
        <v>1064</v>
      </c>
      <c r="C50" s="4" t="s">
        <v>1733</v>
      </c>
      <c r="D50" s="4">
        <v>35266</v>
      </c>
      <c r="E50" s="4">
        <v>41</v>
      </c>
      <c r="F50" s="4" t="s">
        <v>11</v>
      </c>
      <c r="G50" s="4" t="s">
        <v>19</v>
      </c>
      <c r="H50" s="5">
        <v>2325</v>
      </c>
      <c r="I50" s="4"/>
    </row>
    <row r="51" spans="1:9" ht="15.9" x14ac:dyDescent="0.4">
      <c r="A51" s="3">
        <v>45895</v>
      </c>
      <c r="B51" s="4" t="s">
        <v>38</v>
      </c>
      <c r="C51" s="4" t="s">
        <v>1734</v>
      </c>
      <c r="D51" s="4">
        <v>20900</v>
      </c>
      <c r="E51" s="4">
        <v>22</v>
      </c>
      <c r="F51" s="4" t="s">
        <v>15</v>
      </c>
      <c r="G51" s="4" t="s">
        <v>25</v>
      </c>
      <c r="H51" s="5">
        <v>3850</v>
      </c>
      <c r="I51" s="4"/>
    </row>
    <row r="52" spans="1:9" ht="15.9" x14ac:dyDescent="0.4">
      <c r="A52" s="3">
        <v>45895</v>
      </c>
      <c r="B52" s="4" t="s">
        <v>191</v>
      </c>
      <c r="C52" s="4" t="s">
        <v>1736</v>
      </c>
      <c r="D52" s="4">
        <v>24920</v>
      </c>
      <c r="E52" s="4">
        <v>28</v>
      </c>
      <c r="F52" s="4" t="s">
        <v>15</v>
      </c>
      <c r="G52" s="4" t="s">
        <v>25</v>
      </c>
      <c r="H52" s="5">
        <v>2400</v>
      </c>
      <c r="I52" s="4"/>
    </row>
    <row r="53" spans="1:9" ht="15.9" x14ac:dyDescent="0.4">
      <c r="A53" s="3">
        <v>45895</v>
      </c>
      <c r="B53" s="4" t="s">
        <v>875</v>
      </c>
      <c r="C53" s="4" t="s">
        <v>1737</v>
      </c>
      <c r="D53" s="4">
        <v>32540</v>
      </c>
      <c r="E53" s="4">
        <v>34</v>
      </c>
      <c r="F53" s="4" t="s">
        <v>11</v>
      </c>
      <c r="G53" s="4" t="s">
        <v>19</v>
      </c>
      <c r="H53" s="5">
        <v>2400</v>
      </c>
      <c r="I53" s="4"/>
    </row>
    <row r="54" spans="1:9" ht="15.9" x14ac:dyDescent="0.4">
      <c r="A54" s="3">
        <v>45895</v>
      </c>
      <c r="B54" s="4" t="s">
        <v>191</v>
      </c>
      <c r="C54" s="4" t="s">
        <v>1735</v>
      </c>
      <c r="D54" s="4">
        <v>28710</v>
      </c>
      <c r="E54" s="4">
        <v>33</v>
      </c>
      <c r="F54" s="4" t="s">
        <v>15</v>
      </c>
      <c r="G54" s="4" t="s">
        <v>25</v>
      </c>
      <c r="H54" s="5">
        <v>2400</v>
      </c>
      <c r="I54" s="4"/>
    </row>
    <row r="55" spans="1:9" ht="15.9" x14ac:dyDescent="0.4">
      <c r="A55" s="3">
        <v>45895</v>
      </c>
      <c r="B55" s="4" t="s">
        <v>349</v>
      </c>
      <c r="C55" s="4" t="s">
        <v>1738</v>
      </c>
      <c r="D55" s="4">
        <v>38280</v>
      </c>
      <c r="E55" s="4">
        <v>44</v>
      </c>
      <c r="F55" s="4" t="s">
        <v>15</v>
      </c>
      <c r="G55" s="4" t="s">
        <v>1119</v>
      </c>
      <c r="H55" s="5">
        <v>1600</v>
      </c>
      <c r="I55" s="4"/>
    </row>
    <row r="56" spans="1:9" ht="15.9" x14ac:dyDescent="0.4">
      <c r="A56" s="3">
        <v>45895</v>
      </c>
      <c r="B56" s="4" t="s">
        <v>38</v>
      </c>
      <c r="C56" s="4" t="s">
        <v>1739</v>
      </c>
      <c r="D56" s="4">
        <v>31234</v>
      </c>
      <c r="E56" s="4">
        <v>35</v>
      </c>
      <c r="F56" s="4" t="s">
        <v>15</v>
      </c>
      <c r="G56" s="4" t="s">
        <v>25</v>
      </c>
      <c r="H56" s="5">
        <v>3850</v>
      </c>
      <c r="I56" s="4"/>
    </row>
    <row r="57" spans="1:9" ht="15.9" x14ac:dyDescent="0.4">
      <c r="A57" s="3">
        <v>45895</v>
      </c>
      <c r="B57" s="4" t="s">
        <v>1740</v>
      </c>
      <c r="C57" s="4" t="s">
        <v>1741</v>
      </c>
      <c r="D57" s="4">
        <v>1530</v>
      </c>
      <c r="E57" s="4">
        <v>2</v>
      </c>
      <c r="F57" s="4" t="s">
        <v>35</v>
      </c>
      <c r="G57" s="4" t="s">
        <v>161</v>
      </c>
      <c r="H57" s="5">
        <v>364.95</v>
      </c>
      <c r="I57" s="4"/>
    </row>
    <row r="58" spans="1:9" ht="15.9" x14ac:dyDescent="0.4">
      <c r="A58" s="3">
        <v>45895</v>
      </c>
      <c r="B58" s="4" t="s">
        <v>1257</v>
      </c>
      <c r="C58" s="4" t="s">
        <v>1742</v>
      </c>
      <c r="D58" s="4">
        <v>22640</v>
      </c>
      <c r="E58" s="4">
        <v>25</v>
      </c>
      <c r="F58" s="4" t="s">
        <v>15</v>
      </c>
      <c r="G58" s="4" t="s">
        <v>25</v>
      </c>
      <c r="H58" s="5">
        <v>3850</v>
      </c>
      <c r="I58" s="4"/>
    </row>
    <row r="59" spans="1:9" ht="15.9" x14ac:dyDescent="0.4">
      <c r="A59" s="3">
        <v>45895</v>
      </c>
      <c r="B59" s="4" t="s">
        <v>462</v>
      </c>
      <c r="C59" s="4" t="s">
        <v>1743</v>
      </c>
      <c r="D59" s="4">
        <v>14680</v>
      </c>
      <c r="E59" s="4">
        <v>20</v>
      </c>
      <c r="F59" s="4" t="s">
        <v>15</v>
      </c>
      <c r="G59" s="4" t="s">
        <v>19</v>
      </c>
      <c r="H59" s="5">
        <v>2480</v>
      </c>
      <c r="I59" s="4"/>
    </row>
    <row r="60" spans="1:9" ht="15.9" x14ac:dyDescent="0.4">
      <c r="A60" s="3">
        <v>45895</v>
      </c>
      <c r="B60" s="4" t="s">
        <v>17</v>
      </c>
      <c r="C60" s="4" t="s">
        <v>1744</v>
      </c>
      <c r="D60" s="4">
        <v>33240</v>
      </c>
      <c r="E60" s="4">
        <v>40</v>
      </c>
      <c r="F60" s="4" t="s">
        <v>15</v>
      </c>
      <c r="G60" s="4" t="s">
        <v>25</v>
      </c>
      <c r="H60" s="5">
        <v>1850</v>
      </c>
      <c r="I60" s="4"/>
    </row>
    <row r="61" spans="1:9" ht="15.9" x14ac:dyDescent="0.4">
      <c r="A61" s="3">
        <v>45895</v>
      </c>
      <c r="B61" s="4" t="s">
        <v>1745</v>
      </c>
      <c r="C61" s="4" t="s">
        <v>1746</v>
      </c>
      <c r="D61" s="4">
        <v>42750</v>
      </c>
      <c r="E61" s="4">
        <v>45</v>
      </c>
      <c r="F61" s="4" t="s">
        <v>15</v>
      </c>
      <c r="G61" s="4" t="s">
        <v>19</v>
      </c>
      <c r="H61" s="5">
        <v>4700</v>
      </c>
      <c r="I61" s="6"/>
    </row>
    <row r="62" spans="1:9" ht="15.9" x14ac:dyDescent="0.4">
      <c r="A62" s="3">
        <v>45895</v>
      </c>
      <c r="B62" s="4" t="s">
        <v>1745</v>
      </c>
      <c r="C62" s="4" t="s">
        <v>1747</v>
      </c>
      <c r="D62" s="4">
        <v>43700</v>
      </c>
      <c r="E62" s="4">
        <v>46</v>
      </c>
      <c r="F62" s="4" t="s">
        <v>15</v>
      </c>
      <c r="G62" s="4" t="s">
        <v>19</v>
      </c>
      <c r="H62" s="5">
        <v>4700</v>
      </c>
      <c r="I62" s="4"/>
    </row>
    <row r="63" spans="1:9" ht="15.9" x14ac:dyDescent="0.4">
      <c r="A63" s="3">
        <v>45895</v>
      </c>
      <c r="B63" s="4" t="s">
        <v>1068</v>
      </c>
      <c r="C63" s="4" t="s">
        <v>1748</v>
      </c>
      <c r="D63" s="4">
        <v>19588</v>
      </c>
      <c r="E63" s="4">
        <v>26</v>
      </c>
      <c r="F63" s="4" t="s">
        <v>15</v>
      </c>
      <c r="G63" s="4" t="s">
        <v>19</v>
      </c>
      <c r="H63" s="5">
        <v>2700</v>
      </c>
      <c r="I63" s="4"/>
    </row>
    <row r="64" spans="1:9" ht="15.9" x14ac:dyDescent="0.4">
      <c r="A64" s="3">
        <v>45896</v>
      </c>
      <c r="B64" s="4" t="s">
        <v>17</v>
      </c>
      <c r="C64" s="4" t="s">
        <v>1749</v>
      </c>
      <c r="D64" s="4">
        <v>10798</v>
      </c>
      <c r="E64" s="4">
        <v>14</v>
      </c>
      <c r="F64" s="4" t="s">
        <v>35</v>
      </c>
      <c r="G64" s="4" t="s">
        <v>1119</v>
      </c>
      <c r="H64" s="5">
        <v>986.31</v>
      </c>
      <c r="I64" s="4"/>
    </row>
    <row r="65" spans="1:9" ht="15.9" x14ac:dyDescent="0.4">
      <c r="A65" s="3">
        <v>45896</v>
      </c>
      <c r="B65" s="4" t="s">
        <v>77</v>
      </c>
      <c r="C65" s="4" t="s">
        <v>1750</v>
      </c>
      <c r="D65" s="4">
        <v>771</v>
      </c>
      <c r="E65" s="4">
        <v>1</v>
      </c>
      <c r="F65" s="4" t="s">
        <v>35</v>
      </c>
      <c r="G65" s="4" t="s">
        <v>12</v>
      </c>
      <c r="H65" s="5"/>
      <c r="I65" s="4"/>
    </row>
    <row r="66" spans="1:9" ht="15.9" x14ac:dyDescent="0.4">
      <c r="A66" s="3">
        <v>45896</v>
      </c>
      <c r="B66" s="4" t="s">
        <v>1664</v>
      </c>
      <c r="C66" s="4" t="s">
        <v>1751</v>
      </c>
      <c r="D66" s="4">
        <v>6960</v>
      </c>
      <c r="E66" s="4">
        <v>8</v>
      </c>
      <c r="F66" s="4" t="s">
        <v>35</v>
      </c>
      <c r="G66" s="4" t="s">
        <v>161</v>
      </c>
      <c r="H66" s="5">
        <v>1095.26</v>
      </c>
      <c r="I66" s="4"/>
    </row>
    <row r="67" spans="1:9" ht="15.9" x14ac:dyDescent="0.4">
      <c r="A67" s="3">
        <v>45896</v>
      </c>
      <c r="B67" s="4" t="s">
        <v>1752</v>
      </c>
      <c r="C67" s="4" t="s">
        <v>1753</v>
      </c>
      <c r="D67" s="4">
        <v>13800</v>
      </c>
      <c r="E67" s="4">
        <v>15</v>
      </c>
      <c r="F67" s="4" t="s">
        <v>35</v>
      </c>
      <c r="G67" s="4" t="s">
        <v>1119</v>
      </c>
      <c r="H67" s="5">
        <v>2434.67</v>
      </c>
      <c r="I67" s="4"/>
    </row>
    <row r="68" spans="1:9" ht="15.9" x14ac:dyDescent="0.4">
      <c r="A68" s="3">
        <v>45896</v>
      </c>
      <c r="B68" s="4" t="s">
        <v>1754</v>
      </c>
      <c r="C68" s="4" t="s">
        <v>1755</v>
      </c>
      <c r="D68" s="4">
        <v>21588</v>
      </c>
      <c r="E68" s="4">
        <v>28</v>
      </c>
      <c r="F68" s="4" t="s">
        <v>15</v>
      </c>
      <c r="G68" s="4" t="s">
        <v>12</v>
      </c>
      <c r="H68" s="5"/>
      <c r="I68" s="4"/>
    </row>
    <row r="69" spans="1:9" ht="15.9" x14ac:dyDescent="0.4">
      <c r="A69" s="3">
        <v>45896</v>
      </c>
      <c r="B69" s="4" t="s">
        <v>81</v>
      </c>
      <c r="C69" s="4" t="s">
        <v>1756</v>
      </c>
      <c r="D69" s="4">
        <v>35644</v>
      </c>
      <c r="E69" s="4">
        <v>40</v>
      </c>
      <c r="F69" s="4" t="s">
        <v>15</v>
      </c>
      <c r="G69" s="4" t="s">
        <v>25</v>
      </c>
      <c r="H69" s="5">
        <v>1775</v>
      </c>
      <c r="I69" s="6"/>
    </row>
    <row r="70" spans="1:9" ht="15.9" x14ac:dyDescent="0.4">
      <c r="A70" s="3">
        <v>45896</v>
      </c>
      <c r="B70" s="4" t="s">
        <v>13</v>
      </c>
      <c r="C70" s="4" t="s">
        <v>1757</v>
      </c>
      <c r="D70" s="4">
        <v>1000</v>
      </c>
      <c r="E70" s="4">
        <v>1</v>
      </c>
      <c r="F70" s="4" t="s">
        <v>35</v>
      </c>
      <c r="G70" s="4" t="s">
        <v>161</v>
      </c>
      <c r="H70" s="5">
        <v>257.06</v>
      </c>
      <c r="I70" s="4"/>
    </row>
    <row r="71" spans="1:9" ht="15.9" x14ac:dyDescent="0.4">
      <c r="A71" s="3">
        <v>45896</v>
      </c>
      <c r="B71" s="4" t="s">
        <v>1758</v>
      </c>
      <c r="C71" s="4" t="s">
        <v>1759</v>
      </c>
      <c r="D71" s="4">
        <v>860</v>
      </c>
      <c r="E71" s="4">
        <v>1</v>
      </c>
      <c r="F71" s="4" t="s">
        <v>35</v>
      </c>
      <c r="G71" s="4" t="s">
        <v>161</v>
      </c>
      <c r="H71" s="5">
        <v>377.95</v>
      </c>
      <c r="I71" s="4"/>
    </row>
    <row r="72" spans="1:9" ht="15.9" x14ac:dyDescent="0.4">
      <c r="A72" s="3">
        <v>45896</v>
      </c>
      <c r="B72" s="4" t="s">
        <v>60</v>
      </c>
      <c r="C72" s="4" t="s">
        <v>1760</v>
      </c>
      <c r="D72" s="4">
        <v>1100</v>
      </c>
      <c r="E72" s="4">
        <v>1</v>
      </c>
      <c r="F72" s="4" t="s">
        <v>35</v>
      </c>
      <c r="G72" s="4" t="s">
        <v>161</v>
      </c>
      <c r="H72" s="5">
        <v>252.52</v>
      </c>
      <c r="I72" s="4"/>
    </row>
    <row r="73" spans="1:9" ht="15.9" x14ac:dyDescent="0.4">
      <c r="A73" s="3">
        <v>45896</v>
      </c>
      <c r="B73" s="4" t="s">
        <v>129</v>
      </c>
      <c r="C73" s="4" t="s">
        <v>1761</v>
      </c>
      <c r="D73" s="4">
        <v>21850</v>
      </c>
      <c r="E73" s="4">
        <v>23</v>
      </c>
      <c r="F73" s="4" t="s">
        <v>15</v>
      </c>
      <c r="G73" s="4" t="s">
        <v>1119</v>
      </c>
      <c r="H73" s="5">
        <v>2300</v>
      </c>
      <c r="I73" s="4"/>
    </row>
    <row r="74" spans="1:9" ht="15.9" x14ac:dyDescent="0.4">
      <c r="A74" s="3">
        <v>45896</v>
      </c>
      <c r="B74" s="4" t="s">
        <v>207</v>
      </c>
      <c r="C74" s="4" t="s">
        <v>1762</v>
      </c>
      <c r="D74" s="4">
        <v>39888</v>
      </c>
      <c r="E74" s="4">
        <v>48</v>
      </c>
      <c r="F74" s="4" t="s">
        <v>11</v>
      </c>
      <c r="G74" s="4" t="s">
        <v>19</v>
      </c>
      <c r="H74" s="5">
        <v>1250</v>
      </c>
      <c r="I74" s="4"/>
    </row>
    <row r="75" spans="1:9" ht="15.9" x14ac:dyDescent="0.4">
      <c r="A75" s="3">
        <v>45897</v>
      </c>
      <c r="B75" s="4" t="s">
        <v>1745</v>
      </c>
      <c r="C75" s="4" t="s">
        <v>1763</v>
      </c>
      <c r="D75" s="4">
        <v>19140</v>
      </c>
      <c r="E75" s="4">
        <v>22</v>
      </c>
      <c r="F75" s="4" t="s">
        <v>15</v>
      </c>
      <c r="G75" s="4" t="s">
        <v>1119</v>
      </c>
      <c r="H75" s="5">
        <v>4850</v>
      </c>
      <c r="I75" s="4"/>
    </row>
    <row r="76" spans="1:9" ht="15.9" x14ac:dyDescent="0.4">
      <c r="A76" s="3">
        <v>45897</v>
      </c>
      <c r="B76" s="4" t="s">
        <v>309</v>
      </c>
      <c r="C76" s="4" t="s">
        <v>1764</v>
      </c>
      <c r="D76" s="4">
        <v>12900</v>
      </c>
      <c r="E76" s="4">
        <v>15</v>
      </c>
      <c r="F76" s="4" t="s">
        <v>15</v>
      </c>
      <c r="G76" s="4" t="s">
        <v>1119</v>
      </c>
      <c r="H76" s="5">
        <v>1600</v>
      </c>
      <c r="I76" s="4"/>
    </row>
    <row r="77" spans="1:9" ht="15.9" x14ac:dyDescent="0.4">
      <c r="A77" s="3">
        <v>45897</v>
      </c>
      <c r="B77" s="4" t="s">
        <v>17</v>
      </c>
      <c r="C77" s="4" t="s">
        <v>1749</v>
      </c>
      <c r="D77" s="4">
        <v>19780</v>
      </c>
      <c r="E77" s="4">
        <v>23</v>
      </c>
      <c r="F77" s="4" t="s">
        <v>15</v>
      </c>
      <c r="G77" s="4" t="s">
        <v>25</v>
      </c>
      <c r="H77" s="5">
        <v>1850</v>
      </c>
      <c r="I77" s="4"/>
    </row>
    <row r="78" spans="1:9" ht="15.9" x14ac:dyDescent="0.4">
      <c r="A78" s="3">
        <v>45897</v>
      </c>
      <c r="B78" s="4" t="s">
        <v>268</v>
      </c>
      <c r="C78" s="4" t="s">
        <v>1765</v>
      </c>
      <c r="D78" s="4">
        <v>29400</v>
      </c>
      <c r="E78" s="4">
        <v>40</v>
      </c>
      <c r="F78" s="4" t="s">
        <v>15</v>
      </c>
      <c r="G78" s="4" t="s">
        <v>25</v>
      </c>
      <c r="H78" s="5">
        <v>2550</v>
      </c>
      <c r="I78" s="4"/>
    </row>
    <row r="79" spans="1:9" ht="15.9" x14ac:dyDescent="0.4">
      <c r="A79" s="3">
        <v>45897</v>
      </c>
      <c r="B79" s="4" t="s">
        <v>1766</v>
      </c>
      <c r="C79" s="4" t="s">
        <v>1767</v>
      </c>
      <c r="D79" s="4">
        <v>5071</v>
      </c>
      <c r="E79" s="4">
        <v>6</v>
      </c>
      <c r="F79" s="4" t="s">
        <v>35</v>
      </c>
      <c r="G79" s="4" t="s">
        <v>12</v>
      </c>
      <c r="H79" s="5"/>
      <c r="I79" s="4"/>
    </row>
    <row r="80" spans="1:9" ht="15.9" x14ac:dyDescent="0.4">
      <c r="A80" s="3">
        <v>45897</v>
      </c>
      <c r="B80" s="4" t="s">
        <v>129</v>
      </c>
      <c r="C80" s="4" t="s">
        <v>1761</v>
      </c>
      <c r="D80" s="4">
        <v>12040</v>
      </c>
      <c r="E80" s="4">
        <v>14</v>
      </c>
      <c r="F80" s="4" t="s">
        <v>35</v>
      </c>
      <c r="G80" s="4" t="s">
        <v>1119</v>
      </c>
      <c r="H80" s="5">
        <v>702.09</v>
      </c>
      <c r="I80" s="4"/>
    </row>
    <row r="81" spans="1:9" ht="15.9" x14ac:dyDescent="0.4">
      <c r="A81" s="3">
        <v>45897</v>
      </c>
      <c r="B81" s="4" t="s">
        <v>113</v>
      </c>
      <c r="C81" s="4" t="s">
        <v>1768</v>
      </c>
      <c r="D81" s="4">
        <v>10440</v>
      </c>
      <c r="E81" s="4">
        <v>12</v>
      </c>
      <c r="F81" s="4" t="s">
        <v>11</v>
      </c>
      <c r="G81" s="4" t="s">
        <v>19</v>
      </c>
      <c r="H81" s="5">
        <v>1650</v>
      </c>
      <c r="I81" s="4" t="s">
        <v>1769</v>
      </c>
    </row>
    <row r="82" spans="1:9" ht="15.9" x14ac:dyDescent="0.4">
      <c r="A82" s="3">
        <v>45897</v>
      </c>
      <c r="B82" s="4" t="s">
        <v>20</v>
      </c>
      <c r="C82" s="4" t="s">
        <v>1771</v>
      </c>
      <c r="D82" s="4">
        <v>11180</v>
      </c>
      <c r="E82" s="4">
        <v>13</v>
      </c>
      <c r="F82" s="4" t="s">
        <v>11</v>
      </c>
      <c r="G82" s="4" t="s">
        <v>19</v>
      </c>
      <c r="H82" s="5">
        <v>1650</v>
      </c>
      <c r="I82" s="4" t="s">
        <v>1770</v>
      </c>
    </row>
    <row r="83" spans="1:9" ht="31.75" x14ac:dyDescent="0.4">
      <c r="A83" s="3">
        <v>45897</v>
      </c>
      <c r="B83" s="4" t="s">
        <v>1772</v>
      </c>
      <c r="C83" s="4" t="s">
        <v>1773</v>
      </c>
      <c r="D83" s="4">
        <v>22800</v>
      </c>
      <c r="E83" s="4">
        <v>24</v>
      </c>
      <c r="F83" s="4" t="s">
        <v>11</v>
      </c>
      <c r="G83" s="4" t="s">
        <v>19</v>
      </c>
      <c r="H83" s="5">
        <v>3180</v>
      </c>
      <c r="I83" s="6" t="s">
        <v>1774</v>
      </c>
    </row>
    <row r="84" spans="1:9" ht="15.9" x14ac:dyDescent="0.4">
      <c r="A84" s="3">
        <v>45897</v>
      </c>
      <c r="B84" s="4" t="s">
        <v>60</v>
      </c>
      <c r="C84" s="4" t="s">
        <v>1760</v>
      </c>
      <c r="D84" s="4">
        <v>9460</v>
      </c>
      <c r="E84" s="4">
        <v>11</v>
      </c>
      <c r="F84" s="4" t="s">
        <v>35</v>
      </c>
      <c r="G84" s="4" t="s">
        <v>1119</v>
      </c>
      <c r="H84" s="5">
        <v>849.91</v>
      </c>
      <c r="I84" s="4"/>
    </row>
    <row r="85" spans="1:9" ht="15.9" x14ac:dyDescent="0.4">
      <c r="A85" s="3">
        <v>45897</v>
      </c>
      <c r="B85" s="4" t="s">
        <v>787</v>
      </c>
      <c r="C85" s="4" t="s">
        <v>1775</v>
      </c>
      <c r="D85" s="4">
        <v>5931</v>
      </c>
      <c r="E85" s="4">
        <v>7</v>
      </c>
      <c r="F85" s="4" t="s">
        <v>35</v>
      </c>
      <c r="G85" s="4" t="s">
        <v>12</v>
      </c>
      <c r="H85" s="5"/>
      <c r="I85" s="4"/>
    </row>
    <row r="86" spans="1:9" ht="15.9" x14ac:dyDescent="0.4">
      <c r="A86" s="3">
        <v>45897</v>
      </c>
      <c r="B86" s="4" t="s">
        <v>1664</v>
      </c>
      <c r="C86" s="4" t="s">
        <v>1776</v>
      </c>
      <c r="D86" s="4">
        <v>20185</v>
      </c>
      <c r="E86" s="4">
        <v>25</v>
      </c>
      <c r="F86" s="4" t="s">
        <v>15</v>
      </c>
      <c r="G86" s="4" t="s">
        <v>25</v>
      </c>
      <c r="H86" s="5">
        <v>3400</v>
      </c>
      <c r="I86" s="4"/>
    </row>
    <row r="87" spans="1:9" ht="15.9" x14ac:dyDescent="0.4">
      <c r="A87" s="3">
        <v>45897</v>
      </c>
      <c r="B87" s="4" t="s">
        <v>268</v>
      </c>
      <c r="C87" s="4" t="s">
        <v>1777</v>
      </c>
      <c r="D87" s="4">
        <v>32340</v>
      </c>
      <c r="E87" s="4">
        <v>44</v>
      </c>
      <c r="F87" s="4" t="s">
        <v>15</v>
      </c>
      <c r="G87" s="4" t="s">
        <v>25</v>
      </c>
      <c r="H87" s="5">
        <v>2550</v>
      </c>
      <c r="I87" s="4"/>
    </row>
    <row r="88" spans="1:9" ht="31.75" x14ac:dyDescent="0.4">
      <c r="A88" s="3">
        <v>45897</v>
      </c>
      <c r="B88" s="4" t="s">
        <v>1778</v>
      </c>
      <c r="C88" s="4" t="s">
        <v>1779</v>
      </c>
      <c r="D88" s="4">
        <v>41280</v>
      </c>
      <c r="E88" s="4">
        <v>48</v>
      </c>
      <c r="F88" s="4" t="s">
        <v>11</v>
      </c>
      <c r="G88" s="4" t="s">
        <v>25</v>
      </c>
      <c r="H88" s="5">
        <v>2800</v>
      </c>
      <c r="I88" s="6" t="s">
        <v>1780</v>
      </c>
    </row>
    <row r="89" spans="1:9" ht="15.9" x14ac:dyDescent="0.4">
      <c r="A89" s="3">
        <v>45897</v>
      </c>
      <c r="B89" s="4" t="s">
        <v>309</v>
      </c>
      <c r="C89" s="4" t="s">
        <v>1764</v>
      </c>
      <c r="D89" s="4">
        <v>17159</v>
      </c>
      <c r="E89" s="4">
        <v>20</v>
      </c>
      <c r="F89" s="4" t="s">
        <v>15</v>
      </c>
      <c r="G89" s="4" t="s">
        <v>1119</v>
      </c>
      <c r="H89" s="5">
        <v>1600</v>
      </c>
      <c r="I89" s="4"/>
    </row>
    <row r="90" spans="1:9" ht="15.9" x14ac:dyDescent="0.4">
      <c r="A90" s="3">
        <v>45897</v>
      </c>
      <c r="B90" s="4" t="s">
        <v>1068</v>
      </c>
      <c r="C90" s="4" t="s">
        <v>1781</v>
      </c>
      <c r="D90" s="4">
        <v>42576</v>
      </c>
      <c r="E90" s="4">
        <v>48</v>
      </c>
      <c r="F90" s="4" t="s">
        <v>15</v>
      </c>
      <c r="G90" s="4" t="s">
        <v>19</v>
      </c>
      <c r="H90" s="5">
        <v>2700</v>
      </c>
      <c r="I90" s="4"/>
    </row>
    <row r="91" spans="1:9" ht="15.9" x14ac:dyDescent="0.4">
      <c r="A91" s="3">
        <v>45897</v>
      </c>
      <c r="B91" s="4" t="s">
        <v>1068</v>
      </c>
      <c r="C91" s="4" t="s">
        <v>1782</v>
      </c>
      <c r="D91" s="4">
        <v>39028</v>
      </c>
      <c r="E91" s="4">
        <v>44</v>
      </c>
      <c r="F91" s="4" t="s">
        <v>15</v>
      </c>
      <c r="G91" s="4" t="s">
        <v>19</v>
      </c>
      <c r="H91" s="5">
        <v>2700</v>
      </c>
      <c r="I91" s="4"/>
    </row>
    <row r="92" spans="1:9" ht="15.9" x14ac:dyDescent="0.4">
      <c r="A92" s="3">
        <v>45898</v>
      </c>
      <c r="B92" s="4" t="s">
        <v>146</v>
      </c>
      <c r="C92" s="4" t="s">
        <v>1783</v>
      </c>
      <c r="D92" s="4">
        <v>16915</v>
      </c>
      <c r="E92" s="4">
        <v>20</v>
      </c>
      <c r="F92" s="4" t="s">
        <v>15</v>
      </c>
      <c r="G92" s="4" t="s">
        <v>12</v>
      </c>
      <c r="H92" s="5"/>
      <c r="I92" s="4"/>
    </row>
    <row r="93" spans="1:9" ht="15.9" x14ac:dyDescent="0.4">
      <c r="A93" s="3">
        <v>45898</v>
      </c>
      <c r="B93" s="4" t="s">
        <v>1784</v>
      </c>
      <c r="C93" s="4" t="s">
        <v>1785</v>
      </c>
      <c r="D93" s="4">
        <v>21214</v>
      </c>
      <c r="E93" s="4">
        <v>23</v>
      </c>
      <c r="F93" s="4" t="s">
        <v>11</v>
      </c>
      <c r="G93" s="4" t="s">
        <v>19</v>
      </c>
      <c r="H93" s="5">
        <v>2900</v>
      </c>
      <c r="I93" s="4"/>
    </row>
    <row r="94" spans="1:9" ht="15.9" x14ac:dyDescent="0.4">
      <c r="A94" s="3"/>
      <c r="B94" s="4"/>
      <c r="C94" s="4"/>
      <c r="D94" s="4"/>
      <c r="E94" s="4"/>
      <c r="F94" s="4"/>
      <c r="G94" s="4"/>
      <c r="H94" s="5"/>
      <c r="I94" s="4"/>
    </row>
    <row r="95" spans="1:9" ht="15.9" x14ac:dyDescent="0.4">
      <c r="A95" s="3"/>
      <c r="B95" s="4"/>
      <c r="C95" s="4"/>
      <c r="D95" s="4"/>
      <c r="E95" s="4"/>
      <c r="F95" s="4"/>
      <c r="G95" s="4"/>
      <c r="H95" s="5"/>
      <c r="I95" s="4"/>
    </row>
    <row r="96" spans="1:9" ht="15.9" x14ac:dyDescent="0.4">
      <c r="A96" s="3"/>
      <c r="B96" s="4"/>
      <c r="C96" s="4"/>
      <c r="D96" s="4"/>
      <c r="E96" s="4"/>
      <c r="F96" s="4"/>
      <c r="G96" s="4"/>
      <c r="H96" s="5"/>
      <c r="I96" s="4"/>
    </row>
    <row r="97" spans="1:9" ht="15.9" x14ac:dyDescent="0.4">
      <c r="A97" s="3"/>
      <c r="B97" s="4"/>
      <c r="C97" s="4"/>
      <c r="D97" s="4"/>
      <c r="E97" s="4"/>
      <c r="F97" s="4"/>
      <c r="G97" s="4"/>
      <c r="H97" s="5"/>
      <c r="I97" s="6"/>
    </row>
    <row r="98" spans="1:9" ht="15.9" x14ac:dyDescent="0.4">
      <c r="A98" s="3"/>
      <c r="B98" s="4"/>
      <c r="C98" s="4"/>
      <c r="D98" s="4"/>
      <c r="E98" s="4"/>
      <c r="F98" s="4"/>
      <c r="G98" s="4"/>
      <c r="H98" s="5"/>
      <c r="I98" s="4"/>
    </row>
    <row r="99" spans="1:9" ht="15.9" x14ac:dyDescent="0.4">
      <c r="A99" s="3"/>
      <c r="B99" s="4"/>
      <c r="C99" s="4"/>
      <c r="D99" s="4"/>
      <c r="E99" s="4"/>
      <c r="F99" s="4"/>
      <c r="G99" s="4"/>
      <c r="H99" s="5"/>
      <c r="I99" s="6"/>
    </row>
    <row r="100" spans="1:9" ht="15.9" x14ac:dyDescent="0.4">
      <c r="A100" s="3"/>
      <c r="B100" s="4"/>
      <c r="C100" s="4"/>
      <c r="D100" s="4"/>
      <c r="E100" s="4"/>
      <c r="F100" s="4"/>
      <c r="G100" s="4"/>
      <c r="H100" s="5"/>
      <c r="I100" s="4"/>
    </row>
    <row r="101" spans="1:9" ht="15.9" x14ac:dyDescent="0.4">
      <c r="A101" s="3"/>
      <c r="B101" s="4"/>
      <c r="C101" s="4"/>
      <c r="D101" s="4"/>
      <c r="E101" s="4"/>
      <c r="F101" s="4"/>
      <c r="G101" s="4"/>
      <c r="H101" s="5"/>
      <c r="I101" s="4"/>
    </row>
    <row r="102" spans="1:9" ht="15.9" x14ac:dyDescent="0.4">
      <c r="A102" s="3"/>
      <c r="B102" s="4"/>
      <c r="C102" s="4"/>
      <c r="D102" s="4"/>
      <c r="E102" s="4"/>
      <c r="F102" s="4"/>
      <c r="G102" s="4"/>
      <c r="H102" s="5"/>
      <c r="I102" s="4"/>
    </row>
    <row r="103" spans="1:9" ht="15.9" x14ac:dyDescent="0.4">
      <c r="A103" s="3"/>
      <c r="B103" s="4"/>
      <c r="C103" s="4"/>
      <c r="D103" s="4"/>
      <c r="E103" s="4"/>
      <c r="F103" s="4"/>
      <c r="G103" s="4"/>
      <c r="H103" s="5"/>
      <c r="I103" s="4"/>
    </row>
    <row r="104" spans="1:9" ht="15.9" x14ac:dyDescent="0.4">
      <c r="A104" s="3"/>
      <c r="B104" s="4"/>
      <c r="C104" s="4"/>
      <c r="D104" s="4"/>
      <c r="E104" s="4"/>
      <c r="F104" s="4"/>
      <c r="G104" s="4"/>
      <c r="H104" s="5"/>
      <c r="I104" s="4"/>
    </row>
    <row r="105" spans="1:9" ht="15.9" x14ac:dyDescent="0.4">
      <c r="A105" s="3"/>
      <c r="B105" s="4"/>
      <c r="C105" s="4"/>
      <c r="D105" s="4"/>
      <c r="E105" s="4"/>
      <c r="F105" s="4"/>
      <c r="G105" s="4"/>
      <c r="H105" s="5"/>
      <c r="I105" s="4"/>
    </row>
    <row r="106" spans="1:9" ht="15.9" x14ac:dyDescent="0.4">
      <c r="A106" s="3"/>
      <c r="B106" s="4"/>
      <c r="C106" s="4"/>
      <c r="D106" s="4"/>
      <c r="E106" s="4"/>
      <c r="F106" s="4"/>
      <c r="G106" s="4"/>
      <c r="H106" s="5"/>
      <c r="I106" s="4"/>
    </row>
    <row r="107" spans="1:9" ht="15.9" x14ac:dyDescent="0.4">
      <c r="A107" s="3"/>
      <c r="B107" s="4"/>
      <c r="C107" s="4"/>
      <c r="D107" s="4"/>
      <c r="E107" s="4"/>
      <c r="F107" s="4"/>
      <c r="G107" s="4"/>
      <c r="H107" s="5"/>
      <c r="I107" s="4"/>
    </row>
    <row r="108" spans="1:9" ht="15.9" x14ac:dyDescent="0.4">
      <c r="A108" s="3"/>
      <c r="B108" s="4"/>
      <c r="C108" s="4"/>
      <c r="D108" s="4"/>
      <c r="E108" s="4"/>
      <c r="F108" s="4"/>
      <c r="G108" s="4"/>
      <c r="H108" s="5"/>
      <c r="I108" s="4"/>
    </row>
    <row r="109" spans="1:9" ht="15.9" x14ac:dyDescent="0.4">
      <c r="A109" s="3"/>
      <c r="B109" s="4"/>
      <c r="C109" s="4"/>
      <c r="D109" s="4"/>
      <c r="E109" s="4"/>
      <c r="F109" s="4"/>
      <c r="G109" s="4"/>
      <c r="H109" s="5"/>
      <c r="I109" s="4"/>
    </row>
    <row r="110" spans="1:9" ht="15.9" x14ac:dyDescent="0.4">
      <c r="A110" s="3"/>
      <c r="B110" s="4"/>
      <c r="C110" s="4"/>
      <c r="D110" s="4"/>
      <c r="E110" s="4"/>
      <c r="F110" s="4"/>
      <c r="G110" s="4"/>
      <c r="H110" s="5"/>
      <c r="I110" s="4"/>
    </row>
    <row r="111" spans="1:9" ht="15.9" x14ac:dyDescent="0.4">
      <c r="A111" s="3"/>
      <c r="B111" s="4"/>
      <c r="C111" s="4"/>
      <c r="D111" s="4"/>
      <c r="E111" s="4"/>
      <c r="F111" s="4"/>
      <c r="G111" s="4"/>
      <c r="H111" s="5"/>
      <c r="I111" s="4"/>
    </row>
    <row r="112" spans="1:9" ht="15.9" x14ac:dyDescent="0.4">
      <c r="A112" s="3"/>
      <c r="B112" s="4"/>
      <c r="C112" s="4"/>
      <c r="D112" s="4"/>
      <c r="E112" s="4"/>
      <c r="F112" s="4"/>
      <c r="G112" s="4"/>
      <c r="H112" s="5"/>
      <c r="I112" s="4"/>
    </row>
    <row r="113" spans="1:9" ht="15.9" x14ac:dyDescent="0.4">
      <c r="A113" s="3"/>
      <c r="B113" s="4"/>
      <c r="C113" s="4"/>
      <c r="D113" s="4"/>
      <c r="E113" s="4"/>
      <c r="F113" s="4"/>
      <c r="G113" s="4"/>
      <c r="H113" s="5"/>
      <c r="I113" s="4"/>
    </row>
    <row r="114" spans="1:9" ht="15.9" x14ac:dyDescent="0.4">
      <c r="A114" s="3"/>
      <c r="B114" s="4"/>
      <c r="C114" s="4"/>
      <c r="D114" s="4"/>
      <c r="E114" s="4"/>
      <c r="F114" s="4"/>
      <c r="G114" s="4"/>
      <c r="H114" s="5"/>
      <c r="I114" s="4"/>
    </row>
    <row r="115" spans="1:9" ht="15.9" x14ac:dyDescent="0.4">
      <c r="A115" s="3"/>
      <c r="B115" s="4"/>
      <c r="C115" s="4"/>
      <c r="D115" s="4"/>
      <c r="E115" s="4"/>
      <c r="F115" s="4"/>
      <c r="G115" s="4"/>
      <c r="H115" s="4"/>
      <c r="I115" s="4"/>
    </row>
    <row r="116" spans="1:9" ht="15.9" x14ac:dyDescent="0.4">
      <c r="A116" s="3"/>
      <c r="B116" s="4"/>
      <c r="C116" s="4"/>
      <c r="D116" s="4"/>
      <c r="E116" s="4"/>
      <c r="F116" s="4"/>
      <c r="G116" s="4"/>
      <c r="H116" s="5"/>
      <c r="I116" s="4"/>
    </row>
    <row r="117" spans="1:9" ht="15.9" x14ac:dyDescent="0.4">
      <c r="A117" s="3"/>
      <c r="B117" s="4"/>
      <c r="C117" s="4"/>
      <c r="D117" s="4"/>
      <c r="E117" s="4"/>
      <c r="F117" s="4"/>
      <c r="G117" s="4"/>
      <c r="H117" s="5"/>
      <c r="I117" s="4"/>
    </row>
    <row r="118" spans="1:9" ht="15.9" x14ac:dyDescent="0.4">
      <c r="A118" s="3"/>
      <c r="B118" s="4"/>
      <c r="C118" s="4"/>
      <c r="D118" s="4"/>
      <c r="E118" s="4"/>
      <c r="F118" s="4"/>
      <c r="G118" s="4"/>
      <c r="H118" s="5"/>
      <c r="I118" s="4"/>
    </row>
    <row r="119" spans="1:9" ht="15.9" x14ac:dyDescent="0.4">
      <c r="A119" s="3"/>
      <c r="B119" s="4"/>
      <c r="C119" s="4"/>
      <c r="D119" s="4"/>
      <c r="E119" s="4"/>
      <c r="F119" s="4"/>
      <c r="G119" s="4"/>
      <c r="H119" s="5"/>
      <c r="I119" s="4"/>
    </row>
    <row r="120" spans="1:9" ht="15.9" x14ac:dyDescent="0.4">
      <c r="A120" s="4"/>
      <c r="B120" s="4"/>
      <c r="C120" s="4"/>
      <c r="D120" s="4"/>
      <c r="E120" s="4"/>
      <c r="F120" s="4"/>
      <c r="G120" s="4"/>
      <c r="H120" s="4"/>
      <c r="I120" s="4"/>
    </row>
    <row r="121" spans="1:9" ht="15.9" x14ac:dyDescent="0.4">
      <c r="A121" s="4"/>
      <c r="B121" s="4"/>
      <c r="C121" s="4"/>
      <c r="D121" s="4"/>
      <c r="E121" s="4"/>
      <c r="F121" s="4"/>
      <c r="G121" s="4"/>
      <c r="H121" s="4"/>
      <c r="I121" s="4"/>
    </row>
    <row r="122" spans="1:9" ht="15.9" x14ac:dyDescent="0.4">
      <c r="A122" s="4"/>
      <c r="B122" s="4"/>
      <c r="C122" s="4"/>
      <c r="D122" s="4"/>
      <c r="E122" s="4"/>
      <c r="F122" s="4"/>
      <c r="G122" s="4"/>
      <c r="H122" s="4"/>
      <c r="I122" s="4"/>
    </row>
    <row r="123" spans="1:9" ht="15.9" x14ac:dyDescent="0.4">
      <c r="A123" s="4"/>
      <c r="B123" s="4"/>
      <c r="C123" s="4"/>
      <c r="D123" s="4"/>
      <c r="E123" s="4"/>
      <c r="F123" s="4"/>
      <c r="G123" s="4"/>
      <c r="H123" s="4"/>
      <c r="I123" s="4"/>
    </row>
    <row r="124" spans="1:9" ht="15.9" x14ac:dyDescent="0.4">
      <c r="A124" s="4"/>
      <c r="B124" s="4"/>
      <c r="C124" s="4"/>
      <c r="D124" s="4"/>
      <c r="E124" s="4"/>
      <c r="F124" s="4"/>
      <c r="G124" s="4"/>
      <c r="H124" s="4"/>
      <c r="I124" s="4"/>
    </row>
    <row r="125" spans="1:9" ht="15.9" x14ac:dyDescent="0.4">
      <c r="A125" s="4"/>
      <c r="B125" s="4"/>
      <c r="C125" s="4"/>
      <c r="D125" s="4"/>
      <c r="E125" s="4"/>
      <c r="F125" s="4"/>
      <c r="G125" s="4"/>
      <c r="H125" s="4"/>
      <c r="I125" s="4"/>
    </row>
    <row r="126" spans="1:9" ht="15.9" x14ac:dyDescent="0.4">
      <c r="A126" s="4"/>
      <c r="B126" s="4"/>
      <c r="C126" s="4"/>
      <c r="D126" s="4"/>
      <c r="E126" s="4"/>
      <c r="F126" s="4"/>
      <c r="G126" s="4"/>
      <c r="H126" s="4"/>
      <c r="I126" s="4"/>
    </row>
    <row r="127" spans="1:9" ht="15.9" x14ac:dyDescent="0.4">
      <c r="A127" s="4"/>
      <c r="B127" s="4"/>
      <c r="C127" s="4"/>
      <c r="D127" s="4"/>
      <c r="E127" s="4"/>
      <c r="F127" s="4"/>
      <c r="G127" s="4"/>
      <c r="H127" s="4"/>
      <c r="I127" s="4"/>
    </row>
    <row r="128" spans="1:9" ht="15.9" x14ac:dyDescent="0.4">
      <c r="A128" s="4"/>
      <c r="B128" s="4"/>
      <c r="C128" s="4"/>
      <c r="D128" s="4"/>
      <c r="E128" s="4"/>
      <c r="F128" s="4"/>
      <c r="G128" s="4"/>
      <c r="H128" s="4"/>
      <c r="I128" s="4"/>
    </row>
    <row r="129" spans="1:9" ht="15.9" x14ac:dyDescent="0.4">
      <c r="A129" s="4"/>
      <c r="B129" s="4"/>
      <c r="C129" s="4"/>
      <c r="D129" s="4"/>
      <c r="E129" s="4"/>
      <c r="F129" s="4"/>
      <c r="G129" s="4"/>
      <c r="H129" s="4"/>
      <c r="I129" s="4"/>
    </row>
    <row r="130" spans="1:9" ht="15.9" x14ac:dyDescent="0.4">
      <c r="A130" s="4"/>
      <c r="B130" s="4"/>
      <c r="C130" s="4"/>
      <c r="D130" s="4"/>
      <c r="E130" s="4"/>
      <c r="F130" s="4"/>
      <c r="G130" s="4"/>
      <c r="H130" s="4"/>
      <c r="I130" s="4"/>
    </row>
    <row r="131" spans="1:9" ht="15.9" x14ac:dyDescent="0.4">
      <c r="A131" s="4"/>
      <c r="B131" s="4"/>
      <c r="C131" s="4"/>
      <c r="D131" s="4"/>
      <c r="E131" s="4"/>
      <c r="F131" s="4"/>
      <c r="G131" s="4"/>
      <c r="H131" s="4"/>
      <c r="I131" s="4"/>
    </row>
    <row r="132" spans="1:9" ht="15.9" x14ac:dyDescent="0.4">
      <c r="A132" s="4"/>
      <c r="B132" s="4"/>
      <c r="C132" s="4"/>
      <c r="D132" s="4"/>
      <c r="E132" s="4"/>
      <c r="F132" s="4"/>
      <c r="G132" s="4"/>
      <c r="H132" s="4"/>
      <c r="I132" s="4"/>
    </row>
    <row r="133" spans="1:9" ht="15.9" x14ac:dyDescent="0.4">
      <c r="A133" s="4"/>
      <c r="B133" s="4"/>
      <c r="C133" s="4"/>
      <c r="D133" s="4"/>
      <c r="E133" s="4"/>
      <c r="F133" s="4"/>
      <c r="G133" s="4"/>
      <c r="H133" s="4"/>
      <c r="I133" s="4"/>
    </row>
    <row r="134" spans="1:9" ht="15.9" x14ac:dyDescent="0.4">
      <c r="A134" s="4"/>
      <c r="B134" s="4"/>
      <c r="C134" s="4"/>
      <c r="D134" s="4"/>
      <c r="E134" s="4"/>
      <c r="F134" s="4"/>
      <c r="G134" s="4"/>
      <c r="H134" s="4"/>
      <c r="I134" s="4"/>
    </row>
    <row r="135" spans="1:9" ht="15.9" x14ac:dyDescent="0.4">
      <c r="A135" s="4"/>
      <c r="B135" s="4"/>
      <c r="C135" s="4"/>
      <c r="D135" s="4"/>
      <c r="E135" s="4"/>
      <c r="F135" s="4"/>
      <c r="G135" s="4"/>
      <c r="H135" s="4"/>
      <c r="I135" s="4"/>
    </row>
    <row r="136" spans="1:9" ht="15.9" x14ac:dyDescent="0.4">
      <c r="A136" s="4"/>
      <c r="B136" s="4"/>
      <c r="C136" s="4"/>
      <c r="D136" s="4"/>
      <c r="E136" s="4"/>
      <c r="F136" s="4"/>
      <c r="G136" s="4"/>
      <c r="H136" s="4"/>
      <c r="I136" s="4"/>
    </row>
    <row r="137" spans="1:9" ht="15.9" x14ac:dyDescent="0.4">
      <c r="A137" s="4"/>
      <c r="B137" s="4"/>
      <c r="C137" s="4"/>
      <c r="D137" s="4"/>
      <c r="E137" s="4"/>
      <c r="F137" s="4"/>
      <c r="G137" s="4"/>
      <c r="H137" s="4"/>
      <c r="I137" s="4"/>
    </row>
    <row r="138" spans="1:9" ht="15.9" x14ac:dyDescent="0.4">
      <c r="A138" s="4"/>
      <c r="B138" s="4"/>
      <c r="C138" s="4"/>
      <c r="D138" s="4"/>
      <c r="E138" s="4"/>
      <c r="F138" s="4"/>
      <c r="G138" s="4"/>
      <c r="H138" s="4"/>
      <c r="I138" s="4"/>
    </row>
    <row r="139" spans="1:9" ht="15.9" x14ac:dyDescent="0.4">
      <c r="A139" s="4"/>
      <c r="B139" s="4"/>
      <c r="C139" s="4"/>
      <c r="D139" s="4"/>
      <c r="E139" s="4"/>
      <c r="F139" s="4"/>
      <c r="G139" s="4"/>
      <c r="H139" s="4"/>
      <c r="I139" s="4"/>
    </row>
    <row r="140" spans="1:9" ht="15.9" x14ac:dyDescent="0.4">
      <c r="A140" s="4"/>
      <c r="B140" s="4"/>
      <c r="C140" s="4"/>
      <c r="D140" s="4"/>
      <c r="E140" s="4"/>
      <c r="F140" s="4"/>
      <c r="G140" s="4"/>
      <c r="H140" s="4"/>
      <c r="I140" s="4"/>
    </row>
    <row r="141" spans="1:9" ht="15.9" x14ac:dyDescent="0.4">
      <c r="A141" s="4"/>
      <c r="B141" s="4"/>
      <c r="C141" s="4"/>
      <c r="D141" s="4"/>
      <c r="E141" s="4"/>
      <c r="F141" s="4"/>
      <c r="G141" s="4"/>
      <c r="H141" s="4"/>
      <c r="I141" s="4"/>
    </row>
    <row r="142" spans="1:9" ht="15.9" x14ac:dyDescent="0.4">
      <c r="A142" s="4"/>
      <c r="B142" s="4"/>
      <c r="C142" s="4"/>
      <c r="D142" s="4"/>
      <c r="E142" s="4"/>
      <c r="F142" s="4"/>
      <c r="G142" s="4"/>
      <c r="H142" s="4"/>
      <c r="I142" s="4"/>
    </row>
    <row r="143" spans="1:9" ht="15.9" x14ac:dyDescent="0.4">
      <c r="A143" s="4"/>
      <c r="B143" s="4"/>
      <c r="C143" s="4"/>
      <c r="D143" s="4"/>
      <c r="E143" s="4"/>
      <c r="F143" s="4"/>
      <c r="G143" s="4"/>
      <c r="H143" s="4"/>
      <c r="I143" s="4"/>
    </row>
    <row r="144" spans="1:9" ht="15.9" x14ac:dyDescent="0.4">
      <c r="A144" s="4"/>
      <c r="B144" s="4"/>
      <c r="C144" s="4"/>
      <c r="D144" s="4"/>
      <c r="E144" s="4"/>
      <c r="F144" s="4"/>
      <c r="G144" s="4"/>
      <c r="H144" s="4"/>
      <c r="I144" s="4"/>
    </row>
    <row r="145" spans="1:9" ht="15.9" x14ac:dyDescent="0.4">
      <c r="A145" s="4"/>
      <c r="B145" s="4"/>
      <c r="C145" s="4"/>
      <c r="D145" s="4"/>
      <c r="E145" s="4"/>
      <c r="F145" s="4"/>
      <c r="G145" s="4"/>
      <c r="H145" s="4"/>
      <c r="I145" s="4"/>
    </row>
    <row r="146" spans="1:9" ht="15.9" x14ac:dyDescent="0.4">
      <c r="A146" s="4"/>
      <c r="B146" s="4"/>
      <c r="C146" s="4"/>
      <c r="D146" s="4"/>
      <c r="E146" s="4"/>
      <c r="F146" s="4"/>
      <c r="G146" s="4"/>
      <c r="H146" s="4"/>
      <c r="I146" s="4"/>
    </row>
    <row r="147" spans="1:9" ht="15.9" x14ac:dyDescent="0.4">
      <c r="A147" s="4"/>
      <c r="B147" s="4"/>
      <c r="C147" s="4"/>
      <c r="D147" s="4"/>
      <c r="E147" s="4"/>
      <c r="F147" s="4"/>
      <c r="G147" s="4"/>
      <c r="H147" s="4"/>
      <c r="I147" s="4"/>
    </row>
    <row r="148" spans="1:9" ht="15.9" x14ac:dyDescent="0.4">
      <c r="A148" s="4"/>
      <c r="B148" s="4"/>
      <c r="C148" s="4"/>
      <c r="D148" s="4"/>
      <c r="E148" s="4"/>
      <c r="F148" s="4"/>
      <c r="G148" s="4"/>
      <c r="H148" s="4"/>
      <c r="I148" s="4"/>
    </row>
    <row r="149" spans="1:9" ht="15.9" x14ac:dyDescent="0.4">
      <c r="A149" s="4"/>
      <c r="B149" s="4"/>
      <c r="C149" s="4"/>
      <c r="D149" s="4"/>
      <c r="E149" s="4"/>
      <c r="F149" s="4"/>
      <c r="G149" s="4"/>
      <c r="H149" s="4"/>
      <c r="I149" s="4"/>
    </row>
    <row r="150" spans="1:9" ht="15.9" x14ac:dyDescent="0.4">
      <c r="A150" s="4"/>
      <c r="B150" s="4"/>
      <c r="C150" s="4"/>
      <c r="D150" s="4"/>
      <c r="E150" s="4"/>
      <c r="F150" s="4"/>
      <c r="G150" s="4"/>
      <c r="H150" s="4"/>
      <c r="I150" s="4"/>
    </row>
    <row r="151" spans="1:9" ht="15.9" x14ac:dyDescent="0.4">
      <c r="A151" s="4"/>
      <c r="B151" s="4"/>
      <c r="C151" s="4"/>
      <c r="D151" s="4"/>
      <c r="E151" s="4"/>
      <c r="F151" s="4"/>
      <c r="G151" s="4"/>
      <c r="H151" s="4"/>
      <c r="I151" s="4"/>
    </row>
    <row r="152" spans="1:9" ht="15.9" x14ac:dyDescent="0.4">
      <c r="A152" s="4"/>
      <c r="B152" s="4"/>
      <c r="C152" s="4"/>
      <c r="D152" s="4"/>
      <c r="E152" s="4"/>
      <c r="F152" s="4"/>
      <c r="G152" s="4"/>
      <c r="H152" s="4"/>
      <c r="I152" s="4"/>
    </row>
    <row r="153" spans="1:9" ht="15.9" x14ac:dyDescent="0.4">
      <c r="A153" s="4"/>
      <c r="B153" s="4"/>
      <c r="C153" s="4"/>
      <c r="D153" s="4"/>
      <c r="E153" s="4"/>
      <c r="F153" s="4"/>
      <c r="G153" s="4"/>
      <c r="H153" s="4"/>
      <c r="I153" s="4"/>
    </row>
    <row r="154" spans="1:9" ht="15.9" x14ac:dyDescent="0.4">
      <c r="A154" s="4"/>
      <c r="B154" s="4"/>
      <c r="C154" s="4"/>
      <c r="D154" s="4"/>
      <c r="E154" s="4"/>
      <c r="F154" s="4"/>
      <c r="G154" s="4"/>
      <c r="H154" s="4"/>
      <c r="I154" s="4"/>
    </row>
    <row r="155" spans="1:9" ht="15.9" x14ac:dyDescent="0.4">
      <c r="A155" s="4"/>
      <c r="B155" s="4"/>
      <c r="C155" s="4"/>
      <c r="D155" s="4"/>
      <c r="E155" s="4"/>
      <c r="F155" s="4"/>
      <c r="G155" s="4"/>
      <c r="H155" s="4"/>
      <c r="I155" s="4"/>
    </row>
    <row r="156" spans="1:9" ht="15.9" x14ac:dyDescent="0.4">
      <c r="A156" s="4"/>
      <c r="B156" s="4"/>
      <c r="C156" s="4"/>
      <c r="D156" s="4"/>
      <c r="E156" s="4"/>
      <c r="F156" s="4"/>
      <c r="G156" s="4"/>
      <c r="H156" s="4"/>
      <c r="I156" s="4"/>
    </row>
    <row r="157" spans="1:9" ht="15.9" x14ac:dyDescent="0.4">
      <c r="A157" s="4"/>
      <c r="B157" s="4"/>
      <c r="C157" s="4"/>
      <c r="D157" s="4"/>
      <c r="E157" s="4"/>
      <c r="F157" s="4"/>
      <c r="G157" s="4"/>
      <c r="H157" s="4"/>
      <c r="I157" s="4"/>
    </row>
    <row r="158" spans="1:9" ht="15.9" x14ac:dyDescent="0.4">
      <c r="A158" s="4"/>
      <c r="B158" s="4"/>
      <c r="C158" s="4"/>
      <c r="D158" s="4"/>
      <c r="E158" s="4"/>
      <c r="F158" s="4"/>
      <c r="G158" s="4"/>
      <c r="H158" s="4"/>
      <c r="I158" s="4"/>
    </row>
    <row r="159" spans="1:9" ht="15.9" x14ac:dyDescent="0.4">
      <c r="A159" s="4"/>
      <c r="B159" s="4"/>
      <c r="C159" s="4"/>
      <c r="D159" s="4"/>
      <c r="E159" s="4"/>
      <c r="F159" s="4"/>
      <c r="G159" s="4"/>
      <c r="H159" s="4"/>
      <c r="I159" s="4"/>
    </row>
    <row r="160" spans="1:9" ht="15.9" x14ac:dyDescent="0.4">
      <c r="A160" s="4"/>
      <c r="B160" s="4"/>
      <c r="C160" s="4"/>
      <c r="D160" s="4"/>
      <c r="E160" s="4"/>
      <c r="F160" s="4"/>
      <c r="G160" s="4"/>
      <c r="H160" s="4"/>
      <c r="I160" s="4"/>
    </row>
    <row r="161" spans="1:9" ht="15.9" x14ac:dyDescent="0.4">
      <c r="A161" s="4"/>
      <c r="B161" s="4"/>
      <c r="C161" s="4"/>
      <c r="D161" s="4"/>
      <c r="E161" s="4"/>
      <c r="F161" s="4"/>
      <c r="G161" s="4"/>
      <c r="H161" s="4"/>
      <c r="I161" s="4"/>
    </row>
    <row r="162" spans="1:9" ht="15.9" x14ac:dyDescent="0.4">
      <c r="A162" s="4"/>
      <c r="B162" s="4"/>
      <c r="C162" s="4"/>
      <c r="D162" s="4"/>
      <c r="E162" s="4"/>
      <c r="F162" s="4"/>
      <c r="G162" s="4"/>
      <c r="H162" s="4"/>
      <c r="I162" s="4"/>
    </row>
    <row r="163" spans="1:9" ht="15.9" x14ac:dyDescent="0.4">
      <c r="A163" s="4"/>
      <c r="B163" s="4"/>
      <c r="C163" s="4"/>
      <c r="D163" s="4"/>
      <c r="E163" s="4"/>
      <c r="F163" s="4"/>
      <c r="G163" s="4"/>
      <c r="H163" s="4"/>
      <c r="I163" s="4"/>
    </row>
    <row r="164" spans="1:9" ht="15.9" x14ac:dyDescent="0.4">
      <c r="A164" s="4"/>
      <c r="B164" s="4"/>
      <c r="C164" s="4"/>
      <c r="D164" s="4"/>
      <c r="E164" s="4"/>
      <c r="F164" s="4"/>
      <c r="G164" s="4"/>
      <c r="H164" s="4"/>
      <c r="I164" s="4"/>
    </row>
    <row r="165" spans="1:9" ht="15.9" x14ac:dyDescent="0.4">
      <c r="A165" s="4"/>
      <c r="B165" s="4"/>
      <c r="C165" s="4"/>
      <c r="D165" s="4"/>
      <c r="E165" s="4"/>
      <c r="F165" s="4"/>
      <c r="G165" s="4"/>
      <c r="H165" s="4"/>
      <c r="I165" s="4"/>
    </row>
    <row r="166" spans="1:9" ht="15.9" x14ac:dyDescent="0.4">
      <c r="A166" s="4"/>
      <c r="B166" s="4"/>
      <c r="C166" s="4"/>
      <c r="D166" s="4"/>
      <c r="E166" s="4"/>
      <c r="F166" s="4"/>
      <c r="G166" s="4"/>
      <c r="H166" s="4"/>
      <c r="I166" s="4"/>
    </row>
    <row r="167" spans="1:9" ht="15.9" x14ac:dyDescent="0.4">
      <c r="A167" s="4"/>
      <c r="B167" s="4"/>
      <c r="C167" s="4"/>
      <c r="D167" s="4"/>
      <c r="E167" s="4"/>
      <c r="F167" s="4"/>
      <c r="G167" s="4"/>
      <c r="H167" s="4"/>
      <c r="I167" s="4"/>
    </row>
    <row r="168" spans="1:9" ht="15.9" x14ac:dyDescent="0.4">
      <c r="A168" s="4"/>
      <c r="B168" s="4"/>
      <c r="C168" s="4"/>
      <c r="D168" s="4"/>
      <c r="E168" s="4"/>
      <c r="F168" s="4"/>
      <c r="G168" s="4"/>
      <c r="H168" s="4"/>
      <c r="I168" s="4"/>
    </row>
    <row r="169" spans="1:9" ht="15.9" x14ac:dyDescent="0.4">
      <c r="A169" s="4"/>
      <c r="B169" s="4"/>
      <c r="C169" s="4"/>
      <c r="D169" s="4"/>
      <c r="E169" s="4"/>
      <c r="F169" s="4"/>
      <c r="G169" s="4"/>
      <c r="H169" s="4"/>
      <c r="I169" s="4"/>
    </row>
    <row r="170" spans="1:9" ht="15.9" x14ac:dyDescent="0.4">
      <c r="A170" s="4"/>
      <c r="B170" s="4"/>
      <c r="C170" s="4"/>
      <c r="D170" s="4"/>
      <c r="E170" s="4"/>
      <c r="F170" s="4"/>
      <c r="G170" s="4"/>
      <c r="H170" s="4"/>
      <c r="I170" s="4"/>
    </row>
    <row r="171" spans="1:9" ht="15.9" x14ac:dyDescent="0.4">
      <c r="A171" s="4"/>
      <c r="B171" s="4"/>
      <c r="C171" s="4"/>
      <c r="D171" s="4"/>
      <c r="E171" s="4"/>
      <c r="F171" s="4"/>
      <c r="G171" s="4"/>
      <c r="H171" s="4"/>
      <c r="I171" s="4"/>
    </row>
    <row r="172" spans="1:9" ht="15.9" x14ac:dyDescent="0.4">
      <c r="A172" s="4"/>
      <c r="B172" s="4"/>
      <c r="C172" s="4"/>
      <c r="D172" s="4"/>
      <c r="E172" s="4"/>
      <c r="F172" s="4"/>
      <c r="G172" s="4"/>
      <c r="H172" s="4"/>
      <c r="I172" s="4"/>
    </row>
    <row r="173" spans="1:9" ht="15.9" x14ac:dyDescent="0.4">
      <c r="A173" s="4"/>
      <c r="B173" s="4"/>
      <c r="C173" s="4"/>
      <c r="D173" s="4"/>
      <c r="E173" s="4"/>
      <c r="F173" s="4"/>
      <c r="G173" s="4"/>
      <c r="H173" s="4"/>
      <c r="I173" s="4"/>
    </row>
    <row r="174" spans="1:9" ht="15.9" x14ac:dyDescent="0.4">
      <c r="A174" s="4"/>
      <c r="B174" s="4"/>
      <c r="C174" s="4"/>
      <c r="D174" s="4"/>
      <c r="E174" s="4"/>
      <c r="F174" s="4"/>
      <c r="G174" s="4"/>
      <c r="H174" s="4"/>
      <c r="I174" s="4"/>
    </row>
    <row r="175" spans="1:9" ht="15.9" x14ac:dyDescent="0.4">
      <c r="A175" s="4"/>
      <c r="B175" s="4"/>
      <c r="C175" s="4"/>
      <c r="D175" s="4"/>
      <c r="E175" s="4"/>
      <c r="F175" s="4"/>
      <c r="G175" s="4"/>
      <c r="H175" s="4"/>
      <c r="I175" s="4"/>
    </row>
    <row r="176" spans="1:9" ht="15.9" x14ac:dyDescent="0.4">
      <c r="A176" s="4"/>
      <c r="B176" s="4"/>
      <c r="C176" s="4"/>
      <c r="D176" s="4"/>
      <c r="E176" s="4"/>
      <c r="F176" s="4"/>
      <c r="G176" s="4"/>
      <c r="H176" s="4"/>
      <c r="I176" s="4"/>
    </row>
    <row r="177" spans="1:9" ht="15.9" x14ac:dyDescent="0.4">
      <c r="A177" s="4"/>
      <c r="B177" s="4"/>
      <c r="C177" s="4"/>
      <c r="D177" s="4"/>
      <c r="E177" s="4"/>
      <c r="F177" s="4"/>
      <c r="G177" s="4"/>
      <c r="H177" s="4"/>
      <c r="I177" s="4"/>
    </row>
    <row r="178" spans="1:9" ht="15.9" x14ac:dyDescent="0.4">
      <c r="A178" s="4"/>
      <c r="B178" s="4"/>
      <c r="C178" s="4"/>
      <c r="D178" s="4"/>
      <c r="E178" s="4"/>
      <c r="F178" s="4"/>
      <c r="G178" s="4"/>
      <c r="H178" s="4"/>
      <c r="I178" s="4"/>
    </row>
    <row r="179" spans="1:9" ht="15.9" x14ac:dyDescent="0.4">
      <c r="A179" s="4"/>
      <c r="B179" s="4"/>
      <c r="C179" s="4"/>
      <c r="D179" s="4"/>
      <c r="E179" s="4"/>
      <c r="F179" s="4"/>
      <c r="G179" s="4"/>
      <c r="H179" s="4"/>
      <c r="I179" s="4"/>
    </row>
    <row r="180" spans="1:9" ht="15.9" x14ac:dyDescent="0.4">
      <c r="A180" s="4"/>
      <c r="B180" s="4"/>
      <c r="C180" s="4"/>
      <c r="D180" s="4"/>
      <c r="E180" s="4"/>
      <c r="F180" s="4"/>
      <c r="G180" s="4"/>
      <c r="H180" s="4"/>
      <c r="I180" s="4"/>
    </row>
    <row r="181" spans="1:9" ht="15.9" x14ac:dyDescent="0.4">
      <c r="A181" s="4"/>
      <c r="B181" s="4"/>
      <c r="C181" s="4"/>
      <c r="D181" s="4"/>
      <c r="E181" s="4"/>
      <c r="F181" s="4"/>
      <c r="G181" s="4"/>
      <c r="H181" s="4"/>
      <c r="I181" s="4"/>
    </row>
    <row r="182" spans="1:9" ht="15.9" x14ac:dyDescent="0.4">
      <c r="A182" s="4"/>
      <c r="B182" s="4"/>
      <c r="C182" s="4"/>
      <c r="D182" s="4"/>
      <c r="E182" s="4"/>
      <c r="F182" s="4"/>
      <c r="G182" s="4"/>
      <c r="H182" s="4"/>
      <c r="I182" s="4"/>
    </row>
    <row r="183" spans="1:9" ht="15.9" x14ac:dyDescent="0.4">
      <c r="A183" s="4"/>
      <c r="B183" s="4"/>
      <c r="C183" s="4"/>
      <c r="D183" s="4"/>
      <c r="E183" s="4"/>
      <c r="F183" s="4"/>
      <c r="G183" s="4"/>
      <c r="H183" s="4"/>
      <c r="I183" s="4"/>
    </row>
    <row r="184" spans="1:9" ht="15.9" x14ac:dyDescent="0.4">
      <c r="A184" s="4"/>
      <c r="B184" s="4"/>
      <c r="C184" s="4"/>
      <c r="D184" s="4"/>
      <c r="E184" s="4"/>
      <c r="F184" s="4"/>
      <c r="G184" s="4"/>
      <c r="H184" s="4"/>
      <c r="I184" s="4"/>
    </row>
    <row r="185" spans="1:9" ht="15.9" x14ac:dyDescent="0.4">
      <c r="A185" s="4"/>
      <c r="B185" s="4"/>
      <c r="C185" s="4"/>
      <c r="D185" s="4"/>
      <c r="E185" s="4"/>
      <c r="F185" s="4"/>
      <c r="G185" s="4"/>
      <c r="H185" s="4"/>
      <c r="I185" s="4"/>
    </row>
    <row r="186" spans="1:9" ht="15.9" x14ac:dyDescent="0.4">
      <c r="A186" s="4"/>
      <c r="B186" s="4"/>
      <c r="C186" s="4"/>
      <c r="D186" s="4"/>
      <c r="E186" s="4"/>
      <c r="F186" s="4"/>
      <c r="G186" s="4"/>
      <c r="H186" s="4"/>
      <c r="I186" s="4"/>
    </row>
    <row r="187" spans="1:9" ht="15.9" x14ac:dyDescent="0.4">
      <c r="A187" s="4"/>
      <c r="B187" s="4"/>
      <c r="C187" s="4"/>
      <c r="D187" s="4"/>
      <c r="E187" s="4"/>
      <c r="F187" s="4"/>
      <c r="G187" s="4"/>
      <c r="H187" s="4"/>
      <c r="I187" s="4"/>
    </row>
    <row r="188" spans="1:9" ht="15.9" x14ac:dyDescent="0.4">
      <c r="A188" s="4"/>
      <c r="B188" s="4"/>
      <c r="C188" s="4"/>
      <c r="D188" s="4"/>
      <c r="E188" s="4"/>
      <c r="F188" s="4"/>
      <c r="G188" s="4"/>
      <c r="H188" s="4"/>
      <c r="I188" s="4"/>
    </row>
    <row r="189" spans="1:9" ht="15.9" x14ac:dyDescent="0.4">
      <c r="A189" s="4"/>
      <c r="B189" s="4"/>
      <c r="C189" s="4"/>
      <c r="D189" s="4"/>
      <c r="E189" s="4"/>
      <c r="F189" s="4"/>
      <c r="G189" s="4"/>
      <c r="H189" s="4"/>
      <c r="I189" s="4"/>
    </row>
    <row r="190" spans="1:9" ht="15.9" x14ac:dyDescent="0.4">
      <c r="A190" s="4"/>
      <c r="B190" s="4"/>
      <c r="C190" s="4"/>
      <c r="D190" s="4"/>
      <c r="E190" s="4"/>
      <c r="F190" s="4"/>
      <c r="G190" s="4"/>
      <c r="H190" s="4"/>
      <c r="I190" s="4"/>
    </row>
    <row r="191" spans="1:9" ht="15.9" x14ac:dyDescent="0.4">
      <c r="A191" s="4"/>
      <c r="B191" s="4"/>
      <c r="C191" s="4"/>
      <c r="D191" s="4"/>
      <c r="E191" s="4"/>
      <c r="F191" s="4"/>
      <c r="G191" s="4"/>
      <c r="H191" s="4"/>
      <c r="I191" s="4"/>
    </row>
    <row r="192" spans="1:9" ht="15.9" x14ac:dyDescent="0.4">
      <c r="A192" s="4"/>
      <c r="B192" s="4"/>
      <c r="C192" s="4"/>
      <c r="D192" s="4"/>
      <c r="E192" s="4"/>
      <c r="F192" s="4"/>
      <c r="G192" s="4"/>
      <c r="H192" s="4"/>
      <c r="I192" s="4"/>
    </row>
    <row r="193" spans="1:9" ht="15.9" x14ac:dyDescent="0.4">
      <c r="A193" s="4"/>
      <c r="B193" s="4"/>
      <c r="C193" s="4"/>
      <c r="D193" s="4"/>
      <c r="E193" s="4"/>
      <c r="F193" s="4"/>
      <c r="G193" s="4"/>
      <c r="H193" s="4"/>
      <c r="I193" s="4"/>
    </row>
    <row r="194" spans="1:9" ht="15.9" x14ac:dyDescent="0.4">
      <c r="A194" s="4"/>
      <c r="B194" s="4"/>
      <c r="C194" s="4"/>
      <c r="D194" s="4"/>
      <c r="E194" s="4"/>
      <c r="F194" s="4"/>
      <c r="G194" s="4"/>
      <c r="H194" s="4"/>
      <c r="I194" s="4"/>
    </row>
    <row r="195" spans="1:9" ht="15.9" x14ac:dyDescent="0.4">
      <c r="A195" s="4"/>
      <c r="B195" s="4"/>
      <c r="C195" s="4"/>
      <c r="D195" s="4"/>
      <c r="E195" s="4"/>
      <c r="F195" s="4"/>
      <c r="G195" s="4"/>
      <c r="H195" s="4"/>
      <c r="I195" s="4"/>
    </row>
    <row r="196" spans="1:9" ht="15.9" x14ac:dyDescent="0.4">
      <c r="A196" s="4"/>
      <c r="B196" s="4"/>
      <c r="C196" s="4"/>
      <c r="D196" s="4"/>
      <c r="E196" s="4"/>
      <c r="F196" s="4"/>
      <c r="G196" s="4"/>
      <c r="H196" s="4"/>
      <c r="I196" s="4"/>
    </row>
    <row r="197" spans="1:9" ht="15.9" x14ac:dyDescent="0.4">
      <c r="A197" s="4"/>
      <c r="B197" s="4"/>
      <c r="C197" s="4"/>
      <c r="D197" s="4"/>
      <c r="E197" s="4"/>
      <c r="F197" s="4"/>
      <c r="G197" s="4"/>
      <c r="H197" s="4"/>
      <c r="I197" s="4"/>
    </row>
    <row r="198" spans="1:9" ht="15.9" x14ac:dyDescent="0.4">
      <c r="A198" s="4"/>
      <c r="B198" s="4"/>
      <c r="C198" s="4"/>
      <c r="D198" s="4"/>
      <c r="E198" s="4"/>
      <c r="F198" s="4"/>
      <c r="G198" s="4"/>
      <c r="H198" s="4"/>
      <c r="I198" s="4"/>
    </row>
    <row r="199" spans="1:9" ht="15.9" x14ac:dyDescent="0.4">
      <c r="A199" s="4"/>
      <c r="B199" s="4"/>
      <c r="C199" s="4"/>
      <c r="D199" s="4"/>
      <c r="E199" s="4"/>
      <c r="F199" s="4"/>
      <c r="G199" s="4"/>
      <c r="H199" s="4"/>
      <c r="I199" s="4"/>
    </row>
    <row r="200" spans="1:9" ht="15.9" x14ac:dyDescent="0.4">
      <c r="A200" s="4"/>
      <c r="B200" s="4"/>
      <c r="C200" s="4"/>
      <c r="D200" s="4"/>
      <c r="E200" s="4"/>
      <c r="F200" s="4"/>
      <c r="G200" s="4"/>
      <c r="H200" s="4"/>
      <c r="I200" s="4"/>
    </row>
    <row r="201" spans="1:9" ht="15.9" x14ac:dyDescent="0.4">
      <c r="A201" s="4"/>
      <c r="B201" s="4"/>
      <c r="C201" s="4"/>
      <c r="D201" s="4"/>
      <c r="E201" s="4"/>
      <c r="F201" s="4"/>
      <c r="G201" s="4"/>
      <c r="H201" s="4"/>
      <c r="I201" s="4"/>
    </row>
    <row r="202" spans="1:9" ht="15.9" x14ac:dyDescent="0.4">
      <c r="A202" s="4"/>
      <c r="B202" s="4"/>
      <c r="C202" s="4"/>
      <c r="D202" s="4"/>
      <c r="E202" s="4"/>
      <c r="F202" s="4"/>
      <c r="G202" s="4"/>
      <c r="H202" s="4"/>
      <c r="I202" s="4"/>
    </row>
    <row r="203" spans="1:9" ht="15.9" x14ac:dyDescent="0.4">
      <c r="A203" s="4"/>
      <c r="B203" s="4"/>
      <c r="C203" s="4"/>
      <c r="D203" s="4"/>
      <c r="E203" s="4"/>
      <c r="F203" s="4"/>
      <c r="G203" s="4"/>
      <c r="H203" s="4"/>
      <c r="I203" s="4"/>
    </row>
    <row r="204" spans="1:9" ht="15.9" x14ac:dyDescent="0.4">
      <c r="A204" s="4"/>
      <c r="B204" s="4"/>
      <c r="C204" s="4"/>
      <c r="D204" s="4"/>
      <c r="E204" s="4"/>
      <c r="F204" s="4"/>
      <c r="G204" s="4"/>
      <c r="H204" s="4"/>
      <c r="I204" s="4"/>
    </row>
    <row r="205" spans="1:9" ht="15.9" x14ac:dyDescent="0.4">
      <c r="A205" s="4"/>
      <c r="B205" s="4"/>
      <c r="C205" s="4"/>
      <c r="D205" s="4"/>
      <c r="E205" s="4"/>
      <c r="F205" s="4"/>
      <c r="G205" s="4"/>
      <c r="H205" s="4"/>
      <c r="I205" s="4"/>
    </row>
    <row r="206" spans="1:9" ht="15.9" x14ac:dyDescent="0.4">
      <c r="A206" s="4"/>
      <c r="B206" s="4"/>
      <c r="C206" s="4"/>
      <c r="D206" s="4"/>
      <c r="E206" s="4"/>
      <c r="F206" s="4"/>
      <c r="G206" s="4"/>
      <c r="H206" s="4"/>
      <c r="I206" s="4"/>
    </row>
    <row r="207" spans="1:9" ht="15.9" x14ac:dyDescent="0.4">
      <c r="A207" s="4"/>
      <c r="B207" s="4"/>
      <c r="C207" s="4"/>
      <c r="D207" s="4"/>
      <c r="E207" s="4"/>
      <c r="F207" s="4"/>
      <c r="G207" s="4"/>
      <c r="H207" s="4"/>
      <c r="I207" s="4"/>
    </row>
    <row r="208" spans="1:9" ht="15.9" x14ac:dyDescent="0.4">
      <c r="A208" s="4"/>
      <c r="B208" s="4"/>
      <c r="C208" s="4"/>
      <c r="D208" s="4"/>
      <c r="E208" s="4"/>
      <c r="F208" s="4"/>
      <c r="G208" s="4"/>
      <c r="H208" s="4"/>
      <c r="I208" s="4"/>
    </row>
    <row r="209" spans="1:9" ht="15.9" x14ac:dyDescent="0.4">
      <c r="A209" s="4"/>
      <c r="B209" s="4"/>
      <c r="C209" s="4"/>
      <c r="D209" s="4"/>
      <c r="E209" s="4"/>
      <c r="F209" s="4"/>
      <c r="G209" s="4"/>
      <c r="H209" s="4"/>
      <c r="I209" s="4"/>
    </row>
    <row r="210" spans="1:9" ht="15.9" x14ac:dyDescent="0.4">
      <c r="A210" s="4"/>
      <c r="B210" s="4"/>
      <c r="C210" s="4"/>
      <c r="D210" s="4"/>
      <c r="E210" s="4"/>
      <c r="F210" s="4"/>
      <c r="G210" s="4"/>
      <c r="H210" s="4"/>
      <c r="I210" s="4"/>
    </row>
    <row r="211" spans="1:9" ht="15.9" x14ac:dyDescent="0.4">
      <c r="A211" s="4"/>
      <c r="B211" s="4"/>
      <c r="C211" s="4"/>
      <c r="D211" s="4"/>
      <c r="E211" s="4"/>
      <c r="F211" s="4"/>
      <c r="G211" s="4"/>
      <c r="H211" s="4"/>
      <c r="I211" s="4"/>
    </row>
    <row r="212" spans="1:9" ht="15.9" x14ac:dyDescent="0.4">
      <c r="A212" s="4"/>
      <c r="B212" s="4"/>
      <c r="C212" s="4"/>
      <c r="D212" s="4"/>
      <c r="E212" s="4"/>
      <c r="F212" s="4"/>
      <c r="G212" s="4"/>
      <c r="H212" s="4"/>
      <c r="I212" s="4"/>
    </row>
    <row r="213" spans="1:9" ht="15.9" x14ac:dyDescent="0.4">
      <c r="A213" s="4"/>
      <c r="B213" s="4"/>
      <c r="C213" s="4"/>
      <c r="D213" s="4"/>
      <c r="E213" s="4"/>
      <c r="F213" s="4"/>
      <c r="G213" s="4"/>
      <c r="H213" s="4"/>
      <c r="I213" s="4"/>
    </row>
    <row r="214" spans="1:9" ht="15.9" x14ac:dyDescent="0.4">
      <c r="A214" s="4"/>
      <c r="B214" s="4"/>
      <c r="C214" s="4"/>
      <c r="D214" s="4"/>
      <c r="E214" s="4"/>
      <c r="F214" s="4"/>
      <c r="G214" s="4"/>
      <c r="H214" s="4"/>
      <c r="I214" s="4"/>
    </row>
    <row r="215" spans="1:9" ht="15.9" x14ac:dyDescent="0.4">
      <c r="A215" s="4"/>
      <c r="B215" s="4"/>
      <c r="C215" s="4"/>
      <c r="D215" s="4"/>
      <c r="E215" s="4"/>
      <c r="F215" s="4"/>
      <c r="G215" s="4"/>
      <c r="H215" s="4"/>
      <c r="I215" s="4"/>
    </row>
    <row r="216" spans="1:9" ht="15.9" x14ac:dyDescent="0.4">
      <c r="A216" s="4"/>
      <c r="B216" s="4"/>
      <c r="C216" s="4"/>
      <c r="D216" s="4"/>
      <c r="E216" s="4"/>
      <c r="F216" s="4"/>
      <c r="G216" s="4"/>
      <c r="H216" s="4"/>
      <c r="I216" s="4"/>
    </row>
    <row r="217" spans="1:9" ht="15.9" x14ac:dyDescent="0.4">
      <c r="A217" s="4"/>
      <c r="B217" s="4"/>
      <c r="C217" s="4"/>
      <c r="D217" s="4"/>
      <c r="E217" s="4"/>
      <c r="F217" s="4"/>
      <c r="G217" s="4"/>
      <c r="H217" s="4"/>
      <c r="I217" s="4"/>
    </row>
    <row r="218" spans="1:9" ht="15.9" x14ac:dyDescent="0.4">
      <c r="A218" s="4"/>
      <c r="B218" s="4"/>
      <c r="C218" s="4"/>
      <c r="D218" s="4"/>
      <c r="E218" s="4"/>
      <c r="F218" s="4"/>
      <c r="G218" s="4"/>
      <c r="H218" s="4"/>
      <c r="I218" s="4"/>
    </row>
    <row r="219" spans="1:9" ht="15.9" x14ac:dyDescent="0.4">
      <c r="A219" s="4"/>
      <c r="B219" s="4"/>
      <c r="C219" s="4"/>
      <c r="D219" s="4"/>
      <c r="E219" s="4"/>
      <c r="F219" s="4"/>
      <c r="G219" s="4"/>
      <c r="H219" s="4"/>
      <c r="I219" s="4"/>
    </row>
    <row r="220" spans="1:9" ht="15.9" x14ac:dyDescent="0.4">
      <c r="A220" s="4"/>
      <c r="B220" s="4"/>
      <c r="C220" s="4"/>
      <c r="D220" s="4"/>
      <c r="E220" s="4"/>
      <c r="F220" s="4"/>
      <c r="G220" s="4"/>
      <c r="H220" s="4"/>
      <c r="I220" s="4"/>
    </row>
    <row r="221" spans="1:9" ht="15.9" x14ac:dyDescent="0.4">
      <c r="A221" s="4"/>
      <c r="B221" s="4"/>
      <c r="C221" s="4"/>
      <c r="D221" s="4"/>
      <c r="E221" s="4"/>
      <c r="F221" s="4"/>
      <c r="G221" s="4"/>
      <c r="H221" s="4"/>
      <c r="I221" s="4"/>
    </row>
    <row r="222" spans="1:9" ht="15.9" x14ac:dyDescent="0.4">
      <c r="A222" s="4"/>
      <c r="B222" s="4"/>
      <c r="C222" s="4"/>
      <c r="D222" s="4"/>
      <c r="E222" s="4"/>
      <c r="F222" s="4"/>
      <c r="G222" s="4"/>
      <c r="H222" s="4"/>
      <c r="I222" s="4"/>
    </row>
    <row r="223" spans="1:9" ht="15.9" x14ac:dyDescent="0.4">
      <c r="A223" s="4"/>
      <c r="B223" s="4"/>
      <c r="C223" s="4"/>
      <c r="D223" s="4"/>
      <c r="E223" s="4"/>
      <c r="F223" s="4"/>
      <c r="G223" s="4"/>
      <c r="H223" s="4"/>
      <c r="I223" s="4"/>
    </row>
    <row r="224" spans="1:9" ht="15.9" x14ac:dyDescent="0.4">
      <c r="A224" s="4"/>
      <c r="B224" s="4"/>
      <c r="C224" s="4"/>
      <c r="D224" s="4"/>
      <c r="E224" s="4"/>
      <c r="F224" s="4"/>
      <c r="G224" s="4"/>
      <c r="H224" s="4"/>
      <c r="I224" s="4"/>
    </row>
    <row r="225" spans="1:9" ht="15.9" x14ac:dyDescent="0.4">
      <c r="A225" s="4"/>
      <c r="B225" s="4"/>
      <c r="C225" s="4"/>
      <c r="D225" s="4"/>
      <c r="E225" s="4"/>
      <c r="F225" s="4"/>
      <c r="G225" s="4"/>
      <c r="H225" s="4"/>
      <c r="I225" s="4"/>
    </row>
    <row r="226" spans="1:9" ht="15.9" x14ac:dyDescent="0.4">
      <c r="A226" s="4"/>
      <c r="B226" s="4"/>
      <c r="C226" s="4"/>
      <c r="D226" s="4"/>
      <c r="E226" s="4"/>
      <c r="F226" s="4"/>
      <c r="G226" s="4"/>
      <c r="H226" s="4"/>
      <c r="I226" s="4"/>
    </row>
    <row r="227" spans="1:9" ht="15.9" x14ac:dyDescent="0.4">
      <c r="A227" s="4"/>
      <c r="B227" s="4"/>
      <c r="C227" s="4"/>
      <c r="D227" s="4"/>
      <c r="E227" s="4"/>
      <c r="F227" s="4"/>
      <c r="G227" s="4"/>
      <c r="H227" s="4"/>
      <c r="I227" s="4"/>
    </row>
    <row r="228" spans="1:9" ht="15.9" x14ac:dyDescent="0.4">
      <c r="A228" s="4"/>
      <c r="B228" s="4"/>
      <c r="C228" s="4"/>
      <c r="D228" s="4"/>
      <c r="E228" s="4"/>
      <c r="F228" s="4"/>
      <c r="G228" s="4"/>
      <c r="H228" s="4"/>
      <c r="I228" s="4"/>
    </row>
    <row r="229" spans="1:9" ht="15.9" x14ac:dyDescent="0.4">
      <c r="A229" s="4"/>
      <c r="B229" s="4"/>
      <c r="C229" s="4"/>
      <c r="D229" s="4"/>
      <c r="E229" s="4"/>
      <c r="F229" s="4"/>
      <c r="G229" s="4"/>
      <c r="H229" s="4"/>
      <c r="I229" s="4"/>
    </row>
    <row r="230" spans="1:9" ht="15.9" x14ac:dyDescent="0.4">
      <c r="A230" s="4"/>
      <c r="B230" s="4"/>
      <c r="C230" s="4"/>
      <c r="D230" s="4"/>
      <c r="E230" s="4"/>
      <c r="F230" s="4"/>
      <c r="G230" s="4"/>
      <c r="H230" s="4"/>
      <c r="I230" s="4"/>
    </row>
    <row r="231" spans="1:9" ht="15.9" x14ac:dyDescent="0.4">
      <c r="A231" s="4"/>
      <c r="B231" s="4"/>
      <c r="C231" s="4"/>
      <c r="D231" s="4"/>
      <c r="E231" s="4"/>
      <c r="F231" s="4"/>
      <c r="G231" s="4"/>
      <c r="H231" s="4"/>
      <c r="I231" s="4"/>
    </row>
    <row r="232" spans="1:9" ht="15.9" x14ac:dyDescent="0.4">
      <c r="A232" s="4"/>
      <c r="B232" s="4"/>
      <c r="C232" s="4"/>
      <c r="D232" s="4"/>
      <c r="E232" s="4"/>
      <c r="F232" s="4"/>
      <c r="G232" s="4"/>
      <c r="H232" s="4"/>
      <c r="I232" s="4"/>
    </row>
    <row r="233" spans="1:9" ht="15.9" x14ac:dyDescent="0.4">
      <c r="A233" s="4"/>
      <c r="B233" s="4"/>
      <c r="C233" s="4"/>
      <c r="D233" s="4"/>
      <c r="E233" s="4"/>
      <c r="F233" s="4"/>
      <c r="G233" s="4"/>
      <c r="H233" s="4"/>
      <c r="I233" s="4"/>
    </row>
    <row r="234" spans="1:9" ht="15.9" x14ac:dyDescent="0.4">
      <c r="A234" s="4"/>
      <c r="B234" s="4"/>
      <c r="C234" s="4"/>
      <c r="D234" s="4"/>
      <c r="E234" s="4"/>
      <c r="F234" s="4"/>
      <c r="G234" s="4"/>
      <c r="H234" s="4"/>
      <c r="I234" s="4"/>
    </row>
    <row r="235" spans="1:9" ht="15.9" x14ac:dyDescent="0.4">
      <c r="A235" s="4"/>
      <c r="B235" s="4"/>
      <c r="C235" s="4"/>
      <c r="D235" s="4"/>
      <c r="E235" s="4"/>
      <c r="F235" s="4"/>
      <c r="G235" s="4"/>
      <c r="H235" s="4"/>
      <c r="I235" s="4"/>
    </row>
    <row r="236" spans="1:9" ht="15.9" x14ac:dyDescent="0.4">
      <c r="A236" s="4"/>
      <c r="B236" s="4"/>
      <c r="C236" s="4"/>
      <c r="D236" s="4"/>
      <c r="E236" s="4"/>
      <c r="F236" s="4"/>
      <c r="G236" s="4"/>
      <c r="H236" s="4"/>
      <c r="I236" s="4"/>
    </row>
    <row r="237" spans="1:9" ht="15.9" x14ac:dyDescent="0.4">
      <c r="A237" s="4"/>
      <c r="B237" s="4"/>
      <c r="C237" s="4"/>
      <c r="D237" s="4"/>
      <c r="E237" s="4"/>
      <c r="F237" s="4"/>
      <c r="G237" s="4"/>
      <c r="H237" s="4"/>
      <c r="I237" s="4"/>
    </row>
    <row r="238" spans="1:9" ht="15.9" x14ac:dyDescent="0.4">
      <c r="A238" s="4"/>
      <c r="B238" s="4"/>
      <c r="C238" s="4"/>
      <c r="D238" s="4"/>
      <c r="E238" s="4"/>
      <c r="F238" s="4"/>
      <c r="G238" s="4"/>
      <c r="H238" s="4"/>
      <c r="I238" s="4"/>
    </row>
    <row r="239" spans="1:9" ht="15.9" x14ac:dyDescent="0.4">
      <c r="A239" s="4"/>
      <c r="B239" s="4"/>
      <c r="C239" s="4"/>
      <c r="D239" s="4"/>
      <c r="E239" s="4"/>
      <c r="F239" s="4"/>
      <c r="G239" s="4"/>
      <c r="H239" s="4"/>
      <c r="I239" s="4"/>
    </row>
    <row r="240" spans="1:9" ht="15.9" x14ac:dyDescent="0.4">
      <c r="A240" s="4"/>
      <c r="B240" s="4"/>
      <c r="C240" s="4"/>
      <c r="D240" s="4"/>
      <c r="E240" s="4"/>
      <c r="F240" s="4"/>
      <c r="G240" s="4"/>
      <c r="H240" s="4"/>
      <c r="I240" s="4"/>
    </row>
    <row r="241" spans="1:9" ht="15.9" x14ac:dyDescent="0.4">
      <c r="A241" s="4"/>
      <c r="B241" s="4"/>
      <c r="C241" s="4"/>
      <c r="D241" s="4"/>
      <c r="E241" s="4"/>
      <c r="F241" s="4"/>
      <c r="G241" s="4"/>
      <c r="H241" s="4"/>
      <c r="I241" s="4"/>
    </row>
    <row r="242" spans="1:9" ht="15.9" x14ac:dyDescent="0.4">
      <c r="A242" s="4"/>
      <c r="B242" s="4"/>
      <c r="C242" s="4"/>
      <c r="D242" s="4"/>
      <c r="E242" s="4"/>
      <c r="F242" s="4"/>
      <c r="G242" s="4"/>
      <c r="H242" s="4"/>
      <c r="I242" s="4"/>
    </row>
    <row r="243" spans="1:9" ht="15.9" x14ac:dyDescent="0.4">
      <c r="A243" s="4"/>
      <c r="B243" s="4"/>
      <c r="C243" s="4"/>
      <c r="D243" s="4"/>
      <c r="E243" s="4"/>
      <c r="F243" s="4"/>
      <c r="G243" s="4"/>
      <c r="H243" s="4"/>
      <c r="I243" s="4"/>
    </row>
    <row r="244" spans="1:9" ht="15.9" x14ac:dyDescent="0.4">
      <c r="A244" s="4"/>
      <c r="B244" s="4"/>
      <c r="C244" s="4"/>
      <c r="D244" s="4"/>
      <c r="E244" s="4"/>
      <c r="F244" s="4"/>
      <c r="G244" s="4"/>
      <c r="H244" s="4"/>
      <c r="I244" s="4"/>
    </row>
    <row r="245" spans="1:9" ht="15.9" x14ac:dyDescent="0.4">
      <c r="A245" s="4"/>
      <c r="B245" s="4"/>
      <c r="C245" s="4"/>
      <c r="D245" s="4"/>
      <c r="E245" s="4"/>
      <c r="F245" s="4"/>
      <c r="G245" s="4"/>
      <c r="H245" s="4"/>
      <c r="I245" s="4"/>
    </row>
    <row r="246" spans="1:9" ht="15.9" x14ac:dyDescent="0.4">
      <c r="A246" s="4"/>
      <c r="B246" s="4"/>
      <c r="C246" s="4"/>
      <c r="D246" s="4"/>
      <c r="E246" s="4"/>
      <c r="F246" s="4"/>
      <c r="G246" s="4"/>
      <c r="H246" s="4"/>
      <c r="I246" s="4"/>
    </row>
    <row r="247" spans="1:9" ht="15.9" x14ac:dyDescent="0.4">
      <c r="A247" s="4"/>
      <c r="B247" s="4"/>
      <c r="C247" s="4"/>
      <c r="D247" s="4"/>
      <c r="E247" s="4"/>
      <c r="F247" s="4"/>
      <c r="G247" s="4"/>
      <c r="H247" s="4"/>
      <c r="I247" s="4"/>
    </row>
    <row r="248" spans="1:9" ht="15.9" x14ac:dyDescent="0.4">
      <c r="A248" s="4"/>
      <c r="B248" s="4"/>
      <c r="C248" s="4"/>
      <c r="D248" s="4"/>
      <c r="E248" s="4"/>
      <c r="F248" s="4"/>
      <c r="G248" s="4"/>
      <c r="H248" s="4"/>
      <c r="I248" s="4"/>
    </row>
    <row r="249" spans="1:9" ht="15.9" x14ac:dyDescent="0.4">
      <c r="A249" s="4"/>
      <c r="B249" s="4"/>
      <c r="C249" s="4"/>
      <c r="D249" s="4"/>
      <c r="E249" s="4"/>
      <c r="F249" s="4"/>
      <c r="G249" s="4"/>
      <c r="H249" s="4"/>
      <c r="I249" s="4"/>
    </row>
    <row r="250" spans="1:9" ht="15.9" x14ac:dyDescent="0.4">
      <c r="A250" s="4"/>
      <c r="B250" s="4"/>
      <c r="C250" s="4"/>
      <c r="D250" s="4"/>
      <c r="E250" s="4"/>
      <c r="F250" s="4"/>
      <c r="G250" s="4"/>
      <c r="H250" s="4"/>
      <c r="I250" s="4"/>
    </row>
    <row r="251" spans="1:9" ht="15.9" x14ac:dyDescent="0.4">
      <c r="A251" s="4"/>
      <c r="B251" s="4"/>
      <c r="C251" s="4"/>
      <c r="D251" s="4"/>
      <c r="E251" s="4"/>
      <c r="F251" s="4"/>
      <c r="G251" s="4"/>
      <c r="H251" s="4"/>
      <c r="I251" s="4"/>
    </row>
    <row r="252" spans="1:9" ht="15.9" x14ac:dyDescent="0.4">
      <c r="A252" s="4"/>
      <c r="B252" s="4"/>
      <c r="C252" s="4"/>
      <c r="D252" s="4"/>
      <c r="E252" s="4"/>
      <c r="F252" s="4"/>
      <c r="G252" s="4"/>
      <c r="H252" s="4"/>
      <c r="I252" s="4"/>
    </row>
    <row r="253" spans="1:9" ht="15.9" x14ac:dyDescent="0.4">
      <c r="A253" s="4"/>
      <c r="B253" s="4"/>
      <c r="C253" s="4"/>
      <c r="D253" s="4"/>
      <c r="E253" s="4"/>
      <c r="F253" s="4"/>
      <c r="G253" s="4"/>
      <c r="H253" s="4"/>
      <c r="I253" s="4"/>
    </row>
    <row r="254" spans="1:9" ht="15.9" x14ac:dyDescent="0.4">
      <c r="A254" s="4"/>
      <c r="B254" s="4"/>
      <c r="C254" s="4"/>
      <c r="D254" s="4"/>
      <c r="E254" s="4"/>
      <c r="F254" s="4"/>
      <c r="G254" s="4"/>
      <c r="H254" s="4"/>
      <c r="I254" s="4"/>
    </row>
    <row r="255" spans="1:9" ht="15.9" x14ac:dyDescent="0.4">
      <c r="A255" s="4"/>
      <c r="B255" s="4"/>
      <c r="C255" s="4"/>
      <c r="D255" s="4"/>
      <c r="E255" s="4"/>
      <c r="F255" s="4"/>
      <c r="G255" s="4"/>
      <c r="H255" s="4"/>
      <c r="I255" s="4"/>
    </row>
    <row r="256" spans="1:9" ht="15.9" x14ac:dyDescent="0.4">
      <c r="A256" s="4"/>
      <c r="B256" s="4"/>
      <c r="C256" s="4"/>
      <c r="D256" s="4"/>
      <c r="E256" s="4"/>
      <c r="F256" s="4"/>
      <c r="G256" s="4"/>
      <c r="H256" s="4"/>
      <c r="I256" s="4"/>
    </row>
    <row r="257" spans="1:9" ht="15.9" x14ac:dyDescent="0.4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5.9" x14ac:dyDescent="0.4">
      <c r="A258" s="4"/>
      <c r="B258" s="4"/>
      <c r="C258" s="4"/>
      <c r="D258" s="4"/>
      <c r="E258" s="4"/>
      <c r="F258" s="4"/>
      <c r="G258" s="4"/>
      <c r="H258" s="4"/>
      <c r="I258" s="4"/>
    </row>
    <row r="259" spans="1:9" ht="15.9" x14ac:dyDescent="0.4">
      <c r="A259" s="4"/>
      <c r="B259" s="4"/>
      <c r="C259" s="4"/>
      <c r="D259" s="4"/>
      <c r="E259" s="4"/>
      <c r="F259" s="4"/>
      <c r="G259" s="4"/>
      <c r="H259" s="4"/>
      <c r="I259" s="4"/>
    </row>
    <row r="260" spans="1:9" ht="15.9" x14ac:dyDescent="0.4">
      <c r="A260" s="4"/>
      <c r="B260" s="4"/>
      <c r="C260" s="4"/>
      <c r="D260" s="4"/>
      <c r="E260" s="4"/>
      <c r="F260" s="4"/>
      <c r="G260" s="4"/>
      <c r="H260" s="4"/>
      <c r="I260" s="4"/>
    </row>
    <row r="261" spans="1:9" ht="15.9" x14ac:dyDescent="0.4">
      <c r="A261" s="4"/>
      <c r="B261" s="4"/>
      <c r="C261" s="4"/>
      <c r="D261" s="4"/>
      <c r="E261" s="4"/>
      <c r="F261" s="4"/>
      <c r="G261" s="4"/>
      <c r="H261" s="4"/>
      <c r="I261" s="4"/>
    </row>
    <row r="262" spans="1:9" ht="15.9" x14ac:dyDescent="0.4">
      <c r="A262" s="4"/>
      <c r="B262" s="4"/>
      <c r="C262" s="4"/>
      <c r="D262" s="4"/>
      <c r="E262" s="4"/>
      <c r="F262" s="4"/>
      <c r="G262" s="4"/>
      <c r="H262" s="4"/>
      <c r="I262" s="4"/>
    </row>
    <row r="263" spans="1:9" ht="15.9" x14ac:dyDescent="0.4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5.9" x14ac:dyDescent="0.4">
      <c r="A264" s="4"/>
      <c r="B264" s="4"/>
      <c r="C264" s="4"/>
      <c r="D264" s="4"/>
      <c r="E264" s="4"/>
      <c r="F264" s="4"/>
      <c r="G264" s="4"/>
      <c r="H264" s="4"/>
      <c r="I264" s="4"/>
    </row>
    <row r="265" spans="1:9" ht="15.9" x14ac:dyDescent="0.4">
      <c r="A265" s="4"/>
      <c r="B265" s="4"/>
      <c r="C265" s="4"/>
      <c r="D265" s="4"/>
      <c r="E265" s="4"/>
      <c r="F265" s="4"/>
      <c r="G265" s="4"/>
      <c r="H265" s="4"/>
      <c r="I265" s="4"/>
    </row>
    <row r="266" spans="1:9" ht="15.9" x14ac:dyDescent="0.4">
      <c r="A266" s="4"/>
      <c r="B266" s="4"/>
      <c r="C266" s="4"/>
      <c r="D266" s="4"/>
      <c r="E266" s="4"/>
      <c r="F266" s="4"/>
      <c r="G266" s="4"/>
      <c r="H266" s="4"/>
      <c r="I266" s="4"/>
    </row>
    <row r="267" spans="1:9" ht="15.9" x14ac:dyDescent="0.4">
      <c r="A267" s="4"/>
      <c r="B267" s="4"/>
      <c r="C267" s="4"/>
      <c r="D267" s="4"/>
      <c r="E267" s="4"/>
      <c r="F267" s="4"/>
      <c r="G267" s="4"/>
      <c r="H267" s="4"/>
      <c r="I267" s="4"/>
    </row>
    <row r="268" spans="1:9" ht="15.9" x14ac:dyDescent="0.4">
      <c r="A268" s="4"/>
      <c r="B268" s="4"/>
      <c r="C268" s="4"/>
      <c r="D268" s="4"/>
      <c r="E268" s="4"/>
      <c r="F268" s="4"/>
      <c r="G268" s="4"/>
      <c r="H268" s="4"/>
      <c r="I268" s="4"/>
    </row>
    <row r="269" spans="1:9" ht="15.9" x14ac:dyDescent="0.4">
      <c r="A269" s="4"/>
      <c r="B269" s="4"/>
      <c r="C269" s="4"/>
      <c r="D269" s="4"/>
      <c r="E269" s="4"/>
      <c r="F269" s="4"/>
      <c r="G269" s="4"/>
      <c r="H269" s="4"/>
      <c r="I269" s="4"/>
    </row>
    <row r="270" spans="1:9" ht="15.9" x14ac:dyDescent="0.4">
      <c r="A270" s="4"/>
      <c r="B270" s="4"/>
      <c r="C270" s="4"/>
      <c r="D270" s="4"/>
      <c r="E270" s="4"/>
      <c r="F270" s="4"/>
      <c r="G270" s="4"/>
      <c r="H270" s="4"/>
      <c r="I270" s="4"/>
    </row>
    <row r="271" spans="1:9" ht="15.9" x14ac:dyDescent="0.4">
      <c r="A271" s="4"/>
      <c r="B271" s="4"/>
      <c r="C271" s="4"/>
      <c r="D271" s="4"/>
      <c r="E271" s="4"/>
      <c r="F271" s="4"/>
      <c r="G271" s="4"/>
      <c r="H271" s="4"/>
      <c r="I271" s="4"/>
    </row>
    <row r="272" spans="1:9" ht="15.9" x14ac:dyDescent="0.4">
      <c r="A272" s="4"/>
      <c r="B272" s="4"/>
      <c r="C272" s="4"/>
      <c r="D272" s="4"/>
      <c r="E272" s="4"/>
      <c r="F272" s="4"/>
      <c r="G272" s="4"/>
      <c r="H272" s="4"/>
      <c r="I272" s="4"/>
    </row>
    <row r="273" spans="1:9" ht="15.9" x14ac:dyDescent="0.4">
      <c r="A273" s="4"/>
      <c r="B273" s="4"/>
      <c r="C273" s="4"/>
      <c r="D273" s="4"/>
      <c r="E273" s="4"/>
      <c r="F273" s="4"/>
      <c r="G273" s="4"/>
      <c r="H273" s="4"/>
      <c r="I273" s="4"/>
    </row>
    <row r="274" spans="1:9" ht="15.9" x14ac:dyDescent="0.4">
      <c r="A274" s="4"/>
      <c r="B274" s="4"/>
      <c r="C274" s="4"/>
      <c r="D274" s="4"/>
      <c r="E274" s="4"/>
      <c r="F274" s="4"/>
      <c r="G274" s="4"/>
      <c r="H274" s="4"/>
      <c r="I274" s="4"/>
    </row>
    <row r="275" spans="1:9" ht="15.9" x14ac:dyDescent="0.4">
      <c r="A275" s="4"/>
      <c r="B275" s="4"/>
      <c r="C275" s="4"/>
      <c r="D275" s="4"/>
      <c r="E275" s="4"/>
      <c r="F275" s="4"/>
      <c r="G275" s="4"/>
      <c r="H275" s="4"/>
      <c r="I275" s="4"/>
    </row>
    <row r="276" spans="1:9" ht="15.9" x14ac:dyDescent="0.4">
      <c r="A276" s="4"/>
      <c r="B276" s="4"/>
      <c r="C276" s="4"/>
      <c r="D276" s="4"/>
      <c r="E276" s="4"/>
      <c r="F276" s="4"/>
      <c r="G276" s="4"/>
      <c r="H276" s="4"/>
      <c r="I276" s="4"/>
    </row>
    <row r="277" spans="1:9" ht="15.9" x14ac:dyDescent="0.4">
      <c r="A277" s="4"/>
      <c r="B277" s="4"/>
      <c r="C277" s="4"/>
      <c r="D277" s="4"/>
      <c r="E277" s="4"/>
      <c r="F277" s="4"/>
      <c r="G277" s="4"/>
      <c r="H277" s="4"/>
      <c r="I277" s="4"/>
    </row>
    <row r="278" spans="1:9" ht="15.9" x14ac:dyDescent="0.4">
      <c r="A278" s="4"/>
      <c r="B278" s="4"/>
      <c r="C278" s="4"/>
      <c r="D278" s="4"/>
      <c r="E278" s="4"/>
      <c r="F278" s="4"/>
      <c r="G278" s="4"/>
      <c r="H278" s="4"/>
      <c r="I278" s="4"/>
    </row>
    <row r="279" spans="1:9" ht="15.9" x14ac:dyDescent="0.4">
      <c r="A279" s="4"/>
      <c r="B279" s="4"/>
      <c r="C279" s="4"/>
      <c r="D279" s="4"/>
      <c r="E279" s="4"/>
      <c r="F279" s="4"/>
      <c r="G279" s="4"/>
      <c r="H279" s="4"/>
      <c r="I279" s="4"/>
    </row>
    <row r="280" spans="1:9" ht="15.9" x14ac:dyDescent="0.4">
      <c r="A280" s="4"/>
      <c r="B280" s="4"/>
      <c r="C280" s="4"/>
      <c r="D280" s="4"/>
      <c r="E280" s="4"/>
      <c r="F280" s="4"/>
      <c r="G280" s="4"/>
      <c r="H280" s="4"/>
      <c r="I280" s="4"/>
    </row>
    <row r="281" spans="1:9" ht="15.9" x14ac:dyDescent="0.4">
      <c r="A281" s="4"/>
      <c r="B281" s="4"/>
      <c r="C281" s="4"/>
      <c r="D281" s="4"/>
      <c r="E281" s="4"/>
      <c r="F281" s="4"/>
      <c r="G281" s="4"/>
      <c r="H281" s="4"/>
      <c r="I281" s="4"/>
    </row>
    <row r="282" spans="1:9" ht="15.9" x14ac:dyDescent="0.4">
      <c r="A282" s="4"/>
      <c r="B282" s="4"/>
      <c r="C282" s="4"/>
      <c r="D282" s="4"/>
      <c r="E282" s="4"/>
      <c r="F282" s="4"/>
      <c r="G282" s="4"/>
      <c r="H282" s="4"/>
      <c r="I282" s="4"/>
    </row>
    <row r="283" spans="1:9" ht="15.9" x14ac:dyDescent="0.4">
      <c r="A283" s="4"/>
      <c r="B283" s="4"/>
      <c r="C283" s="4"/>
      <c r="D283" s="4"/>
      <c r="E283" s="4"/>
      <c r="F283" s="4"/>
      <c r="G283" s="4"/>
      <c r="H283" s="4"/>
      <c r="I283" s="4"/>
    </row>
    <row r="284" spans="1:9" ht="15.9" x14ac:dyDescent="0.4">
      <c r="A284" s="4"/>
      <c r="B284" s="4"/>
      <c r="C284" s="4"/>
      <c r="D284" s="4"/>
      <c r="E284" s="4"/>
      <c r="F284" s="4"/>
      <c r="G284" s="4"/>
      <c r="H284" s="4"/>
      <c r="I284" s="4"/>
    </row>
    <row r="285" spans="1:9" ht="15.9" x14ac:dyDescent="0.4">
      <c r="A285" s="4"/>
      <c r="B285" s="4"/>
      <c r="C285" s="4"/>
      <c r="D285" s="4"/>
      <c r="E285" s="4"/>
      <c r="F285" s="4"/>
      <c r="G285" s="4"/>
      <c r="H285" s="4"/>
      <c r="I285" s="4"/>
    </row>
    <row r="286" spans="1:9" ht="15.9" x14ac:dyDescent="0.4">
      <c r="A286" s="4"/>
      <c r="B286" s="4"/>
      <c r="C286" s="4"/>
      <c r="D286" s="4"/>
      <c r="E286" s="4"/>
      <c r="F286" s="4"/>
      <c r="G286" s="4"/>
      <c r="H286" s="4"/>
      <c r="I286" s="4"/>
    </row>
    <row r="287" spans="1:9" ht="15.9" x14ac:dyDescent="0.4">
      <c r="A287" s="4"/>
      <c r="B287" s="4"/>
      <c r="C287" s="4"/>
      <c r="D287" s="4"/>
      <c r="E287" s="4"/>
      <c r="F287" s="4"/>
      <c r="G287" s="4"/>
      <c r="H287" s="4"/>
      <c r="I287" s="4"/>
    </row>
    <row r="288" spans="1:9" ht="15.9" x14ac:dyDescent="0.4">
      <c r="A288" s="4"/>
      <c r="B288" s="4"/>
      <c r="C288" s="4"/>
      <c r="D288" s="4"/>
      <c r="E288" s="4"/>
      <c r="F288" s="4"/>
      <c r="G288" s="4"/>
      <c r="H288" s="4"/>
      <c r="I288" s="4"/>
    </row>
    <row r="289" spans="1:9" ht="15.9" x14ac:dyDescent="0.4">
      <c r="A289" s="4"/>
      <c r="B289" s="4"/>
      <c r="C289" s="4"/>
      <c r="D289" s="4"/>
      <c r="E289" s="4"/>
      <c r="F289" s="4"/>
      <c r="G289" s="4"/>
      <c r="H289" s="4"/>
      <c r="I289" s="4"/>
    </row>
    <row r="290" spans="1:9" ht="15.9" x14ac:dyDescent="0.4">
      <c r="A290" s="4"/>
      <c r="B290" s="4"/>
      <c r="C290" s="4"/>
      <c r="D290" s="4"/>
      <c r="E290" s="4"/>
      <c r="F290" s="4"/>
      <c r="G290" s="4"/>
      <c r="H290" s="4"/>
      <c r="I290" s="4"/>
    </row>
    <row r="291" spans="1:9" ht="15.9" x14ac:dyDescent="0.4">
      <c r="A291" s="4"/>
      <c r="B291" s="4"/>
      <c r="C291" s="4"/>
      <c r="D291" s="4"/>
      <c r="E291" s="4"/>
      <c r="F291" s="4"/>
      <c r="G291" s="4"/>
      <c r="H291" s="4"/>
      <c r="I291" s="4"/>
    </row>
    <row r="292" spans="1:9" ht="15.9" x14ac:dyDescent="0.4">
      <c r="A292" s="4"/>
      <c r="B292" s="4"/>
      <c r="C292" s="4"/>
      <c r="D292" s="4"/>
      <c r="E292" s="4"/>
      <c r="F292" s="4"/>
      <c r="G292" s="4"/>
      <c r="H292" s="4"/>
      <c r="I292" s="4"/>
    </row>
    <row r="293" spans="1:9" ht="15.9" x14ac:dyDescent="0.4">
      <c r="A293" s="4"/>
      <c r="B293" s="4"/>
      <c r="C293" s="4"/>
      <c r="D293" s="4"/>
      <c r="E293" s="4"/>
      <c r="F293" s="4"/>
      <c r="G293" s="4"/>
      <c r="H293" s="4"/>
      <c r="I293" s="4"/>
    </row>
    <row r="294" spans="1:9" ht="15.9" x14ac:dyDescent="0.4">
      <c r="A294" s="4"/>
      <c r="B294" s="4"/>
      <c r="C294" s="4"/>
      <c r="D294" s="4"/>
      <c r="E294" s="4"/>
      <c r="F294" s="4"/>
      <c r="G294" s="4"/>
      <c r="H294" s="4"/>
      <c r="I294" s="4"/>
    </row>
    <row r="295" spans="1:9" ht="15.9" x14ac:dyDescent="0.4">
      <c r="A295" s="4"/>
      <c r="B295" s="4"/>
      <c r="C295" s="4"/>
      <c r="D295" s="4"/>
      <c r="E295" s="4"/>
      <c r="F295" s="4"/>
      <c r="G295" s="4"/>
      <c r="H295" s="4"/>
      <c r="I295" s="4"/>
    </row>
    <row r="296" spans="1:9" ht="15.9" x14ac:dyDescent="0.4">
      <c r="A296" s="4"/>
      <c r="B296" s="4"/>
      <c r="C296" s="4"/>
      <c r="D296" s="4"/>
      <c r="E296" s="4"/>
      <c r="F296" s="4"/>
      <c r="G296" s="4"/>
      <c r="H296" s="4"/>
      <c r="I296" s="4"/>
    </row>
    <row r="297" spans="1:9" ht="15.9" x14ac:dyDescent="0.4">
      <c r="A297" s="4"/>
      <c r="B297" s="4"/>
      <c r="C297" s="4"/>
      <c r="D297" s="4"/>
      <c r="E297" s="4"/>
      <c r="F297" s="4"/>
      <c r="G297" s="4"/>
      <c r="H297" s="4"/>
      <c r="I297" s="4"/>
    </row>
    <row r="298" spans="1:9" ht="15.9" x14ac:dyDescent="0.4">
      <c r="A298" s="4"/>
      <c r="B298" s="4"/>
      <c r="C298" s="4"/>
      <c r="D298" s="4"/>
      <c r="E298" s="4"/>
      <c r="F298" s="4"/>
      <c r="G298" s="4"/>
      <c r="H298" s="4"/>
      <c r="I298" s="4"/>
    </row>
    <row r="299" spans="1:9" ht="15.9" x14ac:dyDescent="0.4">
      <c r="A299" s="4"/>
      <c r="B299" s="4"/>
      <c r="C299" s="4"/>
      <c r="D299" s="4"/>
      <c r="E299" s="4"/>
      <c r="F299" s="4"/>
      <c r="G299" s="4"/>
      <c r="H299" s="4"/>
      <c r="I299" s="4"/>
    </row>
    <row r="300" spans="1:9" ht="15.9" x14ac:dyDescent="0.4">
      <c r="A300" s="4"/>
      <c r="B300" s="4"/>
      <c r="C300" s="4"/>
      <c r="D300" s="4"/>
      <c r="E300" s="4"/>
      <c r="F300" s="4"/>
      <c r="G300" s="4"/>
      <c r="H300" s="4"/>
      <c r="I300" s="4"/>
    </row>
    <row r="301" spans="1:9" ht="15.9" x14ac:dyDescent="0.4">
      <c r="A301" s="4"/>
      <c r="B301" s="4"/>
      <c r="C301" s="4"/>
      <c r="D301" s="4"/>
      <c r="E301" s="4"/>
      <c r="F301" s="4"/>
      <c r="G301" s="4"/>
      <c r="H301" s="4"/>
      <c r="I301" s="4"/>
    </row>
    <row r="302" spans="1:9" ht="15.9" x14ac:dyDescent="0.4">
      <c r="A302" s="4"/>
      <c r="B302" s="4"/>
      <c r="C302" s="4"/>
      <c r="D302" s="4"/>
      <c r="E302" s="4"/>
      <c r="F302" s="4"/>
      <c r="G302" s="4"/>
      <c r="H302" s="4"/>
      <c r="I302" s="4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BE294-78ED-463F-9782-C08E555B44CB}">
  <dimension ref="A1:I302"/>
  <sheetViews>
    <sheetView topLeftCell="A57" workbookViewId="0">
      <selection activeCell="A85" sqref="A85"/>
    </sheetView>
  </sheetViews>
  <sheetFormatPr defaultRowHeight="14.6" x14ac:dyDescent="0.4"/>
  <cols>
    <col min="1" max="1" width="16.53515625" customWidth="1"/>
    <col min="2" max="2" width="37.84375" customWidth="1"/>
    <col min="3" max="3" width="35.53515625" customWidth="1"/>
    <col min="4" max="4" width="14" customWidth="1"/>
    <col min="5" max="5" width="17.15234375" customWidth="1"/>
    <col min="6" max="6" width="26" customWidth="1"/>
    <col min="7" max="7" width="24.3828125" customWidth="1"/>
    <col min="8" max="8" width="13.53515625" customWidth="1"/>
    <col min="9" max="9" width="41.3046875" customWidth="1"/>
  </cols>
  <sheetData>
    <row r="1" spans="1:9" s="2" customFormat="1" ht="18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9" x14ac:dyDescent="0.4">
      <c r="A2" s="3">
        <v>45908</v>
      </c>
      <c r="B2" s="4" t="s">
        <v>52</v>
      </c>
      <c r="C2" s="4" t="s">
        <v>1786</v>
      </c>
      <c r="D2" s="4">
        <v>37410</v>
      </c>
      <c r="E2" s="4">
        <v>42</v>
      </c>
      <c r="F2" s="4" t="s">
        <v>756</v>
      </c>
      <c r="G2" s="4" t="s">
        <v>25</v>
      </c>
      <c r="H2" s="5">
        <v>2950</v>
      </c>
      <c r="I2" s="4"/>
    </row>
    <row r="3" spans="1:9" ht="15.9" x14ac:dyDescent="0.4">
      <c r="A3" s="3">
        <v>45908</v>
      </c>
      <c r="B3" s="4" t="s">
        <v>120</v>
      </c>
      <c r="C3" s="4" t="s">
        <v>1787</v>
      </c>
      <c r="D3" s="4">
        <v>41760</v>
      </c>
      <c r="E3" s="4">
        <v>48</v>
      </c>
      <c r="F3" s="4" t="s">
        <v>756</v>
      </c>
      <c r="G3" s="4" t="s">
        <v>25</v>
      </c>
      <c r="H3" s="5">
        <v>2800</v>
      </c>
      <c r="I3" s="4"/>
    </row>
    <row r="4" spans="1:9" ht="15.9" x14ac:dyDescent="0.4">
      <c r="A4" s="3">
        <v>45908</v>
      </c>
      <c r="B4" s="4" t="s">
        <v>875</v>
      </c>
      <c r="C4" s="4" t="s">
        <v>1788</v>
      </c>
      <c r="D4" s="4">
        <v>22620</v>
      </c>
      <c r="E4" s="4">
        <v>26</v>
      </c>
      <c r="F4" s="4" t="s">
        <v>11</v>
      </c>
      <c r="G4" s="4" t="s">
        <v>19</v>
      </c>
      <c r="H4" s="5">
        <v>2400</v>
      </c>
      <c r="I4" s="4"/>
    </row>
    <row r="5" spans="1:9" ht="15.9" x14ac:dyDescent="0.4">
      <c r="A5" s="3">
        <v>45908</v>
      </c>
      <c r="B5" s="4" t="s">
        <v>875</v>
      </c>
      <c r="C5" s="4" t="s">
        <v>1789</v>
      </c>
      <c r="D5" s="4">
        <v>37890</v>
      </c>
      <c r="E5" s="4">
        <v>44</v>
      </c>
      <c r="F5" s="4" t="s">
        <v>11</v>
      </c>
      <c r="G5" s="4" t="s">
        <v>19</v>
      </c>
      <c r="H5" s="5">
        <v>2400</v>
      </c>
      <c r="I5" s="4"/>
    </row>
    <row r="6" spans="1:9" ht="15.9" x14ac:dyDescent="0.4">
      <c r="A6" s="3">
        <v>45909</v>
      </c>
      <c r="B6" s="4" t="s">
        <v>836</v>
      </c>
      <c r="C6" s="4" t="s">
        <v>1790</v>
      </c>
      <c r="D6" s="4">
        <v>11400</v>
      </c>
      <c r="E6" s="4">
        <v>12</v>
      </c>
      <c r="F6" s="4" t="s">
        <v>35</v>
      </c>
      <c r="G6" s="4" t="s">
        <v>1119</v>
      </c>
      <c r="H6" s="5">
        <v>1918.67</v>
      </c>
      <c r="I6" s="4"/>
    </row>
    <row r="7" spans="1:9" ht="15.9" x14ac:dyDescent="0.4">
      <c r="A7" s="3">
        <v>45909</v>
      </c>
      <c r="B7" s="4" t="s">
        <v>1311</v>
      </c>
      <c r="C7" s="4" t="s">
        <v>1791</v>
      </c>
      <c r="D7" s="4">
        <v>6850</v>
      </c>
      <c r="E7" s="4">
        <v>8</v>
      </c>
      <c r="F7" s="4" t="s">
        <v>35</v>
      </c>
      <c r="G7" s="4" t="s">
        <v>161</v>
      </c>
      <c r="H7" s="5">
        <v>470.73</v>
      </c>
      <c r="I7" s="4"/>
    </row>
    <row r="8" spans="1:9" ht="15.9" x14ac:dyDescent="0.4">
      <c r="A8" s="3">
        <v>45909</v>
      </c>
      <c r="B8" s="4" t="s">
        <v>146</v>
      </c>
      <c r="C8" s="4" t="s">
        <v>1783</v>
      </c>
      <c r="D8" s="4">
        <v>22620</v>
      </c>
      <c r="E8" s="4">
        <v>26</v>
      </c>
      <c r="F8" s="4" t="s">
        <v>756</v>
      </c>
      <c r="G8" s="4" t="s">
        <v>12</v>
      </c>
      <c r="H8" s="5"/>
      <c r="I8" s="4"/>
    </row>
    <row r="9" spans="1:9" ht="15.9" x14ac:dyDescent="0.4">
      <c r="A9" s="3">
        <v>45909</v>
      </c>
      <c r="B9" s="4" t="s">
        <v>120</v>
      </c>
      <c r="C9" s="4" t="s">
        <v>1792</v>
      </c>
      <c r="D9" s="4">
        <v>1720</v>
      </c>
      <c r="E9" s="4">
        <v>2</v>
      </c>
      <c r="F9" s="4" t="s">
        <v>35</v>
      </c>
      <c r="G9" s="4" t="s">
        <v>161</v>
      </c>
      <c r="H9" s="5">
        <v>364.58</v>
      </c>
      <c r="I9" s="4"/>
    </row>
    <row r="10" spans="1:9" ht="15.9" x14ac:dyDescent="0.4">
      <c r="A10" s="3">
        <v>45909</v>
      </c>
      <c r="B10" s="4" t="s">
        <v>1793</v>
      </c>
      <c r="C10" s="4" t="s">
        <v>1794</v>
      </c>
      <c r="D10" s="4">
        <v>2850</v>
      </c>
      <c r="E10" s="4">
        <v>3</v>
      </c>
      <c r="F10" s="4" t="s">
        <v>35</v>
      </c>
      <c r="G10" s="4" t="s">
        <v>161</v>
      </c>
      <c r="H10" s="5">
        <v>876.5</v>
      </c>
      <c r="I10" s="4"/>
    </row>
    <row r="11" spans="1:9" ht="15.9" x14ac:dyDescent="0.4">
      <c r="A11" s="3">
        <v>45909</v>
      </c>
      <c r="B11" s="4" t="s">
        <v>129</v>
      </c>
      <c r="C11" s="4" t="s">
        <v>1795</v>
      </c>
      <c r="D11" s="4">
        <v>2202</v>
      </c>
      <c r="E11" s="4">
        <v>3</v>
      </c>
      <c r="F11" s="4" t="s">
        <v>35</v>
      </c>
      <c r="G11" s="4" t="s">
        <v>161</v>
      </c>
      <c r="H11" s="5">
        <v>446.82</v>
      </c>
      <c r="I11" s="4"/>
    </row>
    <row r="12" spans="1:9" ht="15.9" x14ac:dyDescent="0.4">
      <c r="A12" s="3">
        <v>45909</v>
      </c>
      <c r="B12" s="4" t="s">
        <v>150</v>
      </c>
      <c r="C12" s="4" t="s">
        <v>1796</v>
      </c>
      <c r="D12" s="4">
        <v>23750</v>
      </c>
      <c r="E12" s="4">
        <v>25</v>
      </c>
      <c r="F12" s="4" t="s">
        <v>756</v>
      </c>
      <c r="G12" s="4" t="s">
        <v>25</v>
      </c>
      <c r="H12" s="5">
        <v>3600</v>
      </c>
      <c r="I12" s="4"/>
    </row>
    <row r="13" spans="1:9" ht="15.9" x14ac:dyDescent="0.4">
      <c r="A13" s="3">
        <v>45909</v>
      </c>
      <c r="B13" s="4" t="s">
        <v>129</v>
      </c>
      <c r="C13" s="4" t="s">
        <v>1797</v>
      </c>
      <c r="D13" s="4">
        <v>42940</v>
      </c>
      <c r="E13" s="4">
        <v>47</v>
      </c>
      <c r="F13" s="4" t="s">
        <v>756</v>
      </c>
      <c r="G13" s="4" t="s">
        <v>25</v>
      </c>
      <c r="H13" s="5">
        <v>2900</v>
      </c>
      <c r="I13" s="4"/>
    </row>
    <row r="14" spans="1:9" ht="15.9" x14ac:dyDescent="0.4">
      <c r="A14" s="3">
        <v>45910</v>
      </c>
      <c r="B14" s="4" t="s">
        <v>13</v>
      </c>
      <c r="C14" s="4" t="s">
        <v>1798</v>
      </c>
      <c r="D14" s="4">
        <v>24940</v>
      </c>
      <c r="E14" s="4">
        <v>29</v>
      </c>
      <c r="F14" s="4" t="s">
        <v>756</v>
      </c>
      <c r="G14" s="4" t="s">
        <v>25</v>
      </c>
      <c r="H14" s="5">
        <v>1950</v>
      </c>
      <c r="I14" s="4"/>
    </row>
    <row r="15" spans="1:9" ht="15.9" x14ac:dyDescent="0.4">
      <c r="A15" s="3">
        <v>45910</v>
      </c>
      <c r="B15" s="4" t="s">
        <v>38</v>
      </c>
      <c r="C15" s="4" t="s">
        <v>1799</v>
      </c>
      <c r="D15" s="4">
        <v>11360</v>
      </c>
      <c r="E15" s="4">
        <v>13</v>
      </c>
      <c r="F15" s="4" t="s">
        <v>35</v>
      </c>
      <c r="G15" s="4" t="s">
        <v>1119</v>
      </c>
      <c r="H15" s="5">
        <v>1395.03</v>
      </c>
      <c r="I15" s="4"/>
    </row>
    <row r="16" spans="1:9" ht="15.9" x14ac:dyDescent="0.4">
      <c r="A16" s="3">
        <v>45910</v>
      </c>
      <c r="B16" s="4" t="s">
        <v>1800</v>
      </c>
      <c r="C16" s="4" t="s">
        <v>1801</v>
      </c>
      <c r="D16" s="4">
        <v>1295</v>
      </c>
      <c r="E16" s="4">
        <v>3</v>
      </c>
      <c r="F16" s="4" t="s">
        <v>756</v>
      </c>
      <c r="G16" s="4" t="s">
        <v>19</v>
      </c>
      <c r="H16" s="5">
        <v>1350</v>
      </c>
      <c r="I16" s="4" t="s">
        <v>1802</v>
      </c>
    </row>
    <row r="17" spans="1:9" ht="15.9" x14ac:dyDescent="0.4">
      <c r="A17" s="3">
        <v>45910</v>
      </c>
      <c r="B17" s="4" t="s">
        <v>781</v>
      </c>
      <c r="C17" s="4" t="s">
        <v>1803</v>
      </c>
      <c r="D17" s="4">
        <v>11310</v>
      </c>
      <c r="E17" s="4">
        <v>13</v>
      </c>
      <c r="F17" s="4" t="s">
        <v>35</v>
      </c>
      <c r="G17" s="4" t="s">
        <v>1119</v>
      </c>
      <c r="H17" s="5">
        <v>2394.52</v>
      </c>
      <c r="I17" s="4"/>
    </row>
    <row r="18" spans="1:9" ht="15.9" x14ac:dyDescent="0.4">
      <c r="A18" s="3">
        <v>45910</v>
      </c>
      <c r="B18" s="4" t="s">
        <v>927</v>
      </c>
      <c r="C18" s="4" t="s">
        <v>1804</v>
      </c>
      <c r="D18" s="4">
        <v>6090</v>
      </c>
      <c r="E18" s="4">
        <v>7</v>
      </c>
      <c r="F18" s="4" t="s">
        <v>35</v>
      </c>
      <c r="G18" s="4" t="s">
        <v>161</v>
      </c>
      <c r="H18" s="5">
        <v>695.58</v>
      </c>
      <c r="I18" s="4"/>
    </row>
    <row r="19" spans="1:9" ht="15.9" x14ac:dyDescent="0.4">
      <c r="A19" s="3">
        <v>45911</v>
      </c>
      <c r="B19" s="4" t="s">
        <v>1805</v>
      </c>
      <c r="C19" s="4" t="s">
        <v>1806</v>
      </c>
      <c r="D19" s="4">
        <v>13084</v>
      </c>
      <c r="E19" s="4">
        <v>14</v>
      </c>
      <c r="F19" s="4" t="s">
        <v>11</v>
      </c>
      <c r="G19" s="4" t="s">
        <v>19</v>
      </c>
      <c r="H19" s="5">
        <v>3150</v>
      </c>
      <c r="I19" s="4"/>
    </row>
    <row r="20" spans="1:9" ht="15.9" x14ac:dyDescent="0.4">
      <c r="A20" s="3">
        <v>45911</v>
      </c>
      <c r="B20" s="4" t="s">
        <v>207</v>
      </c>
      <c r="C20" s="4" t="s">
        <v>1807</v>
      </c>
      <c r="D20" s="4">
        <v>41760</v>
      </c>
      <c r="E20" s="4">
        <v>48</v>
      </c>
      <c r="F20" s="4" t="s">
        <v>11</v>
      </c>
      <c r="G20" s="4" t="s">
        <v>19</v>
      </c>
      <c r="H20" s="5">
        <v>1250</v>
      </c>
      <c r="I20" s="4"/>
    </row>
    <row r="21" spans="1:9" ht="15.9" x14ac:dyDescent="0.4">
      <c r="A21" s="3">
        <v>45911</v>
      </c>
      <c r="B21" s="4" t="s">
        <v>1740</v>
      </c>
      <c r="C21" s="4" t="s">
        <v>1808</v>
      </c>
      <c r="D21" s="4">
        <v>3755</v>
      </c>
      <c r="E21" s="4">
        <v>5</v>
      </c>
      <c r="F21" s="4" t="s">
        <v>35</v>
      </c>
      <c r="G21" s="4" t="s">
        <v>161</v>
      </c>
      <c r="H21" s="5">
        <v>414.79</v>
      </c>
      <c r="I21" s="4"/>
    </row>
    <row r="22" spans="1:9" ht="15.9" x14ac:dyDescent="0.4">
      <c r="A22" s="3">
        <v>45911</v>
      </c>
      <c r="B22" s="4" t="s">
        <v>834</v>
      </c>
      <c r="C22" s="4" t="s">
        <v>1809</v>
      </c>
      <c r="D22" s="4">
        <v>5220</v>
      </c>
      <c r="E22" s="4">
        <v>6</v>
      </c>
      <c r="F22" s="4" t="s">
        <v>35</v>
      </c>
      <c r="G22" s="4" t="s">
        <v>161</v>
      </c>
      <c r="H22" s="5">
        <v>986.23</v>
      </c>
      <c r="I22" s="4"/>
    </row>
    <row r="23" spans="1:9" ht="15.9" x14ac:dyDescent="0.4">
      <c r="A23" s="3">
        <v>45911</v>
      </c>
      <c r="B23" s="4" t="s">
        <v>202</v>
      </c>
      <c r="C23" s="4" t="s">
        <v>1810</v>
      </c>
      <c r="D23" s="4">
        <v>33930</v>
      </c>
      <c r="E23" s="4">
        <v>39</v>
      </c>
      <c r="F23" s="4" t="s">
        <v>756</v>
      </c>
      <c r="G23" s="4" t="s">
        <v>25</v>
      </c>
      <c r="H23" s="5">
        <v>2550</v>
      </c>
      <c r="I23" s="4"/>
    </row>
    <row r="24" spans="1:9" ht="15.9" x14ac:dyDescent="0.4">
      <c r="A24" s="3">
        <v>45911</v>
      </c>
      <c r="B24" s="4" t="s">
        <v>1811</v>
      </c>
      <c r="C24" s="4" t="s">
        <v>1812</v>
      </c>
      <c r="D24" s="4">
        <v>25650</v>
      </c>
      <c r="E24" s="4">
        <v>27</v>
      </c>
      <c r="F24" s="4" t="s">
        <v>11</v>
      </c>
      <c r="G24" s="4" t="s">
        <v>19</v>
      </c>
      <c r="H24" s="5">
        <v>3300</v>
      </c>
      <c r="I24" s="4"/>
    </row>
    <row r="25" spans="1:9" ht="15.9" x14ac:dyDescent="0.4">
      <c r="A25" s="3">
        <v>45911</v>
      </c>
      <c r="B25" s="4" t="s">
        <v>1814</v>
      </c>
      <c r="C25" s="4" t="s">
        <v>1815</v>
      </c>
      <c r="D25" s="4">
        <v>7350</v>
      </c>
      <c r="E25" s="4">
        <v>7</v>
      </c>
      <c r="F25" s="4" t="s">
        <v>35</v>
      </c>
      <c r="G25" s="4" t="s">
        <v>161</v>
      </c>
      <c r="H25" s="5">
        <v>1242.08</v>
      </c>
      <c r="I25" s="4"/>
    </row>
    <row r="26" spans="1:9" ht="15.9" x14ac:dyDescent="0.4">
      <c r="A26" s="3">
        <v>45912</v>
      </c>
      <c r="B26" s="4" t="s">
        <v>207</v>
      </c>
      <c r="C26" s="6" t="s">
        <v>1813</v>
      </c>
      <c r="D26" s="4">
        <v>41760</v>
      </c>
      <c r="E26" s="4">
        <v>48</v>
      </c>
      <c r="F26" s="4" t="s">
        <v>11</v>
      </c>
      <c r="G26" s="4" t="s">
        <v>19</v>
      </c>
      <c r="H26" s="5">
        <v>1250</v>
      </c>
      <c r="I26" s="4"/>
    </row>
    <row r="27" spans="1:9" ht="15.9" x14ac:dyDescent="0.4">
      <c r="A27" s="3">
        <v>45916</v>
      </c>
      <c r="B27" s="4" t="s">
        <v>255</v>
      </c>
      <c r="C27" s="4" t="s">
        <v>1816</v>
      </c>
      <c r="D27" s="4">
        <v>17103</v>
      </c>
      <c r="E27" s="4">
        <v>18</v>
      </c>
      <c r="F27" s="4" t="s">
        <v>756</v>
      </c>
      <c r="G27" s="4" t="s">
        <v>1119</v>
      </c>
      <c r="H27" s="5">
        <v>1800</v>
      </c>
      <c r="I27" s="4"/>
    </row>
    <row r="28" spans="1:9" ht="15.9" x14ac:dyDescent="0.4">
      <c r="A28" s="3">
        <v>45916</v>
      </c>
      <c r="B28" s="4" t="s">
        <v>349</v>
      </c>
      <c r="C28" s="4" t="s">
        <v>1817</v>
      </c>
      <c r="D28" s="4">
        <v>40250</v>
      </c>
      <c r="E28" s="4">
        <v>46</v>
      </c>
      <c r="F28" s="4" t="s">
        <v>756</v>
      </c>
      <c r="G28" s="4" t="s">
        <v>25</v>
      </c>
      <c r="H28" s="5">
        <v>1555.56</v>
      </c>
      <c r="I28" s="4"/>
    </row>
    <row r="29" spans="1:9" ht="15.9" x14ac:dyDescent="0.4">
      <c r="A29" s="3">
        <v>45916</v>
      </c>
      <c r="B29" s="4" t="s">
        <v>927</v>
      </c>
      <c r="C29" s="4" t="s">
        <v>1804</v>
      </c>
      <c r="D29" s="4">
        <v>734</v>
      </c>
      <c r="E29" s="4">
        <v>1</v>
      </c>
      <c r="F29" s="4" t="s">
        <v>35</v>
      </c>
      <c r="G29" s="4" t="s">
        <v>161</v>
      </c>
      <c r="H29" s="5">
        <v>348.38</v>
      </c>
      <c r="I29" s="4"/>
    </row>
    <row r="30" spans="1:9" ht="15.9" x14ac:dyDescent="0.4">
      <c r="A30" s="3">
        <v>45916</v>
      </c>
      <c r="B30" s="4" t="s">
        <v>75</v>
      </c>
      <c r="C30" s="4" t="s">
        <v>1818</v>
      </c>
      <c r="D30" s="4">
        <v>3952</v>
      </c>
      <c r="E30" s="4">
        <v>4</v>
      </c>
      <c r="F30" s="4" t="s">
        <v>35</v>
      </c>
      <c r="G30" s="4" t="s">
        <v>12</v>
      </c>
      <c r="H30" s="5"/>
      <c r="I30" s="4"/>
    </row>
    <row r="31" spans="1:9" ht="15.9" x14ac:dyDescent="0.4">
      <c r="A31" s="3">
        <v>45916</v>
      </c>
      <c r="B31" s="4" t="s">
        <v>560</v>
      </c>
      <c r="C31" s="4" t="s">
        <v>1819</v>
      </c>
      <c r="D31" s="4">
        <v>26676</v>
      </c>
      <c r="E31" s="4">
        <v>27</v>
      </c>
      <c r="F31" s="4" t="s">
        <v>756</v>
      </c>
      <c r="G31" s="4" t="s">
        <v>25</v>
      </c>
      <c r="H31" s="5">
        <v>2100</v>
      </c>
      <c r="I31" s="4"/>
    </row>
    <row r="32" spans="1:9" ht="15.9" x14ac:dyDescent="0.4">
      <c r="A32" s="3">
        <v>45917</v>
      </c>
      <c r="B32" s="4" t="s">
        <v>1664</v>
      </c>
      <c r="C32" s="4" t="s">
        <v>1820</v>
      </c>
      <c r="D32" s="4">
        <v>5160</v>
      </c>
      <c r="E32" s="4">
        <v>6</v>
      </c>
      <c r="F32" s="4" t="s">
        <v>35</v>
      </c>
      <c r="G32" s="4" t="s">
        <v>161</v>
      </c>
      <c r="H32" s="5">
        <v>555.95000000000005</v>
      </c>
      <c r="I32" s="4"/>
    </row>
    <row r="33" spans="1:9" ht="15.9" x14ac:dyDescent="0.4">
      <c r="A33" s="3">
        <v>45917</v>
      </c>
      <c r="B33" s="4" t="s">
        <v>150</v>
      </c>
      <c r="C33" s="4" t="s">
        <v>1821</v>
      </c>
      <c r="D33" s="4">
        <v>11610</v>
      </c>
      <c r="E33" s="4">
        <v>9</v>
      </c>
      <c r="F33" s="4" t="s">
        <v>35</v>
      </c>
      <c r="G33" s="4" t="s">
        <v>1119</v>
      </c>
      <c r="H33" s="5">
        <v>1893.71</v>
      </c>
      <c r="I33" s="4"/>
    </row>
    <row r="34" spans="1:9" ht="15.9" x14ac:dyDescent="0.4">
      <c r="A34" s="3">
        <v>45917</v>
      </c>
      <c r="B34" s="4" t="s">
        <v>556</v>
      </c>
      <c r="C34" s="4" t="s">
        <v>1822</v>
      </c>
      <c r="D34" s="4">
        <v>59701</v>
      </c>
      <c r="E34" s="4">
        <v>1</v>
      </c>
      <c r="F34" s="4" t="s">
        <v>35</v>
      </c>
      <c r="G34" s="4" t="s">
        <v>12</v>
      </c>
      <c r="H34" s="5"/>
      <c r="I34" s="4"/>
    </row>
    <row r="35" spans="1:9" ht="15.9" x14ac:dyDescent="0.4">
      <c r="A35" s="3">
        <v>45917</v>
      </c>
      <c r="B35" s="4" t="s">
        <v>462</v>
      </c>
      <c r="C35" s="4" t="s">
        <v>1823</v>
      </c>
      <c r="D35" s="4">
        <v>7425</v>
      </c>
      <c r="E35" s="4">
        <v>9</v>
      </c>
      <c r="F35" s="4" t="s">
        <v>35</v>
      </c>
      <c r="G35" s="4" t="s">
        <v>1119</v>
      </c>
      <c r="H35" s="5">
        <v>661.87</v>
      </c>
      <c r="I35" s="4"/>
    </row>
    <row r="36" spans="1:9" ht="15.9" x14ac:dyDescent="0.4">
      <c r="A36" s="3">
        <v>45917</v>
      </c>
      <c r="B36" s="4" t="s">
        <v>385</v>
      </c>
      <c r="C36" s="4" t="s">
        <v>1824</v>
      </c>
      <c r="D36" s="4">
        <v>3800</v>
      </c>
      <c r="E36" s="4">
        <v>4</v>
      </c>
      <c r="F36" s="4" t="s">
        <v>35</v>
      </c>
      <c r="G36" s="4" t="s">
        <v>161</v>
      </c>
      <c r="H36" s="5">
        <v>484</v>
      </c>
      <c r="I36" s="4"/>
    </row>
    <row r="37" spans="1:9" ht="15.9" x14ac:dyDescent="0.4">
      <c r="A37" s="3">
        <v>45917</v>
      </c>
      <c r="B37" s="4" t="s">
        <v>150</v>
      </c>
      <c r="C37" s="4" t="s">
        <v>1825</v>
      </c>
      <c r="D37" s="4">
        <v>38040</v>
      </c>
      <c r="E37" s="4">
        <v>30</v>
      </c>
      <c r="F37" s="4" t="s">
        <v>756</v>
      </c>
      <c r="G37" s="4" t="s">
        <v>25</v>
      </c>
      <c r="H37" s="5">
        <v>3600</v>
      </c>
      <c r="I37" s="4"/>
    </row>
    <row r="38" spans="1:9" ht="15.9" x14ac:dyDescent="0.4">
      <c r="A38" s="3">
        <v>45917</v>
      </c>
      <c r="B38" s="4" t="s">
        <v>1826</v>
      </c>
      <c r="C38" s="4" t="s">
        <v>1827</v>
      </c>
      <c r="D38" s="4">
        <v>22191</v>
      </c>
      <c r="E38" s="4">
        <v>24</v>
      </c>
      <c r="F38" s="4" t="s">
        <v>11</v>
      </c>
      <c r="G38" s="4" t="s">
        <v>19</v>
      </c>
      <c r="H38" s="5">
        <v>3350</v>
      </c>
      <c r="I38" s="4"/>
    </row>
    <row r="39" spans="1:9" ht="15.9" x14ac:dyDescent="0.4">
      <c r="A39" s="3">
        <v>45918</v>
      </c>
      <c r="B39" s="4" t="s">
        <v>77</v>
      </c>
      <c r="C39" s="4" t="s">
        <v>1828</v>
      </c>
      <c r="D39" s="4">
        <v>6814</v>
      </c>
      <c r="E39" s="4">
        <v>8</v>
      </c>
      <c r="F39" s="4" t="s">
        <v>35</v>
      </c>
      <c r="G39" s="4" t="s">
        <v>12</v>
      </c>
      <c r="H39" s="5"/>
      <c r="I39" s="4"/>
    </row>
    <row r="40" spans="1:9" ht="15.9" x14ac:dyDescent="0.4">
      <c r="A40" s="3">
        <v>45918</v>
      </c>
      <c r="B40" s="4" t="s">
        <v>129</v>
      </c>
      <c r="C40" s="4" t="s">
        <v>1829</v>
      </c>
      <c r="D40" s="4">
        <v>11310</v>
      </c>
      <c r="E40" s="4">
        <v>13</v>
      </c>
      <c r="F40" s="4" t="s">
        <v>35</v>
      </c>
      <c r="G40" s="4" t="s">
        <v>1119</v>
      </c>
      <c r="H40" s="5">
        <v>683.49</v>
      </c>
      <c r="I40" s="4"/>
    </row>
    <row r="41" spans="1:9" ht="15.9" x14ac:dyDescent="0.4">
      <c r="A41" s="3">
        <v>45918</v>
      </c>
      <c r="B41" s="4" t="s">
        <v>13</v>
      </c>
      <c r="C41" s="4" t="s">
        <v>1830</v>
      </c>
      <c r="D41" s="4">
        <v>1848</v>
      </c>
      <c r="E41" s="4">
        <v>2</v>
      </c>
      <c r="F41" s="4" t="s">
        <v>35</v>
      </c>
      <c r="G41" s="4" t="s">
        <v>161</v>
      </c>
      <c r="H41" s="5">
        <v>351.82</v>
      </c>
      <c r="I41" s="4"/>
    </row>
    <row r="42" spans="1:9" ht="15.9" x14ac:dyDescent="0.4">
      <c r="A42" s="3">
        <v>45918</v>
      </c>
      <c r="B42" s="4" t="s">
        <v>1831</v>
      </c>
      <c r="C42" s="4" t="s">
        <v>1832</v>
      </c>
      <c r="D42" s="4">
        <v>315</v>
      </c>
      <c r="E42" s="4">
        <v>1</v>
      </c>
      <c r="F42" s="4" t="s">
        <v>35</v>
      </c>
      <c r="G42" s="4" t="s">
        <v>161</v>
      </c>
      <c r="H42" s="5">
        <v>210.21</v>
      </c>
      <c r="I42" s="4"/>
    </row>
    <row r="43" spans="1:9" ht="15.9" x14ac:dyDescent="0.4">
      <c r="A43" s="3">
        <v>45919</v>
      </c>
      <c r="B43" s="4" t="s">
        <v>129</v>
      </c>
      <c r="C43" s="4" t="s">
        <v>1795</v>
      </c>
      <c r="D43" s="4">
        <v>35670</v>
      </c>
      <c r="E43" s="4">
        <v>41</v>
      </c>
      <c r="F43" s="4" t="s">
        <v>756</v>
      </c>
      <c r="G43" s="4" t="s">
        <v>25</v>
      </c>
      <c r="H43" s="5">
        <v>2900</v>
      </c>
      <c r="I43" s="4"/>
    </row>
    <row r="44" spans="1:9" ht="15.9" x14ac:dyDescent="0.4">
      <c r="A44" s="3">
        <v>45919</v>
      </c>
      <c r="B44" s="4" t="s">
        <v>1833</v>
      </c>
      <c r="C44" s="4" t="s">
        <v>1836</v>
      </c>
      <c r="D44" s="4">
        <v>41760</v>
      </c>
      <c r="E44" s="4">
        <v>48</v>
      </c>
      <c r="F44" s="4" t="s">
        <v>11</v>
      </c>
      <c r="G44" s="4" t="s">
        <v>19</v>
      </c>
      <c r="H44" s="5">
        <v>1500</v>
      </c>
      <c r="I44" s="4"/>
    </row>
    <row r="45" spans="1:9" ht="15.9" x14ac:dyDescent="0.4">
      <c r="A45" s="3">
        <v>45922</v>
      </c>
      <c r="B45" s="4" t="s">
        <v>207</v>
      </c>
      <c r="C45" s="4" t="s">
        <v>1834</v>
      </c>
      <c r="D45" s="4">
        <v>41760</v>
      </c>
      <c r="E45" s="4">
        <v>48</v>
      </c>
      <c r="F45" s="4" t="s">
        <v>11</v>
      </c>
      <c r="G45" s="4" t="s">
        <v>19</v>
      </c>
      <c r="H45" s="5">
        <v>1250</v>
      </c>
      <c r="I45" s="4"/>
    </row>
    <row r="46" spans="1:9" ht="15.9" x14ac:dyDescent="0.4">
      <c r="A46" s="3">
        <v>45922</v>
      </c>
      <c r="B46" s="4" t="s">
        <v>1833</v>
      </c>
      <c r="C46" s="4" t="s">
        <v>1835</v>
      </c>
      <c r="D46" s="4">
        <v>41760</v>
      </c>
      <c r="E46" s="4">
        <v>48</v>
      </c>
      <c r="F46" s="4" t="s">
        <v>11</v>
      </c>
      <c r="G46" s="4" t="s">
        <v>19</v>
      </c>
      <c r="H46" s="5">
        <v>1500</v>
      </c>
      <c r="I46" s="4"/>
    </row>
    <row r="47" spans="1:9" ht="15.9" x14ac:dyDescent="0.4">
      <c r="A47" s="3">
        <v>45922</v>
      </c>
      <c r="B47" s="4" t="s">
        <v>191</v>
      </c>
      <c r="C47" s="4" t="s">
        <v>1837</v>
      </c>
      <c r="D47" s="4">
        <v>36540</v>
      </c>
      <c r="E47" s="4">
        <v>42</v>
      </c>
      <c r="F47" s="4" t="s">
        <v>756</v>
      </c>
      <c r="G47" s="4" t="s">
        <v>25</v>
      </c>
      <c r="H47" s="5">
        <v>2400</v>
      </c>
      <c r="I47" s="4"/>
    </row>
    <row r="48" spans="1:9" ht="15.9" x14ac:dyDescent="0.4">
      <c r="A48" s="3">
        <v>45922</v>
      </c>
      <c r="B48" s="4" t="s">
        <v>168</v>
      </c>
      <c r="C48" s="4" t="s">
        <v>1838</v>
      </c>
      <c r="D48" s="4">
        <v>33930</v>
      </c>
      <c r="E48" s="4">
        <v>39</v>
      </c>
      <c r="F48" s="4" t="s">
        <v>756</v>
      </c>
      <c r="G48" s="4" t="s">
        <v>25</v>
      </c>
      <c r="H48" s="5">
        <v>2550</v>
      </c>
      <c r="I48" s="4"/>
    </row>
    <row r="49" spans="1:9" ht="15.9" x14ac:dyDescent="0.4">
      <c r="A49" s="3">
        <v>45922</v>
      </c>
      <c r="B49" s="4" t="s">
        <v>77</v>
      </c>
      <c r="C49" s="4" t="s">
        <v>1839</v>
      </c>
      <c r="D49" s="4">
        <v>1740</v>
      </c>
      <c r="E49" s="4">
        <v>2</v>
      </c>
      <c r="F49" s="4" t="s">
        <v>35</v>
      </c>
      <c r="G49" s="4" t="s">
        <v>12</v>
      </c>
      <c r="H49" s="5"/>
      <c r="I49" s="4"/>
    </row>
    <row r="50" spans="1:9" ht="15.9" x14ac:dyDescent="0.4">
      <c r="A50" s="3">
        <v>45922</v>
      </c>
      <c r="B50" s="4" t="s">
        <v>207</v>
      </c>
      <c r="C50" s="4" t="s">
        <v>1840</v>
      </c>
      <c r="D50" s="4">
        <v>3010</v>
      </c>
      <c r="E50" s="4">
        <v>5</v>
      </c>
      <c r="F50" s="4" t="s">
        <v>35</v>
      </c>
      <c r="G50" s="4" t="s">
        <v>161</v>
      </c>
      <c r="H50" s="5">
        <v>319.33</v>
      </c>
      <c r="I50" s="4"/>
    </row>
    <row r="51" spans="1:9" ht="15.9" x14ac:dyDescent="0.4">
      <c r="A51" s="3">
        <v>45923</v>
      </c>
      <c r="B51" s="4" t="s">
        <v>1503</v>
      </c>
      <c r="C51" s="4" t="s">
        <v>1841</v>
      </c>
      <c r="D51" s="4">
        <v>6090</v>
      </c>
      <c r="E51" s="4">
        <v>7</v>
      </c>
      <c r="F51" s="4" t="s">
        <v>35</v>
      </c>
      <c r="G51" s="4" t="s">
        <v>12</v>
      </c>
      <c r="H51" s="5"/>
      <c r="I51" s="4"/>
    </row>
    <row r="52" spans="1:9" ht="15.9" x14ac:dyDescent="0.4">
      <c r="A52" s="3">
        <v>45923</v>
      </c>
      <c r="B52" s="4" t="s">
        <v>1766</v>
      </c>
      <c r="C52" s="4" t="s">
        <v>1842</v>
      </c>
      <c r="D52" s="4">
        <v>41280</v>
      </c>
      <c r="E52" s="4">
        <v>48</v>
      </c>
      <c r="F52" s="4" t="s">
        <v>756</v>
      </c>
      <c r="G52" s="4" t="s">
        <v>19</v>
      </c>
      <c r="H52" s="5">
        <v>3450</v>
      </c>
      <c r="I52" s="4"/>
    </row>
    <row r="53" spans="1:9" ht="15.9" x14ac:dyDescent="0.4">
      <c r="A53" s="3">
        <v>45923</v>
      </c>
      <c r="B53" s="4" t="s">
        <v>171</v>
      </c>
      <c r="C53" s="4" t="s">
        <v>1843</v>
      </c>
      <c r="D53" s="4">
        <v>3480</v>
      </c>
      <c r="E53" s="4">
        <v>4</v>
      </c>
      <c r="F53" s="4" t="s">
        <v>35</v>
      </c>
      <c r="G53" s="4" t="s">
        <v>12</v>
      </c>
      <c r="H53" s="5"/>
      <c r="I53" s="4"/>
    </row>
    <row r="54" spans="1:9" ht="15.9" x14ac:dyDescent="0.4">
      <c r="A54" s="3">
        <v>45923</v>
      </c>
      <c r="B54" s="4" t="s">
        <v>1064</v>
      </c>
      <c r="C54" s="4" t="s">
        <v>1844</v>
      </c>
      <c r="D54" s="4">
        <v>22555</v>
      </c>
      <c r="E54" s="4">
        <v>27</v>
      </c>
      <c r="F54" s="4" t="s">
        <v>11</v>
      </c>
      <c r="G54" s="4" t="s">
        <v>19</v>
      </c>
      <c r="H54" s="5">
        <v>2325</v>
      </c>
      <c r="I54" s="4"/>
    </row>
    <row r="55" spans="1:9" ht="15.9" x14ac:dyDescent="0.4">
      <c r="A55" s="3">
        <v>45923</v>
      </c>
      <c r="B55" s="4" t="s">
        <v>191</v>
      </c>
      <c r="C55" s="4" t="s">
        <v>1837</v>
      </c>
      <c r="D55" s="4">
        <v>5520</v>
      </c>
      <c r="E55" s="4">
        <v>6</v>
      </c>
      <c r="F55" s="4" t="s">
        <v>35</v>
      </c>
      <c r="G55" s="4" t="s">
        <v>161</v>
      </c>
      <c r="H55" s="5">
        <v>474.88</v>
      </c>
      <c r="I55" s="4"/>
    </row>
    <row r="56" spans="1:9" ht="15.9" x14ac:dyDescent="0.4">
      <c r="A56" s="3">
        <v>45923</v>
      </c>
      <c r="B56" s="4" t="s">
        <v>556</v>
      </c>
      <c r="C56" s="4" t="s">
        <v>1845</v>
      </c>
      <c r="D56" s="4">
        <v>2200</v>
      </c>
      <c r="E56" s="4">
        <v>2</v>
      </c>
      <c r="F56" s="4" t="s">
        <v>35</v>
      </c>
      <c r="G56" s="4" t="s">
        <v>12</v>
      </c>
      <c r="H56" s="5"/>
      <c r="I56" s="4"/>
    </row>
    <row r="57" spans="1:9" ht="15.9" x14ac:dyDescent="0.4">
      <c r="A57" s="3">
        <v>45923</v>
      </c>
      <c r="B57" s="4" t="s">
        <v>1664</v>
      </c>
      <c r="C57" s="4" t="s">
        <v>1846</v>
      </c>
      <c r="D57" s="4">
        <v>3440</v>
      </c>
      <c r="E57" s="4">
        <v>4</v>
      </c>
      <c r="F57" s="4" t="s">
        <v>35</v>
      </c>
      <c r="G57" s="4" t="s">
        <v>12</v>
      </c>
      <c r="H57" s="5"/>
      <c r="I57" s="4"/>
    </row>
    <row r="58" spans="1:9" ht="15.9" x14ac:dyDescent="0.4">
      <c r="A58" s="3">
        <v>45923</v>
      </c>
      <c r="B58" s="4" t="s">
        <v>1003</v>
      </c>
      <c r="C58" s="4" t="s">
        <v>1847</v>
      </c>
      <c r="D58" s="4">
        <v>1900</v>
      </c>
      <c r="E58" s="4">
        <v>2</v>
      </c>
      <c r="F58" s="4" t="s">
        <v>35</v>
      </c>
      <c r="G58" s="4" t="s">
        <v>161</v>
      </c>
      <c r="H58" s="5">
        <v>307.79000000000002</v>
      </c>
      <c r="I58" s="4"/>
    </row>
    <row r="59" spans="1:9" ht="15.9" x14ac:dyDescent="0.4">
      <c r="A59" s="3">
        <v>45923</v>
      </c>
      <c r="B59" s="4" t="s">
        <v>66</v>
      </c>
      <c r="C59" s="4" t="s">
        <v>1848</v>
      </c>
      <c r="D59" s="4">
        <v>38720</v>
      </c>
      <c r="E59" s="4">
        <v>44</v>
      </c>
      <c r="F59" s="4" t="s">
        <v>756</v>
      </c>
      <c r="G59" s="4" t="s">
        <v>25</v>
      </c>
      <c r="H59" s="5">
        <v>3850</v>
      </c>
      <c r="I59" s="4"/>
    </row>
    <row r="60" spans="1:9" ht="15.9" x14ac:dyDescent="0.4">
      <c r="A60" s="3">
        <v>45923</v>
      </c>
      <c r="B60" s="4" t="s">
        <v>1849</v>
      </c>
      <c r="C60" s="4" t="s">
        <v>1801</v>
      </c>
      <c r="D60" s="4">
        <v>1000</v>
      </c>
      <c r="E60" s="4">
        <v>1</v>
      </c>
      <c r="F60" s="4" t="s">
        <v>1850</v>
      </c>
      <c r="G60" s="4" t="s">
        <v>19</v>
      </c>
      <c r="H60" s="5">
        <v>450</v>
      </c>
      <c r="I60" s="4" t="s">
        <v>1851</v>
      </c>
    </row>
    <row r="61" spans="1:9" ht="15.9" x14ac:dyDescent="0.4">
      <c r="A61" s="3">
        <v>45924</v>
      </c>
      <c r="B61" s="4" t="s">
        <v>66</v>
      </c>
      <c r="C61" s="4" t="s">
        <v>1848</v>
      </c>
      <c r="D61" s="4">
        <v>18600</v>
      </c>
      <c r="E61" s="4">
        <v>20</v>
      </c>
      <c r="F61" s="4" t="s">
        <v>756</v>
      </c>
      <c r="G61" s="4" t="s">
        <v>25</v>
      </c>
      <c r="H61" s="5">
        <v>3850</v>
      </c>
      <c r="I61" s="4"/>
    </row>
    <row r="62" spans="1:9" ht="15.9" x14ac:dyDescent="0.4">
      <c r="A62" s="3">
        <v>45924</v>
      </c>
      <c r="B62" s="4" t="s">
        <v>1500</v>
      </c>
      <c r="C62" s="4" t="s">
        <v>1852</v>
      </c>
      <c r="D62" s="4">
        <v>4650</v>
      </c>
      <c r="E62" s="4">
        <v>5</v>
      </c>
      <c r="F62" s="4" t="s">
        <v>35</v>
      </c>
      <c r="G62" s="4" t="s">
        <v>161</v>
      </c>
      <c r="H62" s="5">
        <v>582.24</v>
      </c>
      <c r="I62" s="4"/>
    </row>
    <row r="63" spans="1:9" ht="15.9" x14ac:dyDescent="0.4">
      <c r="A63" s="3">
        <v>45924</v>
      </c>
      <c r="B63" s="4" t="s">
        <v>349</v>
      </c>
      <c r="C63" s="4" t="s">
        <v>1853</v>
      </c>
      <c r="D63" s="4">
        <v>1678</v>
      </c>
      <c r="E63" s="4">
        <v>2</v>
      </c>
      <c r="F63" s="4" t="s">
        <v>35</v>
      </c>
      <c r="G63" s="4" t="s">
        <v>161</v>
      </c>
      <c r="H63" s="5">
        <v>267.52</v>
      </c>
      <c r="I63" s="4"/>
    </row>
    <row r="64" spans="1:9" ht="15.9" x14ac:dyDescent="0.4">
      <c r="A64" s="3">
        <v>45924</v>
      </c>
      <c r="B64" s="4" t="s">
        <v>1752</v>
      </c>
      <c r="C64" s="4" t="s">
        <v>1753</v>
      </c>
      <c r="D64" s="4">
        <v>38720</v>
      </c>
      <c r="E64" s="4">
        <v>44</v>
      </c>
      <c r="F64" s="4" t="s">
        <v>11</v>
      </c>
      <c r="G64" s="4" t="s">
        <v>19</v>
      </c>
      <c r="H64" s="5">
        <v>3700</v>
      </c>
      <c r="I64" s="4"/>
    </row>
    <row r="65" spans="1:9" ht="15.9" x14ac:dyDescent="0.4">
      <c r="A65" s="3">
        <v>45924</v>
      </c>
      <c r="B65" s="4" t="s">
        <v>20</v>
      </c>
      <c r="C65" s="4" t="s">
        <v>1854</v>
      </c>
      <c r="D65" s="4">
        <v>11160</v>
      </c>
      <c r="E65" s="4">
        <v>12</v>
      </c>
      <c r="F65" s="4" t="s">
        <v>35</v>
      </c>
      <c r="G65" s="4" t="s">
        <v>19</v>
      </c>
      <c r="H65" s="5">
        <v>1850</v>
      </c>
      <c r="I65" s="4"/>
    </row>
    <row r="66" spans="1:9" ht="15.9" x14ac:dyDescent="0.4">
      <c r="A66" s="3">
        <v>45924</v>
      </c>
      <c r="B66" s="4" t="s">
        <v>875</v>
      </c>
      <c r="C66" s="4" t="s">
        <v>1737</v>
      </c>
      <c r="D66" s="4">
        <v>33440</v>
      </c>
      <c r="E66" s="4">
        <v>38</v>
      </c>
      <c r="F66" s="4" t="s">
        <v>11</v>
      </c>
      <c r="G66" s="4" t="s">
        <v>19</v>
      </c>
      <c r="H66" s="5">
        <v>2400</v>
      </c>
      <c r="I66" s="4"/>
    </row>
    <row r="67" spans="1:9" ht="15.9" x14ac:dyDescent="0.4">
      <c r="A67" s="3">
        <v>45924</v>
      </c>
      <c r="B67" s="4" t="s">
        <v>1855</v>
      </c>
      <c r="C67" s="4" t="s">
        <v>1856</v>
      </c>
      <c r="D67" s="4">
        <v>28380</v>
      </c>
      <c r="E67" s="4">
        <v>33</v>
      </c>
      <c r="F67" s="4" t="s">
        <v>756</v>
      </c>
      <c r="G67" s="4" t="s">
        <v>25</v>
      </c>
      <c r="H67" s="5">
        <v>2700</v>
      </c>
      <c r="I67" s="4"/>
    </row>
    <row r="68" spans="1:9" ht="15.9" x14ac:dyDescent="0.4">
      <c r="A68" s="3">
        <v>45925</v>
      </c>
      <c r="B68" s="4" t="s">
        <v>268</v>
      </c>
      <c r="C68" s="4" t="s">
        <v>1729</v>
      </c>
      <c r="D68" s="4">
        <v>19360</v>
      </c>
      <c r="E68" s="4">
        <v>22</v>
      </c>
      <c r="F68" s="4" t="s">
        <v>756</v>
      </c>
      <c r="G68" s="4" t="s">
        <v>25</v>
      </c>
      <c r="H68" s="5">
        <v>2550</v>
      </c>
      <c r="I68" s="4"/>
    </row>
    <row r="69" spans="1:9" ht="15.9" x14ac:dyDescent="0.4">
      <c r="A69" s="3">
        <v>45925</v>
      </c>
      <c r="B69" s="4" t="s">
        <v>615</v>
      </c>
      <c r="C69" s="4" t="s">
        <v>1857</v>
      </c>
      <c r="D69" s="4">
        <v>950</v>
      </c>
      <c r="E69" s="4">
        <v>1</v>
      </c>
      <c r="F69" s="4" t="s">
        <v>35</v>
      </c>
      <c r="G69" s="4" t="s">
        <v>12</v>
      </c>
      <c r="H69" s="5"/>
      <c r="I69" s="4"/>
    </row>
    <row r="70" spans="1:9" ht="31.75" x14ac:dyDescent="0.4">
      <c r="A70" s="3">
        <v>45925</v>
      </c>
      <c r="B70" s="4" t="s">
        <v>268</v>
      </c>
      <c r="C70" s="4" t="s">
        <v>1727</v>
      </c>
      <c r="D70" s="4">
        <v>38720</v>
      </c>
      <c r="E70" s="4">
        <v>44</v>
      </c>
      <c r="F70" s="4" t="s">
        <v>756</v>
      </c>
      <c r="G70" s="4" t="s">
        <v>25</v>
      </c>
      <c r="H70" s="5">
        <v>2550</v>
      </c>
      <c r="I70" s="6" t="s">
        <v>1858</v>
      </c>
    </row>
    <row r="71" spans="1:9" ht="15.9" x14ac:dyDescent="0.4">
      <c r="A71" s="3">
        <v>45925</v>
      </c>
      <c r="B71" s="4" t="s">
        <v>749</v>
      </c>
      <c r="C71" s="4" t="s">
        <v>1859</v>
      </c>
      <c r="D71" s="4">
        <v>10621</v>
      </c>
      <c r="E71" s="4">
        <v>13</v>
      </c>
      <c r="F71" s="4" t="s">
        <v>35</v>
      </c>
      <c r="G71" s="4" t="s">
        <v>1119</v>
      </c>
      <c r="H71" s="5">
        <v>1154.44</v>
      </c>
      <c r="I71" s="4"/>
    </row>
    <row r="72" spans="1:9" ht="15.9" x14ac:dyDescent="0.4">
      <c r="A72" s="3">
        <v>45925</v>
      </c>
      <c r="B72" s="4" t="s">
        <v>1860</v>
      </c>
      <c r="C72" s="4" t="s">
        <v>1861</v>
      </c>
      <c r="D72" s="4">
        <v>8904</v>
      </c>
      <c r="E72" s="4">
        <v>10</v>
      </c>
      <c r="F72" s="4" t="s">
        <v>35</v>
      </c>
      <c r="G72" s="4" t="s">
        <v>1119</v>
      </c>
      <c r="H72" s="5">
        <v>1790.96</v>
      </c>
      <c r="I72" s="4"/>
    </row>
    <row r="73" spans="1:9" ht="15.9" x14ac:dyDescent="0.4">
      <c r="A73" s="3">
        <v>45925</v>
      </c>
      <c r="B73" s="4" t="s">
        <v>927</v>
      </c>
      <c r="C73" s="4" t="s">
        <v>1862</v>
      </c>
      <c r="D73" s="4">
        <v>8987</v>
      </c>
      <c r="E73" s="4">
        <v>11</v>
      </c>
      <c r="F73" s="4" t="s">
        <v>35</v>
      </c>
      <c r="G73" s="4" t="s">
        <v>1119</v>
      </c>
      <c r="H73" s="5">
        <v>1408</v>
      </c>
      <c r="I73" s="4"/>
    </row>
    <row r="74" spans="1:9" ht="15.9" x14ac:dyDescent="0.4">
      <c r="A74" s="3">
        <v>45925</v>
      </c>
      <c r="B74" s="4" t="s">
        <v>77</v>
      </c>
      <c r="C74" s="4" t="s">
        <v>1839</v>
      </c>
      <c r="D74" s="4">
        <v>1740</v>
      </c>
      <c r="E74" s="4">
        <v>2</v>
      </c>
      <c r="F74" s="4" t="s">
        <v>35</v>
      </c>
      <c r="G74" s="4" t="s">
        <v>12</v>
      </c>
      <c r="H74" s="5"/>
      <c r="I74" s="4"/>
    </row>
    <row r="75" spans="1:9" ht="15.9" x14ac:dyDescent="0.4">
      <c r="A75" s="3">
        <v>45925</v>
      </c>
      <c r="B75" s="4" t="s">
        <v>1833</v>
      </c>
      <c r="C75" s="4" t="s">
        <v>1863</v>
      </c>
      <c r="D75" s="4">
        <v>30410</v>
      </c>
      <c r="E75" s="4">
        <v>36</v>
      </c>
      <c r="F75" s="4" t="s">
        <v>11</v>
      </c>
      <c r="G75" s="4" t="s">
        <v>19</v>
      </c>
      <c r="H75" s="5">
        <v>1500</v>
      </c>
      <c r="I75" s="4"/>
    </row>
    <row r="76" spans="1:9" ht="15.9" x14ac:dyDescent="0.4">
      <c r="A76" s="3">
        <v>45926</v>
      </c>
      <c r="B76" s="4" t="s">
        <v>103</v>
      </c>
      <c r="C76" s="4" t="s">
        <v>1864</v>
      </c>
      <c r="D76" s="4">
        <v>13889</v>
      </c>
      <c r="E76" s="4">
        <v>17</v>
      </c>
      <c r="F76" s="4" t="s">
        <v>11</v>
      </c>
      <c r="G76" s="4" t="s">
        <v>19</v>
      </c>
      <c r="H76" s="5">
        <v>2400</v>
      </c>
      <c r="I76" s="4"/>
    </row>
    <row r="77" spans="1:9" ht="15.9" x14ac:dyDescent="0.4">
      <c r="A77" s="3">
        <v>45929</v>
      </c>
      <c r="B77" s="4" t="s">
        <v>1833</v>
      </c>
      <c r="C77" s="4" t="s">
        <v>1863</v>
      </c>
      <c r="D77" s="4">
        <v>41280</v>
      </c>
      <c r="E77" s="4">
        <v>48</v>
      </c>
      <c r="F77" s="4" t="s">
        <v>11</v>
      </c>
      <c r="G77" s="4" t="s">
        <v>19</v>
      </c>
      <c r="H77" s="5">
        <v>1500</v>
      </c>
      <c r="I77" s="4"/>
    </row>
    <row r="78" spans="1:9" ht="15.9" x14ac:dyDescent="0.4">
      <c r="A78" s="3">
        <v>45929</v>
      </c>
      <c r="B78" s="4" t="s">
        <v>120</v>
      </c>
      <c r="C78" s="4" t="s">
        <v>1865</v>
      </c>
      <c r="D78" s="4">
        <v>10621</v>
      </c>
      <c r="E78" s="4">
        <v>13</v>
      </c>
      <c r="F78" s="4" t="s">
        <v>35</v>
      </c>
      <c r="G78" s="4" t="s">
        <v>1119</v>
      </c>
      <c r="H78" s="5">
        <v>1066.32</v>
      </c>
      <c r="I78" s="4"/>
    </row>
    <row r="79" spans="1:9" ht="15.9" x14ac:dyDescent="0.4">
      <c r="A79" s="3">
        <v>45929</v>
      </c>
      <c r="B79" s="4" t="s">
        <v>1866</v>
      </c>
      <c r="C79" s="4" t="s">
        <v>1867</v>
      </c>
      <c r="D79" s="4">
        <v>5719</v>
      </c>
      <c r="E79" s="4">
        <v>7</v>
      </c>
      <c r="F79" s="4" t="s">
        <v>35</v>
      </c>
      <c r="G79" s="4" t="s">
        <v>161</v>
      </c>
      <c r="H79" s="5">
        <v>276.66000000000003</v>
      </c>
      <c r="I79" s="4"/>
    </row>
    <row r="80" spans="1:9" ht="15.9" x14ac:dyDescent="0.4">
      <c r="A80" s="3">
        <v>45929</v>
      </c>
      <c r="B80" s="4" t="s">
        <v>349</v>
      </c>
      <c r="C80" s="4" t="s">
        <v>1868</v>
      </c>
      <c r="D80" s="4">
        <v>37840</v>
      </c>
      <c r="E80" s="4">
        <v>44</v>
      </c>
      <c r="F80" s="4" t="s">
        <v>756</v>
      </c>
      <c r="G80" s="4" t="s">
        <v>25</v>
      </c>
      <c r="H80" s="5">
        <v>1555.56</v>
      </c>
      <c r="I80" s="4"/>
    </row>
    <row r="81" spans="1:9" ht="15.9" x14ac:dyDescent="0.4">
      <c r="A81" s="3">
        <v>45929</v>
      </c>
      <c r="B81" s="4" t="s">
        <v>81</v>
      </c>
      <c r="C81" s="4" t="s">
        <v>1869</v>
      </c>
      <c r="D81" s="4">
        <v>8600</v>
      </c>
      <c r="E81" s="4">
        <v>10</v>
      </c>
      <c r="F81" s="4" t="s">
        <v>35</v>
      </c>
      <c r="G81" s="4" t="s">
        <v>1119</v>
      </c>
      <c r="H81" s="5">
        <v>778.67</v>
      </c>
      <c r="I81" s="4"/>
    </row>
    <row r="82" spans="1:9" ht="15.9" x14ac:dyDescent="0.4">
      <c r="A82" s="3">
        <v>45929</v>
      </c>
      <c r="B82" s="4" t="s">
        <v>615</v>
      </c>
      <c r="C82" s="4" t="s">
        <v>1870</v>
      </c>
      <c r="D82" s="4">
        <v>2850</v>
      </c>
      <c r="E82" s="4">
        <v>3</v>
      </c>
      <c r="F82" s="4" t="s">
        <v>35</v>
      </c>
      <c r="G82" s="4" t="s">
        <v>161</v>
      </c>
      <c r="H82" s="5">
        <v>747.47</v>
      </c>
      <c r="I82" s="4"/>
    </row>
    <row r="83" spans="1:9" ht="15.9" x14ac:dyDescent="0.4">
      <c r="A83" s="3">
        <v>45930</v>
      </c>
      <c r="B83" s="4" t="s">
        <v>1871</v>
      </c>
      <c r="C83" s="4" t="s">
        <v>1872</v>
      </c>
      <c r="D83" s="4">
        <v>13050</v>
      </c>
      <c r="E83" s="4">
        <v>15</v>
      </c>
      <c r="F83" s="4" t="s">
        <v>11</v>
      </c>
      <c r="G83" s="4" t="s">
        <v>19</v>
      </c>
      <c r="H83" s="5">
        <v>1650</v>
      </c>
      <c r="I83" s="4"/>
    </row>
    <row r="84" spans="1:9" ht="15.9" x14ac:dyDescent="0.4">
      <c r="A84" s="3">
        <v>45930</v>
      </c>
      <c r="B84" s="4" t="s">
        <v>1873</v>
      </c>
      <c r="C84" s="4" t="s">
        <v>1874</v>
      </c>
      <c r="D84" s="4">
        <v>38720</v>
      </c>
      <c r="E84" s="4">
        <v>44</v>
      </c>
      <c r="F84" s="4" t="s">
        <v>11</v>
      </c>
      <c r="G84" s="4" t="s">
        <v>25</v>
      </c>
      <c r="H84" s="5">
        <v>3700</v>
      </c>
      <c r="I84" s="4"/>
    </row>
    <row r="85" spans="1:9" ht="15.9" x14ac:dyDescent="0.4">
      <c r="A85" s="3"/>
      <c r="B85" s="4"/>
      <c r="C85" s="4"/>
      <c r="D85" s="4"/>
      <c r="E85" s="4"/>
      <c r="F85" s="4"/>
      <c r="G85" s="4"/>
      <c r="H85" s="5"/>
      <c r="I85" s="4"/>
    </row>
    <row r="86" spans="1:9" ht="15.9" x14ac:dyDescent="0.4">
      <c r="A86" s="3"/>
      <c r="B86" s="4"/>
      <c r="C86" s="4"/>
      <c r="D86" s="4"/>
      <c r="E86" s="4"/>
      <c r="F86" s="4"/>
      <c r="G86" s="4"/>
      <c r="H86" s="5"/>
      <c r="I86" s="4"/>
    </row>
    <row r="87" spans="1:9" ht="15.9" x14ac:dyDescent="0.4">
      <c r="A87" s="3"/>
      <c r="B87" s="4"/>
      <c r="C87" s="4"/>
      <c r="D87" s="4"/>
      <c r="E87" s="4"/>
      <c r="F87" s="4"/>
      <c r="G87" s="4"/>
      <c r="H87" s="5"/>
      <c r="I87" s="4"/>
    </row>
    <row r="88" spans="1:9" ht="15.9" x14ac:dyDescent="0.4">
      <c r="A88" s="3"/>
      <c r="B88" s="4"/>
      <c r="C88" s="4"/>
      <c r="D88" s="4"/>
      <c r="E88" s="4"/>
      <c r="F88" s="4"/>
      <c r="G88" s="4"/>
      <c r="H88" s="5"/>
      <c r="I88" s="4"/>
    </row>
    <row r="89" spans="1:9" ht="15.9" x14ac:dyDescent="0.4">
      <c r="A89" s="3"/>
      <c r="B89" s="4"/>
      <c r="C89" s="4"/>
      <c r="D89" s="4"/>
      <c r="E89" s="4"/>
      <c r="F89" s="4"/>
      <c r="G89" s="4"/>
      <c r="H89" s="5"/>
      <c r="I89" s="4"/>
    </row>
    <row r="90" spans="1:9" ht="15.9" x14ac:dyDescent="0.4">
      <c r="A90" s="3"/>
      <c r="B90" s="4"/>
      <c r="C90" s="4"/>
      <c r="D90" s="4"/>
      <c r="E90" s="4"/>
      <c r="F90" s="4"/>
      <c r="G90" s="4"/>
      <c r="H90" s="5"/>
      <c r="I90" s="4"/>
    </row>
    <row r="91" spans="1:9" ht="15.9" x14ac:dyDescent="0.4">
      <c r="A91" s="3"/>
      <c r="B91" s="4"/>
      <c r="C91" s="4"/>
      <c r="D91" s="4"/>
      <c r="E91" s="4"/>
      <c r="F91" s="4"/>
      <c r="G91" s="4"/>
      <c r="H91" s="5"/>
      <c r="I91" s="4"/>
    </row>
    <row r="92" spans="1:9" ht="15.9" x14ac:dyDescent="0.4">
      <c r="A92" s="3"/>
      <c r="B92" s="4"/>
      <c r="C92" s="4"/>
      <c r="D92" s="4"/>
      <c r="E92" s="4"/>
      <c r="F92" s="4"/>
      <c r="G92" s="4"/>
      <c r="H92" s="5"/>
      <c r="I92" s="4"/>
    </row>
    <row r="93" spans="1:9" ht="15.9" x14ac:dyDescent="0.4">
      <c r="A93" s="3"/>
      <c r="B93" s="4"/>
      <c r="C93" s="4"/>
      <c r="D93" s="4"/>
      <c r="E93" s="4"/>
      <c r="F93" s="4"/>
      <c r="G93" s="4"/>
      <c r="H93" s="5"/>
      <c r="I93" s="4"/>
    </row>
    <row r="94" spans="1:9" ht="15.9" x14ac:dyDescent="0.4">
      <c r="A94" s="3"/>
      <c r="B94" s="4"/>
      <c r="C94" s="4"/>
      <c r="D94" s="4"/>
      <c r="E94" s="4"/>
      <c r="F94" s="4"/>
      <c r="G94" s="4"/>
      <c r="H94" s="5"/>
      <c r="I94" s="4"/>
    </row>
    <row r="95" spans="1:9" ht="15.9" x14ac:dyDescent="0.4">
      <c r="A95" s="3"/>
      <c r="B95" s="4"/>
      <c r="C95" s="4"/>
      <c r="D95" s="4"/>
      <c r="E95" s="4"/>
      <c r="F95" s="4"/>
      <c r="G95" s="4"/>
      <c r="H95" s="5"/>
      <c r="I95" s="4"/>
    </row>
    <row r="96" spans="1:9" ht="15.9" x14ac:dyDescent="0.4">
      <c r="A96" s="3"/>
      <c r="B96" s="4"/>
      <c r="C96" s="4"/>
      <c r="D96" s="4"/>
      <c r="E96" s="4"/>
      <c r="F96" s="4"/>
      <c r="G96" s="4"/>
      <c r="H96" s="5"/>
      <c r="I96" s="4"/>
    </row>
    <row r="97" spans="1:9" ht="15.9" x14ac:dyDescent="0.4">
      <c r="A97" s="3"/>
      <c r="B97" s="4"/>
      <c r="C97" s="4"/>
      <c r="D97" s="4"/>
      <c r="E97" s="4"/>
      <c r="F97" s="4"/>
      <c r="G97" s="4"/>
      <c r="H97" s="5"/>
      <c r="I97" s="4"/>
    </row>
    <row r="98" spans="1:9" ht="15.9" x14ac:dyDescent="0.4">
      <c r="A98" s="3"/>
      <c r="B98" s="4"/>
      <c r="C98" s="4"/>
      <c r="D98" s="4"/>
      <c r="E98" s="4"/>
      <c r="F98" s="4"/>
      <c r="G98" s="4"/>
      <c r="H98" s="5"/>
      <c r="I98" s="4"/>
    </row>
    <row r="99" spans="1:9" ht="15.9" x14ac:dyDescent="0.4">
      <c r="A99" s="3"/>
      <c r="B99" s="4"/>
      <c r="C99" s="4"/>
      <c r="D99" s="4"/>
      <c r="E99" s="4"/>
      <c r="F99" s="4"/>
      <c r="G99" s="4"/>
      <c r="H99" s="5"/>
      <c r="I99" s="4"/>
    </row>
    <row r="100" spans="1:9" ht="15.9" x14ac:dyDescent="0.4">
      <c r="A100" s="3"/>
      <c r="B100" s="4"/>
      <c r="C100" s="4"/>
      <c r="D100" s="4"/>
      <c r="E100" s="4"/>
      <c r="F100" s="4"/>
      <c r="G100" s="4"/>
      <c r="H100" s="5"/>
      <c r="I100" s="4"/>
    </row>
    <row r="101" spans="1:9" ht="15.9" x14ac:dyDescent="0.4">
      <c r="A101" s="3"/>
      <c r="B101" s="4"/>
      <c r="C101" s="4"/>
      <c r="D101" s="4"/>
      <c r="E101" s="4"/>
      <c r="F101" s="4"/>
      <c r="G101" s="4"/>
      <c r="H101" s="5"/>
      <c r="I101" s="4"/>
    </row>
    <row r="102" spans="1:9" ht="15.9" x14ac:dyDescent="0.4">
      <c r="A102" s="3"/>
      <c r="B102" s="4"/>
      <c r="C102" s="4"/>
      <c r="D102" s="4"/>
      <c r="E102" s="4"/>
      <c r="F102" s="4"/>
      <c r="G102" s="4"/>
      <c r="H102" s="5"/>
      <c r="I102" s="4"/>
    </row>
    <row r="103" spans="1:9" ht="15.9" x14ac:dyDescent="0.4">
      <c r="A103" s="3"/>
      <c r="B103" s="4"/>
      <c r="C103" s="4"/>
      <c r="D103" s="4"/>
      <c r="E103" s="4"/>
      <c r="F103" s="4"/>
      <c r="G103" s="4"/>
      <c r="H103" s="5"/>
      <c r="I103" s="4"/>
    </row>
    <row r="104" spans="1:9" ht="15.9" x14ac:dyDescent="0.4">
      <c r="A104" s="3"/>
      <c r="B104" s="4"/>
      <c r="C104" s="4"/>
      <c r="D104" s="4"/>
      <c r="E104" s="4"/>
      <c r="F104" s="4"/>
      <c r="G104" s="4"/>
      <c r="H104" s="5"/>
      <c r="I104" s="4"/>
    </row>
    <row r="105" spans="1:9" ht="15.9" x14ac:dyDescent="0.4">
      <c r="A105" s="3"/>
      <c r="B105" s="4"/>
      <c r="C105" s="4"/>
      <c r="D105" s="4"/>
      <c r="E105" s="4"/>
      <c r="F105" s="4"/>
      <c r="G105" s="4"/>
      <c r="H105" s="5"/>
      <c r="I105" s="4"/>
    </row>
    <row r="106" spans="1:9" ht="15.9" x14ac:dyDescent="0.4">
      <c r="A106" s="3"/>
      <c r="B106" s="4"/>
      <c r="C106" s="4"/>
      <c r="D106" s="4"/>
      <c r="E106" s="4"/>
      <c r="F106" s="4"/>
      <c r="G106" s="4"/>
      <c r="H106" s="5"/>
      <c r="I106" s="4"/>
    </row>
    <row r="107" spans="1:9" ht="15.9" x14ac:dyDescent="0.4">
      <c r="A107" s="3"/>
      <c r="B107" s="4"/>
      <c r="C107" s="4"/>
      <c r="D107" s="4"/>
      <c r="E107" s="4"/>
      <c r="F107" s="4"/>
      <c r="G107" s="4"/>
      <c r="H107" s="5"/>
      <c r="I107" s="4"/>
    </row>
    <row r="108" spans="1:9" ht="15.9" x14ac:dyDescent="0.4">
      <c r="A108" s="3"/>
      <c r="B108" s="4"/>
      <c r="C108" s="4"/>
      <c r="D108" s="4"/>
      <c r="E108" s="4"/>
      <c r="F108" s="4"/>
      <c r="G108" s="4"/>
      <c r="H108" s="5"/>
      <c r="I108" s="4"/>
    </row>
    <row r="109" spans="1:9" ht="15.9" x14ac:dyDescent="0.4">
      <c r="A109" s="3"/>
      <c r="B109" s="4"/>
      <c r="C109" s="4"/>
      <c r="D109" s="4"/>
      <c r="E109" s="4"/>
      <c r="F109" s="4"/>
      <c r="G109" s="4"/>
      <c r="H109" s="5"/>
      <c r="I109" s="4"/>
    </row>
    <row r="110" spans="1:9" ht="15.9" x14ac:dyDescent="0.4">
      <c r="A110" s="3"/>
      <c r="B110" s="4"/>
      <c r="C110" s="4"/>
      <c r="D110" s="4"/>
      <c r="E110" s="4"/>
      <c r="F110" s="4"/>
      <c r="G110" s="4"/>
      <c r="H110" s="5"/>
      <c r="I110" s="4"/>
    </row>
    <row r="111" spans="1:9" ht="15.9" x14ac:dyDescent="0.4">
      <c r="A111" s="3"/>
      <c r="B111" s="4"/>
      <c r="C111" s="4"/>
      <c r="D111" s="4"/>
      <c r="E111" s="4"/>
      <c r="F111" s="4"/>
      <c r="G111" s="4"/>
      <c r="H111" s="5"/>
      <c r="I111" s="4"/>
    </row>
    <row r="112" spans="1:9" ht="15.9" x14ac:dyDescent="0.4">
      <c r="A112" s="3"/>
      <c r="B112" s="4"/>
      <c r="C112" s="4"/>
      <c r="D112" s="4"/>
      <c r="E112" s="4"/>
      <c r="F112" s="4"/>
      <c r="G112" s="4"/>
      <c r="H112" s="5"/>
      <c r="I112" s="4"/>
    </row>
    <row r="113" spans="1:9" ht="15.9" x14ac:dyDescent="0.4">
      <c r="A113" s="3"/>
      <c r="B113" s="4"/>
      <c r="C113" s="4"/>
      <c r="D113" s="4"/>
      <c r="E113" s="4"/>
      <c r="F113" s="4"/>
      <c r="G113" s="4"/>
      <c r="H113" s="5"/>
      <c r="I113" s="4"/>
    </row>
    <row r="114" spans="1:9" ht="15.9" x14ac:dyDescent="0.4">
      <c r="A114" s="3"/>
      <c r="B114" s="4"/>
      <c r="C114" s="4"/>
      <c r="D114" s="4"/>
      <c r="E114" s="4"/>
      <c r="F114" s="4"/>
      <c r="G114" s="4"/>
      <c r="H114" s="5"/>
      <c r="I114" s="4"/>
    </row>
    <row r="115" spans="1:9" ht="15.9" x14ac:dyDescent="0.4">
      <c r="A115" s="3"/>
      <c r="B115" s="4"/>
      <c r="C115" s="4"/>
      <c r="D115" s="4"/>
      <c r="E115" s="4"/>
      <c r="F115" s="4"/>
      <c r="G115" s="4"/>
      <c r="H115" s="4"/>
      <c r="I115" s="4"/>
    </row>
    <row r="116" spans="1:9" ht="15.9" x14ac:dyDescent="0.4">
      <c r="A116" s="3"/>
      <c r="B116" s="4"/>
      <c r="C116" s="4"/>
      <c r="D116" s="4"/>
      <c r="E116" s="4"/>
      <c r="F116" s="4"/>
      <c r="G116" s="4"/>
      <c r="H116" s="5"/>
      <c r="I116" s="4"/>
    </row>
    <row r="117" spans="1:9" ht="15.9" x14ac:dyDescent="0.4">
      <c r="A117" s="3"/>
      <c r="B117" s="4"/>
      <c r="C117" s="4"/>
      <c r="D117" s="4"/>
      <c r="E117" s="4"/>
      <c r="F117" s="4"/>
      <c r="G117" s="4"/>
      <c r="H117" s="5"/>
      <c r="I117" s="4"/>
    </row>
    <row r="118" spans="1:9" ht="15.9" x14ac:dyDescent="0.4">
      <c r="A118" s="3"/>
      <c r="B118" s="4"/>
      <c r="C118" s="4"/>
      <c r="D118" s="4"/>
      <c r="E118" s="4"/>
      <c r="F118" s="4"/>
      <c r="G118" s="4"/>
      <c r="H118" s="5"/>
      <c r="I118" s="4"/>
    </row>
    <row r="119" spans="1:9" ht="15.9" x14ac:dyDescent="0.4">
      <c r="A119" s="3"/>
      <c r="B119" s="4"/>
      <c r="C119" s="4"/>
      <c r="D119" s="4"/>
      <c r="E119" s="4"/>
      <c r="F119" s="4"/>
      <c r="G119" s="4"/>
      <c r="H119" s="5"/>
      <c r="I119" s="4"/>
    </row>
    <row r="120" spans="1:9" ht="15.9" x14ac:dyDescent="0.4">
      <c r="A120" s="3"/>
      <c r="B120" s="4"/>
      <c r="C120" s="4"/>
      <c r="D120" s="4"/>
      <c r="E120" s="4"/>
      <c r="F120" s="4"/>
      <c r="G120" s="4"/>
      <c r="H120" s="5"/>
      <c r="I120" s="4"/>
    </row>
    <row r="121" spans="1:9" ht="15.9" x14ac:dyDescent="0.4">
      <c r="A121" s="3"/>
      <c r="B121" s="4"/>
      <c r="C121" s="4"/>
      <c r="D121" s="4"/>
      <c r="E121" s="4"/>
      <c r="F121" s="4"/>
      <c r="G121" s="4"/>
      <c r="H121" s="5"/>
      <c r="I121" s="4"/>
    </row>
    <row r="122" spans="1:9" ht="15.9" x14ac:dyDescent="0.4">
      <c r="A122" s="3"/>
      <c r="B122" s="4"/>
      <c r="C122" s="4"/>
      <c r="D122" s="4"/>
      <c r="E122" s="4"/>
      <c r="F122" s="4"/>
      <c r="G122" s="4"/>
      <c r="H122" s="5"/>
      <c r="I122" s="4"/>
    </row>
    <row r="123" spans="1:9" ht="15.9" x14ac:dyDescent="0.4">
      <c r="A123" s="3"/>
      <c r="B123" s="4"/>
      <c r="C123" s="4"/>
      <c r="D123" s="4"/>
      <c r="E123" s="4"/>
      <c r="F123" s="4"/>
      <c r="G123" s="4"/>
      <c r="H123" s="5"/>
      <c r="I123" s="4"/>
    </row>
    <row r="124" spans="1:9" ht="15.9" x14ac:dyDescent="0.4">
      <c r="A124" s="3"/>
      <c r="B124" s="4"/>
      <c r="C124" s="4"/>
      <c r="D124" s="4"/>
      <c r="E124" s="4"/>
      <c r="F124" s="4"/>
      <c r="G124" s="4"/>
      <c r="H124" s="5"/>
      <c r="I124" s="4"/>
    </row>
    <row r="125" spans="1:9" ht="15.9" x14ac:dyDescent="0.4">
      <c r="A125" s="3"/>
      <c r="B125" s="4"/>
      <c r="C125" s="4"/>
      <c r="D125" s="4"/>
      <c r="E125" s="4"/>
      <c r="F125" s="4"/>
      <c r="G125" s="4"/>
      <c r="H125" s="5"/>
      <c r="I125" s="4"/>
    </row>
    <row r="126" spans="1:9" ht="15.9" x14ac:dyDescent="0.4">
      <c r="A126" s="3"/>
      <c r="B126" s="4"/>
      <c r="C126" s="4"/>
      <c r="D126" s="4"/>
      <c r="E126" s="4"/>
      <c r="F126" s="4"/>
      <c r="G126" s="4"/>
      <c r="H126" s="5"/>
      <c r="I126" s="4"/>
    </row>
    <row r="127" spans="1:9" ht="15.9" x14ac:dyDescent="0.4">
      <c r="A127" s="3"/>
      <c r="B127" s="4"/>
      <c r="C127" s="4"/>
      <c r="D127" s="4"/>
      <c r="E127" s="4"/>
      <c r="F127" s="4"/>
      <c r="G127" s="4"/>
      <c r="H127" s="5"/>
      <c r="I127" s="4"/>
    </row>
    <row r="128" spans="1:9" ht="15.9" x14ac:dyDescent="0.4">
      <c r="A128" s="3"/>
      <c r="B128" s="4"/>
      <c r="C128" s="4"/>
      <c r="D128" s="4"/>
      <c r="E128" s="4"/>
      <c r="F128" s="4"/>
      <c r="G128" s="4"/>
      <c r="H128" s="5"/>
      <c r="I128" s="4"/>
    </row>
    <row r="129" spans="1:9" ht="15.9" x14ac:dyDescent="0.4">
      <c r="A129" s="3"/>
      <c r="B129" s="4"/>
      <c r="C129" s="4"/>
      <c r="D129" s="4"/>
      <c r="E129" s="4"/>
      <c r="F129" s="4"/>
      <c r="G129" s="4"/>
      <c r="H129" s="5"/>
      <c r="I129" s="4"/>
    </row>
    <row r="130" spans="1:9" ht="15.9" x14ac:dyDescent="0.4">
      <c r="A130" s="3"/>
      <c r="B130" s="4"/>
      <c r="C130" s="4"/>
      <c r="D130" s="4"/>
      <c r="E130" s="4"/>
      <c r="F130" s="4"/>
      <c r="G130" s="4"/>
      <c r="H130" s="5"/>
      <c r="I130" s="4"/>
    </row>
    <row r="131" spans="1:9" ht="15.9" x14ac:dyDescent="0.4">
      <c r="A131" s="3"/>
      <c r="B131" s="4"/>
      <c r="C131" s="4"/>
      <c r="D131" s="4"/>
      <c r="E131" s="4"/>
      <c r="F131" s="4"/>
      <c r="G131" s="4"/>
      <c r="H131" s="5"/>
      <c r="I131" s="4"/>
    </row>
    <row r="132" spans="1:9" ht="15.9" x14ac:dyDescent="0.4">
      <c r="A132" s="3"/>
      <c r="B132" s="4"/>
      <c r="C132" s="4"/>
      <c r="D132" s="4"/>
      <c r="E132" s="4"/>
      <c r="F132" s="4"/>
      <c r="G132" s="4"/>
      <c r="H132" s="5"/>
      <c r="I132" s="4"/>
    </row>
    <row r="133" spans="1:9" ht="15.9" x14ac:dyDescent="0.4">
      <c r="A133" s="3"/>
      <c r="B133" s="4"/>
      <c r="C133" s="4"/>
      <c r="D133" s="4"/>
      <c r="E133" s="4"/>
      <c r="F133" s="4"/>
      <c r="G133" s="4"/>
      <c r="H133" s="4"/>
      <c r="I133" s="4"/>
    </row>
    <row r="134" spans="1:9" ht="15.9" x14ac:dyDescent="0.4">
      <c r="A134" s="3"/>
      <c r="B134" s="4"/>
      <c r="C134" s="4"/>
      <c r="D134" s="4"/>
      <c r="E134" s="4"/>
      <c r="F134" s="4"/>
      <c r="G134" s="4"/>
      <c r="H134" s="4"/>
      <c r="I134" s="4"/>
    </row>
    <row r="135" spans="1:9" ht="15.9" x14ac:dyDescent="0.4">
      <c r="A135" s="3"/>
      <c r="B135" s="4"/>
      <c r="C135" s="4"/>
      <c r="D135" s="4"/>
      <c r="E135" s="4"/>
      <c r="F135" s="4"/>
      <c r="G135" s="4"/>
      <c r="H135" s="4"/>
      <c r="I135" s="4"/>
    </row>
    <row r="136" spans="1:9" ht="15.9" x14ac:dyDescent="0.4">
      <c r="A136" s="3"/>
      <c r="B136" s="4"/>
      <c r="C136" s="4"/>
      <c r="D136" s="4"/>
      <c r="E136" s="4"/>
      <c r="F136" s="4"/>
      <c r="G136" s="4"/>
      <c r="H136" s="5"/>
      <c r="I136" s="4"/>
    </row>
    <row r="137" spans="1:9" ht="15.9" x14ac:dyDescent="0.4">
      <c r="A137" s="4"/>
      <c r="B137" s="4"/>
      <c r="C137" s="4"/>
      <c r="D137" s="4"/>
      <c r="E137" s="4"/>
      <c r="F137" s="4"/>
      <c r="G137" s="4"/>
      <c r="H137" s="4"/>
      <c r="I137" s="4"/>
    </row>
    <row r="138" spans="1:9" ht="15.9" x14ac:dyDescent="0.4">
      <c r="A138" s="4"/>
      <c r="B138" s="4"/>
      <c r="C138" s="4"/>
      <c r="D138" s="4"/>
      <c r="E138" s="4"/>
      <c r="F138" s="4"/>
      <c r="G138" s="4"/>
      <c r="H138" s="4"/>
      <c r="I138" s="4"/>
    </row>
    <row r="139" spans="1:9" ht="15.9" x14ac:dyDescent="0.4">
      <c r="A139" s="4"/>
      <c r="B139" s="4"/>
      <c r="C139" s="4"/>
      <c r="D139" s="4"/>
      <c r="E139" s="4"/>
      <c r="F139" s="4"/>
      <c r="G139" s="4"/>
      <c r="H139" s="4"/>
      <c r="I139" s="4"/>
    </row>
    <row r="140" spans="1:9" ht="15.9" x14ac:dyDescent="0.4">
      <c r="A140" s="4"/>
      <c r="B140" s="4"/>
      <c r="C140" s="4"/>
      <c r="D140" s="4"/>
      <c r="E140" s="4"/>
      <c r="F140" s="4"/>
      <c r="G140" s="4"/>
      <c r="H140" s="4"/>
      <c r="I140" s="4"/>
    </row>
    <row r="141" spans="1:9" ht="15.9" x14ac:dyDescent="0.4">
      <c r="A141" s="4"/>
      <c r="B141" s="4"/>
      <c r="C141" s="4"/>
      <c r="D141" s="4"/>
      <c r="E141" s="4"/>
      <c r="F141" s="4"/>
      <c r="G141" s="4"/>
      <c r="H141" s="4"/>
      <c r="I141" s="4"/>
    </row>
    <row r="142" spans="1:9" ht="15.9" x14ac:dyDescent="0.4">
      <c r="A142" s="4"/>
      <c r="B142" s="4"/>
      <c r="C142" s="4"/>
      <c r="D142" s="4"/>
      <c r="E142" s="4"/>
      <c r="F142" s="4"/>
      <c r="G142" s="4"/>
      <c r="H142" s="4"/>
      <c r="I142" s="4"/>
    </row>
    <row r="143" spans="1:9" ht="15.9" x14ac:dyDescent="0.4">
      <c r="A143" s="4"/>
      <c r="B143" s="4"/>
      <c r="C143" s="4"/>
      <c r="D143" s="4"/>
      <c r="E143" s="4"/>
      <c r="F143" s="4"/>
      <c r="G143" s="4"/>
      <c r="H143" s="4"/>
      <c r="I143" s="4"/>
    </row>
    <row r="144" spans="1:9" ht="15.9" x14ac:dyDescent="0.4">
      <c r="A144" s="4"/>
      <c r="B144" s="4"/>
      <c r="C144" s="4"/>
      <c r="D144" s="4"/>
      <c r="E144" s="4"/>
      <c r="F144" s="4"/>
      <c r="G144" s="4"/>
      <c r="H144" s="4"/>
      <c r="I144" s="4"/>
    </row>
    <row r="145" spans="1:9" ht="15.9" x14ac:dyDescent="0.4">
      <c r="A145" s="4"/>
      <c r="B145" s="4"/>
      <c r="C145" s="4"/>
      <c r="D145" s="4"/>
      <c r="E145" s="4"/>
      <c r="F145" s="4"/>
      <c r="G145" s="4"/>
      <c r="H145" s="4"/>
      <c r="I145" s="4"/>
    </row>
    <row r="146" spans="1:9" ht="15.9" x14ac:dyDescent="0.4">
      <c r="A146" s="4"/>
      <c r="B146" s="4"/>
      <c r="C146" s="4"/>
      <c r="D146" s="4"/>
      <c r="E146" s="4"/>
      <c r="F146" s="4"/>
      <c r="G146" s="4"/>
      <c r="H146" s="4"/>
      <c r="I146" s="4"/>
    </row>
    <row r="147" spans="1:9" ht="15.9" x14ac:dyDescent="0.4">
      <c r="A147" s="4"/>
      <c r="B147" s="4"/>
      <c r="C147" s="4"/>
      <c r="D147" s="4"/>
      <c r="E147" s="4"/>
      <c r="F147" s="4"/>
      <c r="G147" s="4"/>
      <c r="H147" s="4"/>
      <c r="I147" s="4"/>
    </row>
    <row r="148" spans="1:9" ht="15.9" x14ac:dyDescent="0.4">
      <c r="A148" s="4"/>
      <c r="B148" s="4"/>
      <c r="C148" s="4"/>
      <c r="D148" s="4"/>
      <c r="E148" s="4"/>
      <c r="F148" s="4"/>
      <c r="G148" s="4"/>
      <c r="H148" s="4"/>
      <c r="I148" s="4"/>
    </row>
    <row r="149" spans="1:9" ht="15.9" x14ac:dyDescent="0.4">
      <c r="A149" s="4"/>
      <c r="B149" s="4"/>
      <c r="C149" s="4"/>
      <c r="D149" s="4"/>
      <c r="E149" s="4"/>
      <c r="F149" s="4"/>
      <c r="G149" s="4"/>
      <c r="H149" s="4"/>
      <c r="I149" s="4"/>
    </row>
    <row r="150" spans="1:9" ht="15.9" x14ac:dyDescent="0.4">
      <c r="A150" s="4"/>
      <c r="B150" s="4"/>
      <c r="C150" s="4"/>
      <c r="D150" s="4"/>
      <c r="E150" s="4"/>
      <c r="F150" s="4"/>
      <c r="G150" s="4"/>
      <c r="H150" s="4"/>
      <c r="I150" s="4"/>
    </row>
    <row r="151" spans="1:9" ht="15.9" x14ac:dyDescent="0.4">
      <c r="A151" s="4"/>
      <c r="B151" s="4"/>
      <c r="C151" s="4"/>
      <c r="D151" s="4"/>
      <c r="E151" s="4"/>
      <c r="F151" s="4"/>
      <c r="G151" s="4"/>
      <c r="H151" s="4"/>
      <c r="I151" s="4"/>
    </row>
    <row r="152" spans="1:9" ht="15.9" x14ac:dyDescent="0.4">
      <c r="A152" s="4"/>
      <c r="B152" s="4"/>
      <c r="C152" s="4"/>
      <c r="D152" s="4"/>
      <c r="E152" s="4"/>
      <c r="F152" s="4"/>
      <c r="G152" s="4"/>
      <c r="H152" s="4"/>
      <c r="I152" s="4"/>
    </row>
    <row r="153" spans="1:9" ht="15.9" x14ac:dyDescent="0.4">
      <c r="A153" s="4"/>
      <c r="B153" s="4"/>
      <c r="C153" s="4"/>
      <c r="D153" s="4"/>
      <c r="E153" s="4"/>
      <c r="F153" s="4"/>
      <c r="G153" s="4"/>
      <c r="H153" s="4"/>
      <c r="I153" s="4"/>
    </row>
    <row r="154" spans="1:9" ht="15.9" x14ac:dyDescent="0.4">
      <c r="A154" s="4"/>
      <c r="B154" s="4"/>
      <c r="C154" s="4"/>
      <c r="D154" s="4"/>
      <c r="E154" s="4"/>
      <c r="F154" s="4"/>
      <c r="G154" s="4"/>
      <c r="H154" s="4"/>
      <c r="I154" s="4"/>
    </row>
    <row r="155" spans="1:9" ht="15.9" x14ac:dyDescent="0.4">
      <c r="A155" s="4"/>
      <c r="B155" s="4"/>
      <c r="C155" s="4"/>
      <c r="D155" s="4"/>
      <c r="E155" s="4"/>
      <c r="F155" s="4"/>
      <c r="G155" s="4"/>
      <c r="H155" s="4"/>
      <c r="I155" s="4"/>
    </row>
    <row r="156" spans="1:9" ht="15.9" x14ac:dyDescent="0.4">
      <c r="A156" s="4"/>
      <c r="B156" s="4"/>
      <c r="C156" s="4"/>
      <c r="D156" s="4"/>
      <c r="E156" s="4"/>
      <c r="F156" s="4"/>
      <c r="G156" s="4"/>
      <c r="H156" s="4"/>
      <c r="I156" s="4"/>
    </row>
    <row r="157" spans="1:9" ht="15.9" x14ac:dyDescent="0.4">
      <c r="A157" s="4"/>
      <c r="B157" s="4"/>
      <c r="C157" s="4"/>
      <c r="D157" s="4"/>
      <c r="E157" s="4"/>
      <c r="F157" s="4"/>
      <c r="G157" s="4"/>
      <c r="H157" s="4"/>
      <c r="I157" s="4"/>
    </row>
    <row r="158" spans="1:9" ht="15.9" x14ac:dyDescent="0.4">
      <c r="A158" s="4"/>
      <c r="B158" s="4"/>
      <c r="C158" s="4"/>
      <c r="D158" s="4"/>
      <c r="E158" s="4"/>
      <c r="F158" s="4"/>
      <c r="G158" s="4"/>
      <c r="H158" s="4"/>
      <c r="I158" s="4"/>
    </row>
    <row r="159" spans="1:9" ht="15.9" x14ac:dyDescent="0.4">
      <c r="A159" s="4"/>
      <c r="B159" s="4"/>
      <c r="C159" s="4"/>
      <c r="D159" s="4"/>
      <c r="E159" s="4"/>
      <c r="F159" s="4"/>
      <c r="G159" s="4"/>
      <c r="H159" s="4"/>
      <c r="I159" s="4"/>
    </row>
    <row r="160" spans="1:9" ht="15.9" x14ac:dyDescent="0.4">
      <c r="A160" s="4"/>
      <c r="B160" s="4"/>
      <c r="C160" s="4"/>
      <c r="D160" s="4"/>
      <c r="E160" s="4"/>
      <c r="F160" s="4"/>
      <c r="G160" s="4"/>
      <c r="H160" s="4"/>
      <c r="I160" s="4"/>
    </row>
    <row r="161" spans="1:9" ht="15.9" x14ac:dyDescent="0.4">
      <c r="A161" s="4"/>
      <c r="B161" s="4"/>
      <c r="C161" s="4"/>
      <c r="D161" s="4"/>
      <c r="E161" s="4"/>
      <c r="F161" s="4"/>
      <c r="G161" s="4"/>
      <c r="H161" s="4"/>
      <c r="I161" s="4"/>
    </row>
    <row r="162" spans="1:9" ht="15.9" x14ac:dyDescent="0.4">
      <c r="A162" s="4"/>
      <c r="B162" s="4"/>
      <c r="C162" s="4"/>
      <c r="D162" s="4"/>
      <c r="E162" s="4"/>
      <c r="F162" s="4"/>
      <c r="G162" s="4"/>
      <c r="H162" s="4"/>
      <c r="I162" s="4"/>
    </row>
    <row r="163" spans="1:9" ht="15.9" x14ac:dyDescent="0.4">
      <c r="A163" s="4"/>
      <c r="B163" s="4"/>
      <c r="C163" s="4"/>
      <c r="D163" s="4"/>
      <c r="E163" s="4"/>
      <c r="F163" s="4"/>
      <c r="G163" s="4"/>
      <c r="H163" s="4"/>
      <c r="I163" s="4"/>
    </row>
    <row r="164" spans="1:9" ht="15.9" x14ac:dyDescent="0.4">
      <c r="A164" s="4"/>
      <c r="B164" s="4"/>
      <c r="C164" s="4"/>
      <c r="D164" s="4"/>
      <c r="E164" s="4"/>
      <c r="F164" s="4"/>
      <c r="G164" s="4"/>
      <c r="H164" s="4"/>
      <c r="I164" s="4"/>
    </row>
    <row r="165" spans="1:9" ht="15.9" x14ac:dyDescent="0.4">
      <c r="A165" s="4"/>
      <c r="B165" s="4"/>
      <c r="C165" s="4"/>
      <c r="D165" s="4"/>
      <c r="E165" s="4"/>
      <c r="F165" s="4"/>
      <c r="G165" s="4"/>
      <c r="H165" s="4"/>
      <c r="I165" s="4"/>
    </row>
    <row r="166" spans="1:9" ht="15.9" x14ac:dyDescent="0.4">
      <c r="A166" s="4"/>
      <c r="B166" s="4"/>
      <c r="C166" s="4"/>
      <c r="D166" s="4"/>
      <c r="E166" s="4"/>
      <c r="F166" s="4"/>
      <c r="G166" s="4"/>
      <c r="H166" s="4"/>
      <c r="I166" s="4"/>
    </row>
    <row r="167" spans="1:9" ht="15.9" x14ac:dyDescent="0.4">
      <c r="A167" s="4"/>
      <c r="B167" s="4"/>
      <c r="C167" s="4"/>
      <c r="D167" s="4"/>
      <c r="E167" s="4"/>
      <c r="F167" s="4"/>
      <c r="G167" s="4"/>
      <c r="H167" s="4"/>
      <c r="I167" s="4"/>
    </row>
    <row r="168" spans="1:9" ht="15.9" x14ac:dyDescent="0.4">
      <c r="A168" s="4"/>
      <c r="B168" s="4"/>
      <c r="C168" s="4"/>
      <c r="D168" s="4"/>
      <c r="E168" s="4"/>
      <c r="F168" s="4"/>
      <c r="G168" s="4"/>
      <c r="H168" s="4"/>
      <c r="I168" s="4"/>
    </row>
    <row r="169" spans="1:9" ht="15.9" x14ac:dyDescent="0.4">
      <c r="A169" s="4"/>
      <c r="B169" s="4"/>
      <c r="C169" s="4"/>
      <c r="D169" s="4"/>
      <c r="E169" s="4"/>
      <c r="F169" s="4"/>
      <c r="G169" s="4"/>
      <c r="H169" s="4"/>
      <c r="I169" s="4"/>
    </row>
    <row r="170" spans="1:9" ht="15.9" x14ac:dyDescent="0.4">
      <c r="A170" s="4"/>
      <c r="B170" s="4"/>
      <c r="C170" s="4"/>
      <c r="D170" s="4"/>
      <c r="E170" s="4"/>
      <c r="F170" s="4"/>
      <c r="G170" s="4"/>
      <c r="H170" s="4"/>
      <c r="I170" s="4"/>
    </row>
    <row r="171" spans="1:9" ht="15.9" x14ac:dyDescent="0.4">
      <c r="A171" s="4"/>
      <c r="B171" s="4"/>
      <c r="C171" s="4"/>
      <c r="D171" s="4"/>
      <c r="E171" s="4"/>
      <c r="F171" s="4"/>
      <c r="G171" s="4"/>
      <c r="H171" s="4"/>
      <c r="I171" s="4"/>
    </row>
    <row r="172" spans="1:9" ht="15.9" x14ac:dyDescent="0.4">
      <c r="A172" s="4"/>
      <c r="B172" s="4"/>
      <c r="C172" s="4"/>
      <c r="D172" s="4"/>
      <c r="E172" s="4"/>
      <c r="F172" s="4"/>
      <c r="G172" s="4"/>
      <c r="H172" s="4"/>
      <c r="I172" s="4"/>
    </row>
    <row r="173" spans="1:9" ht="15.9" x14ac:dyDescent="0.4">
      <c r="A173" s="4"/>
      <c r="B173" s="4"/>
      <c r="C173" s="4"/>
      <c r="D173" s="4"/>
      <c r="E173" s="4"/>
      <c r="F173" s="4"/>
      <c r="G173" s="4"/>
      <c r="H173" s="4"/>
      <c r="I173" s="4"/>
    </row>
    <row r="174" spans="1:9" ht="15.9" x14ac:dyDescent="0.4">
      <c r="A174" s="4"/>
      <c r="B174" s="4"/>
      <c r="C174" s="4"/>
      <c r="D174" s="4"/>
      <c r="E174" s="4"/>
      <c r="F174" s="4"/>
      <c r="G174" s="4"/>
      <c r="H174" s="4"/>
      <c r="I174" s="4"/>
    </row>
    <row r="175" spans="1:9" ht="15.9" x14ac:dyDescent="0.4">
      <c r="A175" s="4"/>
      <c r="B175" s="4"/>
      <c r="C175" s="4"/>
      <c r="D175" s="4"/>
      <c r="E175" s="4"/>
      <c r="F175" s="4"/>
      <c r="G175" s="4"/>
      <c r="H175" s="4"/>
      <c r="I175" s="4"/>
    </row>
    <row r="176" spans="1:9" ht="15.9" x14ac:dyDescent="0.4">
      <c r="A176" s="4"/>
      <c r="B176" s="4"/>
      <c r="C176" s="4"/>
      <c r="D176" s="4"/>
      <c r="E176" s="4"/>
      <c r="F176" s="4"/>
      <c r="G176" s="4"/>
      <c r="H176" s="4"/>
      <c r="I176" s="4"/>
    </row>
    <row r="177" spans="1:9" ht="15.9" x14ac:dyDescent="0.4">
      <c r="A177" s="4"/>
      <c r="B177" s="4"/>
      <c r="C177" s="4"/>
      <c r="D177" s="4"/>
      <c r="E177" s="4"/>
      <c r="F177" s="4"/>
      <c r="G177" s="4"/>
      <c r="H177" s="4"/>
      <c r="I177" s="4"/>
    </row>
    <row r="178" spans="1:9" ht="15.9" x14ac:dyDescent="0.4">
      <c r="A178" s="4"/>
      <c r="B178" s="4"/>
      <c r="C178" s="4"/>
      <c r="D178" s="4"/>
      <c r="E178" s="4"/>
      <c r="F178" s="4"/>
      <c r="G178" s="4"/>
      <c r="H178" s="4"/>
      <c r="I178" s="4"/>
    </row>
    <row r="179" spans="1:9" ht="15.9" x14ac:dyDescent="0.4">
      <c r="A179" s="4"/>
      <c r="B179" s="4"/>
      <c r="C179" s="4"/>
      <c r="D179" s="4"/>
      <c r="E179" s="4"/>
      <c r="F179" s="4"/>
      <c r="G179" s="4"/>
      <c r="H179" s="4"/>
      <c r="I179" s="4"/>
    </row>
    <row r="180" spans="1:9" ht="15.9" x14ac:dyDescent="0.4">
      <c r="A180" s="4"/>
      <c r="B180" s="4"/>
      <c r="C180" s="4"/>
      <c r="D180" s="4"/>
      <c r="E180" s="4"/>
      <c r="F180" s="4"/>
      <c r="G180" s="4"/>
      <c r="H180" s="4"/>
      <c r="I180" s="4"/>
    </row>
    <row r="181" spans="1:9" ht="15.9" x14ac:dyDescent="0.4">
      <c r="A181" s="4"/>
      <c r="B181" s="4"/>
      <c r="C181" s="4"/>
      <c r="D181" s="4"/>
      <c r="E181" s="4"/>
      <c r="F181" s="4"/>
      <c r="G181" s="4"/>
      <c r="H181" s="4"/>
      <c r="I181" s="4"/>
    </row>
    <row r="182" spans="1:9" ht="15.9" x14ac:dyDescent="0.4">
      <c r="A182" s="4"/>
      <c r="B182" s="4"/>
      <c r="C182" s="4"/>
      <c r="D182" s="4"/>
      <c r="E182" s="4"/>
      <c r="F182" s="4"/>
      <c r="G182" s="4"/>
      <c r="H182" s="4"/>
      <c r="I182" s="4"/>
    </row>
    <row r="183" spans="1:9" ht="15.9" x14ac:dyDescent="0.4">
      <c r="A183" s="4"/>
      <c r="B183" s="4"/>
      <c r="C183" s="4"/>
      <c r="D183" s="4"/>
      <c r="E183" s="4"/>
      <c r="F183" s="4"/>
      <c r="G183" s="4"/>
      <c r="H183" s="4"/>
      <c r="I183" s="4"/>
    </row>
    <row r="184" spans="1:9" ht="15.9" x14ac:dyDescent="0.4">
      <c r="A184" s="4"/>
      <c r="B184" s="4"/>
      <c r="C184" s="4"/>
      <c r="D184" s="4"/>
      <c r="E184" s="4"/>
      <c r="F184" s="4"/>
      <c r="G184" s="4"/>
      <c r="H184" s="4"/>
      <c r="I184" s="4"/>
    </row>
    <row r="185" spans="1:9" ht="15.9" x14ac:dyDescent="0.4">
      <c r="A185" s="4"/>
      <c r="B185" s="4"/>
      <c r="C185" s="4"/>
      <c r="D185" s="4"/>
      <c r="E185" s="4"/>
      <c r="F185" s="4"/>
      <c r="G185" s="4"/>
      <c r="H185" s="4"/>
      <c r="I185" s="4"/>
    </row>
    <row r="186" spans="1:9" ht="15.9" x14ac:dyDescent="0.4">
      <c r="A186" s="4"/>
      <c r="B186" s="4"/>
      <c r="C186" s="4"/>
      <c r="D186" s="4"/>
      <c r="E186" s="4"/>
      <c r="F186" s="4"/>
      <c r="G186" s="4"/>
      <c r="H186" s="4"/>
      <c r="I186" s="4"/>
    </row>
    <row r="187" spans="1:9" ht="15.9" x14ac:dyDescent="0.4">
      <c r="A187" s="4"/>
      <c r="B187" s="4"/>
      <c r="C187" s="4"/>
      <c r="D187" s="4"/>
      <c r="E187" s="4"/>
      <c r="F187" s="4"/>
      <c r="G187" s="4"/>
      <c r="H187" s="4"/>
      <c r="I187" s="4"/>
    </row>
    <row r="188" spans="1:9" ht="15.9" x14ac:dyDescent="0.4">
      <c r="A188" s="4"/>
      <c r="B188" s="4"/>
      <c r="C188" s="4"/>
      <c r="D188" s="4"/>
      <c r="E188" s="4"/>
      <c r="F188" s="4"/>
      <c r="G188" s="4"/>
      <c r="H188" s="4"/>
      <c r="I188" s="4"/>
    </row>
    <row r="189" spans="1:9" ht="15.9" x14ac:dyDescent="0.4">
      <c r="A189" s="4"/>
      <c r="B189" s="4"/>
      <c r="C189" s="4"/>
      <c r="D189" s="4"/>
      <c r="E189" s="4"/>
      <c r="F189" s="4"/>
      <c r="G189" s="4"/>
      <c r="H189" s="4"/>
      <c r="I189" s="4"/>
    </row>
    <row r="190" spans="1:9" ht="15.9" x14ac:dyDescent="0.4">
      <c r="A190" s="4"/>
      <c r="B190" s="4"/>
      <c r="C190" s="4"/>
      <c r="D190" s="4"/>
      <c r="E190" s="4"/>
      <c r="F190" s="4"/>
      <c r="G190" s="4"/>
      <c r="H190" s="4"/>
      <c r="I190" s="4"/>
    </row>
    <row r="191" spans="1:9" ht="15.9" x14ac:dyDescent="0.4">
      <c r="A191" s="4"/>
      <c r="B191" s="4"/>
      <c r="C191" s="4"/>
      <c r="D191" s="4"/>
      <c r="E191" s="4"/>
      <c r="F191" s="4"/>
      <c r="G191" s="4"/>
      <c r="H191" s="4"/>
      <c r="I191" s="4"/>
    </row>
    <row r="192" spans="1:9" ht="15.9" x14ac:dyDescent="0.4">
      <c r="A192" s="4"/>
      <c r="B192" s="4"/>
      <c r="C192" s="4"/>
      <c r="D192" s="4"/>
      <c r="E192" s="4"/>
      <c r="F192" s="4"/>
      <c r="G192" s="4"/>
      <c r="H192" s="4"/>
      <c r="I192" s="4"/>
    </row>
    <row r="193" spans="1:9" ht="15.9" x14ac:dyDescent="0.4">
      <c r="A193" s="4"/>
      <c r="B193" s="4"/>
      <c r="C193" s="4"/>
      <c r="D193" s="4"/>
      <c r="E193" s="4"/>
      <c r="F193" s="4"/>
      <c r="G193" s="4"/>
      <c r="H193" s="4"/>
      <c r="I193" s="4"/>
    </row>
    <row r="194" spans="1:9" ht="15.9" x14ac:dyDescent="0.4">
      <c r="A194" s="4"/>
      <c r="B194" s="4"/>
      <c r="C194" s="4"/>
      <c r="D194" s="4"/>
      <c r="E194" s="4"/>
      <c r="F194" s="4"/>
      <c r="G194" s="4"/>
      <c r="H194" s="4"/>
      <c r="I194" s="4"/>
    </row>
    <row r="195" spans="1:9" ht="15.9" x14ac:dyDescent="0.4">
      <c r="A195" s="4"/>
      <c r="B195" s="4"/>
      <c r="C195" s="4"/>
      <c r="D195" s="4"/>
      <c r="E195" s="4"/>
      <c r="F195" s="4"/>
      <c r="G195" s="4"/>
      <c r="H195" s="4"/>
      <c r="I195" s="4"/>
    </row>
    <row r="196" spans="1:9" ht="15.9" x14ac:dyDescent="0.4">
      <c r="A196" s="4"/>
      <c r="B196" s="4"/>
      <c r="C196" s="4"/>
      <c r="D196" s="4"/>
      <c r="E196" s="4"/>
      <c r="F196" s="4"/>
      <c r="G196" s="4"/>
      <c r="H196" s="4"/>
      <c r="I196" s="4"/>
    </row>
    <row r="197" spans="1:9" ht="15.9" x14ac:dyDescent="0.4">
      <c r="A197" s="4"/>
      <c r="B197" s="4"/>
      <c r="C197" s="4"/>
      <c r="D197" s="4"/>
      <c r="E197" s="4"/>
      <c r="F197" s="4"/>
      <c r="G197" s="4"/>
      <c r="H197" s="4"/>
      <c r="I197" s="4"/>
    </row>
    <row r="198" spans="1:9" ht="15.9" x14ac:dyDescent="0.4">
      <c r="A198" s="4"/>
      <c r="B198" s="4"/>
      <c r="C198" s="4"/>
      <c r="D198" s="4"/>
      <c r="E198" s="4"/>
      <c r="F198" s="4"/>
      <c r="G198" s="4"/>
      <c r="H198" s="4"/>
      <c r="I198" s="4"/>
    </row>
    <row r="199" spans="1:9" ht="15.9" x14ac:dyDescent="0.4">
      <c r="A199" s="4"/>
      <c r="B199" s="4"/>
      <c r="C199" s="4"/>
      <c r="D199" s="4"/>
      <c r="E199" s="4"/>
      <c r="F199" s="4"/>
      <c r="G199" s="4"/>
      <c r="H199" s="4"/>
      <c r="I199" s="4"/>
    </row>
    <row r="200" spans="1:9" ht="15.9" x14ac:dyDescent="0.4">
      <c r="A200" s="4"/>
      <c r="B200" s="4"/>
      <c r="C200" s="4"/>
      <c r="D200" s="4"/>
      <c r="E200" s="4"/>
      <c r="F200" s="4"/>
      <c r="G200" s="4"/>
      <c r="H200" s="4"/>
      <c r="I200" s="4"/>
    </row>
    <row r="201" spans="1:9" ht="15.9" x14ac:dyDescent="0.4">
      <c r="A201" s="4"/>
      <c r="B201" s="4"/>
      <c r="C201" s="4"/>
      <c r="D201" s="4"/>
      <c r="E201" s="4"/>
      <c r="F201" s="4"/>
      <c r="G201" s="4"/>
      <c r="H201" s="4"/>
      <c r="I201" s="4"/>
    </row>
    <row r="202" spans="1:9" ht="15.9" x14ac:dyDescent="0.4">
      <c r="A202" s="4"/>
      <c r="B202" s="4"/>
      <c r="C202" s="4"/>
      <c r="D202" s="4"/>
      <c r="E202" s="4"/>
      <c r="F202" s="4"/>
      <c r="G202" s="4"/>
      <c r="H202" s="4"/>
      <c r="I202" s="4"/>
    </row>
    <row r="203" spans="1:9" ht="15.9" x14ac:dyDescent="0.4">
      <c r="A203" s="4"/>
      <c r="B203" s="4"/>
      <c r="C203" s="4"/>
      <c r="D203" s="4"/>
      <c r="E203" s="4"/>
      <c r="F203" s="4"/>
      <c r="G203" s="4"/>
      <c r="H203" s="4"/>
      <c r="I203" s="4"/>
    </row>
    <row r="204" spans="1:9" ht="15.9" x14ac:dyDescent="0.4">
      <c r="A204" s="4"/>
      <c r="B204" s="4"/>
      <c r="C204" s="4"/>
      <c r="D204" s="4"/>
      <c r="E204" s="4"/>
      <c r="F204" s="4"/>
      <c r="G204" s="4"/>
      <c r="H204" s="4"/>
      <c r="I204" s="4"/>
    </row>
    <row r="205" spans="1:9" ht="15.9" x14ac:dyDescent="0.4">
      <c r="A205" s="4"/>
      <c r="B205" s="4"/>
      <c r="C205" s="4"/>
      <c r="D205" s="4"/>
      <c r="E205" s="4"/>
      <c r="F205" s="4"/>
      <c r="G205" s="4"/>
      <c r="H205" s="4"/>
      <c r="I205" s="4"/>
    </row>
    <row r="206" spans="1:9" ht="15.9" x14ac:dyDescent="0.4">
      <c r="A206" s="4"/>
      <c r="B206" s="4"/>
      <c r="C206" s="4"/>
      <c r="D206" s="4"/>
      <c r="E206" s="4"/>
      <c r="F206" s="4"/>
      <c r="G206" s="4"/>
      <c r="H206" s="4"/>
      <c r="I206" s="4"/>
    </row>
    <row r="207" spans="1:9" ht="15.9" x14ac:dyDescent="0.4">
      <c r="A207" s="4"/>
      <c r="B207" s="4"/>
      <c r="C207" s="4"/>
      <c r="D207" s="4"/>
      <c r="E207" s="4"/>
      <c r="F207" s="4"/>
      <c r="G207" s="4"/>
      <c r="H207" s="4"/>
      <c r="I207" s="4"/>
    </row>
    <row r="208" spans="1:9" ht="15.9" x14ac:dyDescent="0.4">
      <c r="A208" s="4"/>
      <c r="B208" s="4"/>
      <c r="C208" s="4"/>
      <c r="D208" s="4"/>
      <c r="E208" s="4"/>
      <c r="F208" s="4"/>
      <c r="G208" s="4"/>
      <c r="H208" s="4"/>
      <c r="I208" s="4"/>
    </row>
    <row r="209" spans="1:9" ht="15.9" x14ac:dyDescent="0.4">
      <c r="A209" s="4"/>
      <c r="B209" s="4"/>
      <c r="C209" s="4"/>
      <c r="D209" s="4"/>
      <c r="E209" s="4"/>
      <c r="F209" s="4"/>
      <c r="G209" s="4"/>
      <c r="H209" s="4"/>
      <c r="I209" s="4"/>
    </row>
    <row r="210" spans="1:9" ht="15.9" x14ac:dyDescent="0.4">
      <c r="A210" s="4"/>
      <c r="B210" s="4"/>
      <c r="C210" s="4"/>
      <c r="D210" s="4"/>
      <c r="E210" s="4"/>
      <c r="F210" s="4"/>
      <c r="G210" s="4"/>
      <c r="H210" s="4"/>
      <c r="I210" s="4"/>
    </row>
    <row r="211" spans="1:9" ht="15.9" x14ac:dyDescent="0.4">
      <c r="A211" s="4"/>
      <c r="B211" s="4"/>
      <c r="C211" s="4"/>
      <c r="D211" s="4"/>
      <c r="E211" s="4"/>
      <c r="F211" s="4"/>
      <c r="G211" s="4"/>
      <c r="H211" s="4"/>
      <c r="I211" s="4"/>
    </row>
    <row r="212" spans="1:9" ht="15.9" x14ac:dyDescent="0.4">
      <c r="A212" s="4"/>
      <c r="B212" s="4"/>
      <c r="C212" s="4"/>
      <c r="D212" s="4"/>
      <c r="E212" s="4"/>
      <c r="F212" s="4"/>
      <c r="G212" s="4"/>
      <c r="H212" s="4"/>
      <c r="I212" s="4"/>
    </row>
    <row r="213" spans="1:9" ht="15.9" x14ac:dyDescent="0.4">
      <c r="A213" s="4"/>
      <c r="B213" s="4"/>
      <c r="C213" s="4"/>
      <c r="D213" s="4"/>
      <c r="E213" s="4"/>
      <c r="F213" s="4"/>
      <c r="G213" s="4"/>
      <c r="H213" s="4"/>
      <c r="I213" s="4"/>
    </row>
    <row r="214" spans="1:9" ht="15.9" x14ac:dyDescent="0.4">
      <c r="A214" s="4"/>
      <c r="B214" s="4"/>
      <c r="C214" s="4"/>
      <c r="D214" s="4"/>
      <c r="E214" s="4"/>
      <c r="F214" s="4"/>
      <c r="G214" s="4"/>
      <c r="H214" s="4"/>
      <c r="I214" s="4"/>
    </row>
    <row r="215" spans="1:9" ht="15.9" x14ac:dyDescent="0.4">
      <c r="A215" s="4"/>
      <c r="B215" s="4"/>
      <c r="C215" s="4"/>
      <c r="D215" s="4"/>
      <c r="E215" s="4"/>
      <c r="F215" s="4"/>
      <c r="G215" s="4"/>
      <c r="H215" s="4"/>
      <c r="I215" s="4"/>
    </row>
    <row r="216" spans="1:9" ht="15.9" x14ac:dyDescent="0.4">
      <c r="A216" s="4"/>
      <c r="B216" s="4"/>
      <c r="C216" s="4"/>
      <c r="D216" s="4"/>
      <c r="E216" s="4"/>
      <c r="F216" s="4"/>
      <c r="G216" s="4"/>
      <c r="H216" s="4"/>
      <c r="I216" s="4"/>
    </row>
    <row r="217" spans="1:9" ht="15.9" x14ac:dyDescent="0.4">
      <c r="A217" s="4"/>
      <c r="B217" s="4"/>
      <c r="C217" s="4"/>
      <c r="D217" s="4"/>
      <c r="E217" s="4"/>
      <c r="F217" s="4"/>
      <c r="G217" s="4"/>
      <c r="H217" s="4"/>
      <c r="I217" s="4"/>
    </row>
    <row r="218" spans="1:9" ht="15.9" x14ac:dyDescent="0.4">
      <c r="A218" s="4"/>
      <c r="B218" s="4"/>
      <c r="C218" s="4"/>
      <c r="D218" s="4"/>
      <c r="E218" s="4"/>
      <c r="F218" s="4"/>
      <c r="G218" s="4"/>
      <c r="H218" s="4"/>
      <c r="I218" s="4"/>
    </row>
    <row r="219" spans="1:9" ht="15.9" x14ac:dyDescent="0.4">
      <c r="A219" s="4"/>
      <c r="B219" s="4"/>
      <c r="C219" s="4"/>
      <c r="D219" s="4"/>
      <c r="E219" s="4"/>
      <c r="F219" s="4"/>
      <c r="G219" s="4"/>
      <c r="H219" s="4"/>
      <c r="I219" s="4"/>
    </row>
    <row r="220" spans="1:9" ht="15.9" x14ac:dyDescent="0.4">
      <c r="A220" s="4"/>
      <c r="B220" s="4"/>
      <c r="C220" s="4"/>
      <c r="D220" s="4"/>
      <c r="E220" s="4"/>
      <c r="F220" s="4"/>
      <c r="G220" s="4"/>
      <c r="H220" s="4"/>
      <c r="I220" s="4"/>
    </row>
    <row r="221" spans="1:9" ht="15.9" x14ac:dyDescent="0.4">
      <c r="A221" s="4"/>
      <c r="B221" s="4"/>
      <c r="C221" s="4"/>
      <c r="D221" s="4"/>
      <c r="E221" s="4"/>
      <c r="F221" s="4"/>
      <c r="G221" s="4"/>
      <c r="H221" s="4"/>
      <c r="I221" s="4"/>
    </row>
    <row r="222" spans="1:9" ht="15.9" x14ac:dyDescent="0.4">
      <c r="A222" s="4"/>
      <c r="B222" s="4"/>
      <c r="C222" s="4"/>
      <c r="D222" s="4"/>
      <c r="E222" s="4"/>
      <c r="F222" s="4"/>
      <c r="G222" s="4"/>
      <c r="H222" s="4"/>
      <c r="I222" s="4"/>
    </row>
    <row r="223" spans="1:9" ht="15.9" x14ac:dyDescent="0.4">
      <c r="A223" s="4"/>
      <c r="B223" s="4"/>
      <c r="C223" s="4"/>
      <c r="D223" s="4"/>
      <c r="E223" s="4"/>
      <c r="F223" s="4"/>
      <c r="G223" s="4"/>
      <c r="H223" s="4"/>
      <c r="I223" s="4"/>
    </row>
    <row r="224" spans="1:9" ht="15.9" x14ac:dyDescent="0.4">
      <c r="A224" s="4"/>
      <c r="B224" s="4"/>
      <c r="C224" s="4"/>
      <c r="D224" s="4"/>
      <c r="E224" s="4"/>
      <c r="F224" s="4"/>
      <c r="G224" s="4"/>
      <c r="H224" s="4"/>
      <c r="I224" s="4"/>
    </row>
    <row r="225" spans="1:9" ht="15.9" x14ac:dyDescent="0.4">
      <c r="A225" s="4"/>
      <c r="B225" s="4"/>
      <c r="C225" s="4"/>
      <c r="D225" s="4"/>
      <c r="E225" s="4"/>
      <c r="F225" s="4"/>
      <c r="G225" s="4"/>
      <c r="H225" s="4"/>
      <c r="I225" s="4"/>
    </row>
    <row r="226" spans="1:9" ht="15.9" x14ac:dyDescent="0.4">
      <c r="A226" s="4"/>
      <c r="B226" s="4"/>
      <c r="C226" s="4"/>
      <c r="D226" s="4"/>
      <c r="E226" s="4"/>
      <c r="F226" s="4"/>
      <c r="G226" s="4"/>
      <c r="H226" s="4"/>
      <c r="I226" s="4"/>
    </row>
    <row r="227" spans="1:9" ht="15.9" x14ac:dyDescent="0.4">
      <c r="A227" s="4"/>
      <c r="B227" s="4"/>
      <c r="C227" s="4"/>
      <c r="D227" s="4"/>
      <c r="E227" s="4"/>
      <c r="F227" s="4"/>
      <c r="G227" s="4"/>
      <c r="H227" s="4"/>
      <c r="I227" s="4"/>
    </row>
    <row r="228" spans="1:9" ht="15.9" x14ac:dyDescent="0.4">
      <c r="A228" s="4"/>
      <c r="B228" s="4"/>
      <c r="C228" s="4"/>
      <c r="D228" s="4"/>
      <c r="E228" s="4"/>
      <c r="F228" s="4"/>
      <c r="G228" s="4"/>
      <c r="H228" s="4"/>
      <c r="I228" s="4"/>
    </row>
    <row r="229" spans="1:9" ht="15.9" x14ac:dyDescent="0.4">
      <c r="A229" s="4"/>
      <c r="B229" s="4"/>
      <c r="C229" s="4"/>
      <c r="D229" s="4"/>
      <c r="E229" s="4"/>
      <c r="F229" s="4"/>
      <c r="G229" s="4"/>
      <c r="H229" s="4"/>
      <c r="I229" s="4"/>
    </row>
    <row r="230" spans="1:9" ht="15.9" x14ac:dyDescent="0.4">
      <c r="A230" s="4"/>
      <c r="B230" s="4"/>
      <c r="C230" s="4"/>
      <c r="D230" s="4"/>
      <c r="E230" s="4"/>
      <c r="F230" s="4"/>
      <c r="G230" s="4"/>
      <c r="H230" s="4"/>
      <c r="I230" s="4"/>
    </row>
    <row r="231" spans="1:9" ht="15.9" x14ac:dyDescent="0.4">
      <c r="A231" s="4"/>
      <c r="B231" s="4"/>
      <c r="C231" s="4"/>
      <c r="D231" s="4"/>
      <c r="E231" s="4"/>
      <c r="F231" s="4"/>
      <c r="G231" s="4"/>
      <c r="H231" s="4"/>
      <c r="I231" s="4"/>
    </row>
    <row r="232" spans="1:9" ht="15.9" x14ac:dyDescent="0.4">
      <c r="A232" s="4"/>
      <c r="B232" s="4"/>
      <c r="C232" s="4"/>
      <c r="D232" s="4"/>
      <c r="E232" s="4"/>
      <c r="F232" s="4"/>
      <c r="G232" s="4"/>
      <c r="H232" s="4"/>
      <c r="I232" s="4"/>
    </row>
    <row r="233" spans="1:9" ht="15.9" x14ac:dyDescent="0.4">
      <c r="A233" s="4"/>
      <c r="B233" s="4"/>
      <c r="C233" s="4"/>
      <c r="D233" s="4"/>
      <c r="E233" s="4"/>
      <c r="F233" s="4"/>
      <c r="G233" s="4"/>
      <c r="H233" s="4"/>
      <c r="I233" s="4"/>
    </row>
    <row r="234" spans="1:9" ht="15.9" x14ac:dyDescent="0.4">
      <c r="A234" s="4"/>
      <c r="B234" s="4"/>
      <c r="C234" s="4"/>
      <c r="D234" s="4"/>
      <c r="E234" s="4"/>
      <c r="F234" s="4"/>
      <c r="G234" s="4"/>
      <c r="H234" s="4"/>
      <c r="I234" s="4"/>
    </row>
    <row r="235" spans="1:9" ht="15.9" x14ac:dyDescent="0.4">
      <c r="A235" s="4"/>
      <c r="B235" s="4"/>
      <c r="C235" s="4"/>
      <c r="D235" s="4"/>
      <c r="E235" s="4"/>
      <c r="F235" s="4"/>
      <c r="G235" s="4"/>
      <c r="H235" s="4"/>
      <c r="I235" s="4"/>
    </row>
    <row r="236" spans="1:9" ht="15.9" x14ac:dyDescent="0.4">
      <c r="A236" s="4"/>
      <c r="B236" s="4"/>
      <c r="C236" s="4"/>
      <c r="D236" s="4"/>
      <c r="E236" s="4"/>
      <c r="F236" s="4"/>
      <c r="G236" s="4"/>
      <c r="H236" s="4"/>
      <c r="I236" s="4"/>
    </row>
    <row r="237" spans="1:9" ht="15.9" x14ac:dyDescent="0.4">
      <c r="A237" s="4"/>
      <c r="B237" s="4"/>
      <c r="C237" s="4"/>
      <c r="D237" s="4"/>
      <c r="E237" s="4"/>
      <c r="F237" s="4"/>
      <c r="G237" s="4"/>
      <c r="H237" s="4"/>
      <c r="I237" s="4"/>
    </row>
    <row r="238" spans="1:9" ht="15.9" x14ac:dyDescent="0.4">
      <c r="A238" s="4"/>
      <c r="B238" s="4"/>
      <c r="C238" s="4"/>
      <c r="D238" s="4"/>
      <c r="E238" s="4"/>
      <c r="F238" s="4"/>
      <c r="G238" s="4"/>
      <c r="H238" s="4"/>
      <c r="I238" s="4"/>
    </row>
    <row r="239" spans="1:9" ht="15.9" x14ac:dyDescent="0.4">
      <c r="A239" s="4"/>
      <c r="B239" s="4"/>
      <c r="C239" s="4"/>
      <c r="D239" s="4"/>
      <c r="E239" s="4"/>
      <c r="F239" s="4"/>
      <c r="G239" s="4"/>
      <c r="H239" s="4"/>
      <c r="I239" s="4"/>
    </row>
    <row r="240" spans="1:9" ht="15.9" x14ac:dyDescent="0.4">
      <c r="A240" s="4"/>
      <c r="B240" s="4"/>
      <c r="C240" s="4"/>
      <c r="D240" s="4"/>
      <c r="E240" s="4"/>
      <c r="F240" s="4"/>
      <c r="G240" s="4"/>
      <c r="H240" s="4"/>
      <c r="I240" s="4"/>
    </row>
    <row r="241" spans="1:9" ht="15.9" x14ac:dyDescent="0.4">
      <c r="A241" s="4"/>
      <c r="B241" s="4"/>
      <c r="C241" s="4"/>
      <c r="D241" s="4"/>
      <c r="E241" s="4"/>
      <c r="F241" s="4"/>
      <c r="G241" s="4"/>
      <c r="H241" s="4"/>
      <c r="I241" s="4"/>
    </row>
    <row r="242" spans="1:9" ht="15.9" x14ac:dyDescent="0.4">
      <c r="A242" s="4"/>
      <c r="B242" s="4"/>
      <c r="C242" s="4"/>
      <c r="D242" s="4"/>
      <c r="E242" s="4"/>
      <c r="F242" s="4"/>
      <c r="G242" s="4"/>
      <c r="H242" s="4"/>
      <c r="I242" s="4"/>
    </row>
    <row r="243" spans="1:9" ht="15.9" x14ac:dyDescent="0.4">
      <c r="A243" s="4"/>
      <c r="B243" s="4"/>
      <c r="C243" s="4"/>
      <c r="D243" s="4"/>
      <c r="E243" s="4"/>
      <c r="F243" s="4"/>
      <c r="G243" s="4"/>
      <c r="H243" s="4"/>
      <c r="I243" s="4"/>
    </row>
    <row r="244" spans="1:9" ht="15.9" x14ac:dyDescent="0.4">
      <c r="A244" s="4"/>
      <c r="B244" s="4"/>
      <c r="C244" s="4"/>
      <c r="D244" s="4"/>
      <c r="E244" s="4"/>
      <c r="F244" s="4"/>
      <c r="G244" s="4"/>
      <c r="H244" s="4"/>
      <c r="I244" s="4"/>
    </row>
    <row r="245" spans="1:9" ht="15.9" x14ac:dyDescent="0.4">
      <c r="A245" s="4"/>
      <c r="B245" s="4"/>
      <c r="C245" s="4"/>
      <c r="D245" s="4"/>
      <c r="E245" s="4"/>
      <c r="F245" s="4"/>
      <c r="G245" s="4"/>
      <c r="H245" s="4"/>
      <c r="I245" s="4"/>
    </row>
    <row r="246" spans="1:9" ht="15.9" x14ac:dyDescent="0.4">
      <c r="A246" s="4"/>
      <c r="B246" s="4"/>
      <c r="C246" s="4"/>
      <c r="D246" s="4"/>
      <c r="E246" s="4"/>
      <c r="F246" s="4"/>
      <c r="G246" s="4"/>
      <c r="H246" s="4"/>
      <c r="I246" s="4"/>
    </row>
    <row r="247" spans="1:9" ht="15.9" x14ac:dyDescent="0.4">
      <c r="A247" s="4"/>
      <c r="B247" s="4"/>
      <c r="C247" s="4"/>
      <c r="D247" s="4"/>
      <c r="E247" s="4"/>
      <c r="F247" s="4"/>
      <c r="G247" s="4"/>
      <c r="H247" s="4"/>
      <c r="I247" s="4"/>
    </row>
    <row r="248" spans="1:9" ht="15.9" x14ac:dyDescent="0.4">
      <c r="A248" s="4"/>
      <c r="B248" s="4"/>
      <c r="C248" s="4"/>
      <c r="D248" s="4"/>
      <c r="E248" s="4"/>
      <c r="F248" s="4"/>
      <c r="G248" s="4"/>
      <c r="H248" s="4"/>
      <c r="I248" s="4"/>
    </row>
    <row r="249" spans="1:9" ht="15.9" x14ac:dyDescent="0.4">
      <c r="A249" s="4"/>
      <c r="B249" s="4"/>
      <c r="C249" s="4"/>
      <c r="D249" s="4"/>
      <c r="E249" s="4"/>
      <c r="F249" s="4"/>
      <c r="G249" s="4"/>
      <c r="H249" s="4"/>
      <c r="I249" s="4"/>
    </row>
    <row r="250" spans="1:9" ht="15.9" x14ac:dyDescent="0.4">
      <c r="A250" s="4"/>
      <c r="B250" s="4"/>
      <c r="C250" s="4"/>
      <c r="D250" s="4"/>
      <c r="E250" s="4"/>
      <c r="F250" s="4"/>
      <c r="G250" s="4"/>
      <c r="H250" s="4"/>
      <c r="I250" s="4"/>
    </row>
    <row r="251" spans="1:9" ht="15.9" x14ac:dyDescent="0.4">
      <c r="A251" s="4"/>
      <c r="B251" s="4"/>
      <c r="C251" s="4"/>
      <c r="D251" s="4"/>
      <c r="E251" s="4"/>
      <c r="F251" s="4"/>
      <c r="G251" s="4"/>
      <c r="H251" s="4"/>
      <c r="I251" s="4"/>
    </row>
    <row r="252" spans="1:9" ht="15.9" x14ac:dyDescent="0.4">
      <c r="A252" s="4"/>
      <c r="B252" s="4"/>
      <c r="C252" s="4"/>
      <c r="D252" s="4"/>
      <c r="E252" s="4"/>
      <c r="F252" s="4"/>
      <c r="G252" s="4"/>
      <c r="H252" s="4"/>
      <c r="I252" s="4"/>
    </row>
    <row r="253" spans="1:9" ht="15.9" x14ac:dyDescent="0.4">
      <c r="A253" s="4"/>
      <c r="B253" s="4"/>
      <c r="C253" s="4"/>
      <c r="D253" s="4"/>
      <c r="E253" s="4"/>
      <c r="F253" s="4"/>
      <c r="G253" s="4"/>
      <c r="H253" s="4"/>
      <c r="I253" s="4"/>
    </row>
    <row r="254" spans="1:9" ht="15.9" x14ac:dyDescent="0.4">
      <c r="A254" s="4"/>
      <c r="B254" s="4"/>
      <c r="C254" s="4"/>
      <c r="D254" s="4"/>
      <c r="E254" s="4"/>
      <c r="F254" s="4"/>
      <c r="G254" s="4"/>
      <c r="H254" s="4"/>
      <c r="I254" s="4"/>
    </row>
    <row r="255" spans="1:9" ht="15.9" x14ac:dyDescent="0.4">
      <c r="A255" s="4"/>
      <c r="B255" s="4"/>
      <c r="C255" s="4"/>
      <c r="D255" s="4"/>
      <c r="E255" s="4"/>
      <c r="F255" s="4"/>
      <c r="G255" s="4"/>
      <c r="H255" s="4"/>
      <c r="I255" s="4"/>
    </row>
    <row r="256" spans="1:9" ht="15.9" x14ac:dyDescent="0.4">
      <c r="A256" s="4"/>
      <c r="B256" s="4"/>
      <c r="C256" s="4"/>
      <c r="D256" s="4"/>
      <c r="E256" s="4"/>
      <c r="F256" s="4"/>
      <c r="G256" s="4"/>
      <c r="H256" s="4"/>
      <c r="I256" s="4"/>
    </row>
    <row r="257" spans="1:9" ht="15.9" x14ac:dyDescent="0.4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5.9" x14ac:dyDescent="0.4">
      <c r="A258" s="4"/>
      <c r="B258" s="4"/>
      <c r="C258" s="4"/>
      <c r="D258" s="4"/>
      <c r="E258" s="4"/>
      <c r="F258" s="4"/>
      <c r="G258" s="4"/>
      <c r="H258" s="4"/>
      <c r="I258" s="4"/>
    </row>
    <row r="259" spans="1:9" ht="15.9" x14ac:dyDescent="0.4">
      <c r="A259" s="4"/>
      <c r="B259" s="4"/>
      <c r="C259" s="4"/>
      <c r="D259" s="4"/>
      <c r="E259" s="4"/>
      <c r="F259" s="4"/>
      <c r="G259" s="4"/>
      <c r="H259" s="4"/>
      <c r="I259" s="4"/>
    </row>
    <row r="260" spans="1:9" ht="15.9" x14ac:dyDescent="0.4">
      <c r="A260" s="4"/>
      <c r="B260" s="4"/>
      <c r="C260" s="4"/>
      <c r="D260" s="4"/>
      <c r="E260" s="4"/>
      <c r="F260" s="4"/>
      <c r="G260" s="4"/>
      <c r="H260" s="4"/>
      <c r="I260" s="4"/>
    </row>
    <row r="261" spans="1:9" ht="15.9" x14ac:dyDescent="0.4">
      <c r="A261" s="4"/>
      <c r="B261" s="4"/>
      <c r="C261" s="4"/>
      <c r="D261" s="4"/>
      <c r="E261" s="4"/>
      <c r="F261" s="4"/>
      <c r="G261" s="4"/>
      <c r="H261" s="4"/>
      <c r="I261" s="4"/>
    </row>
    <row r="262" spans="1:9" ht="15.9" x14ac:dyDescent="0.4">
      <c r="A262" s="4"/>
      <c r="B262" s="4"/>
      <c r="C262" s="4"/>
      <c r="D262" s="4"/>
      <c r="E262" s="4"/>
      <c r="F262" s="4"/>
      <c r="G262" s="4"/>
      <c r="H262" s="4"/>
      <c r="I262" s="4"/>
    </row>
    <row r="263" spans="1:9" ht="15.9" x14ac:dyDescent="0.4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5.9" x14ac:dyDescent="0.4">
      <c r="A264" s="4"/>
      <c r="B264" s="4"/>
      <c r="C264" s="4"/>
      <c r="D264" s="4"/>
      <c r="E264" s="4"/>
      <c r="F264" s="4"/>
      <c r="G264" s="4"/>
      <c r="H264" s="4"/>
      <c r="I264" s="4"/>
    </row>
    <row r="265" spans="1:9" ht="15.9" x14ac:dyDescent="0.4">
      <c r="A265" s="4"/>
      <c r="B265" s="4"/>
      <c r="C265" s="4"/>
      <c r="D265" s="4"/>
      <c r="E265" s="4"/>
      <c r="F265" s="4"/>
      <c r="G265" s="4"/>
      <c r="H265" s="4"/>
      <c r="I265" s="4"/>
    </row>
    <row r="266" spans="1:9" ht="15.9" x14ac:dyDescent="0.4">
      <c r="A266" s="4"/>
      <c r="B266" s="4"/>
      <c r="C266" s="4"/>
      <c r="D266" s="4"/>
      <c r="E266" s="4"/>
      <c r="F266" s="4"/>
      <c r="G266" s="4"/>
      <c r="H266" s="4"/>
      <c r="I266" s="4"/>
    </row>
    <row r="267" spans="1:9" ht="15.9" x14ac:dyDescent="0.4">
      <c r="A267" s="4"/>
      <c r="B267" s="4"/>
      <c r="C267" s="4"/>
      <c r="D267" s="4"/>
      <c r="E267" s="4"/>
      <c r="F267" s="4"/>
      <c r="G267" s="4"/>
      <c r="H267" s="4"/>
      <c r="I267" s="4"/>
    </row>
    <row r="268" spans="1:9" ht="15.9" x14ac:dyDescent="0.4">
      <c r="A268" s="4"/>
      <c r="B268" s="4"/>
      <c r="C268" s="4"/>
      <c r="D268" s="4"/>
      <c r="E268" s="4"/>
      <c r="F268" s="4"/>
      <c r="G268" s="4"/>
      <c r="H268" s="4"/>
      <c r="I268" s="4"/>
    </row>
    <row r="269" spans="1:9" ht="15.9" x14ac:dyDescent="0.4">
      <c r="A269" s="4"/>
      <c r="B269" s="4"/>
      <c r="C269" s="4"/>
      <c r="D269" s="4"/>
      <c r="E269" s="4"/>
      <c r="F269" s="4"/>
      <c r="G269" s="4"/>
      <c r="H269" s="4"/>
      <c r="I269" s="4"/>
    </row>
    <row r="270" spans="1:9" ht="15.9" x14ac:dyDescent="0.4">
      <c r="A270" s="4"/>
      <c r="B270" s="4"/>
      <c r="C270" s="4"/>
      <c r="D270" s="4"/>
      <c r="E270" s="4"/>
      <c r="F270" s="4"/>
      <c r="G270" s="4"/>
      <c r="H270" s="4"/>
      <c r="I270" s="4"/>
    </row>
    <row r="271" spans="1:9" ht="15.9" x14ac:dyDescent="0.4">
      <c r="A271" s="4"/>
      <c r="B271" s="4"/>
      <c r="C271" s="4"/>
      <c r="D271" s="4"/>
      <c r="E271" s="4"/>
      <c r="F271" s="4"/>
      <c r="G271" s="4"/>
      <c r="H271" s="4"/>
      <c r="I271" s="4"/>
    </row>
    <row r="272" spans="1:9" ht="15.9" x14ac:dyDescent="0.4">
      <c r="A272" s="4"/>
      <c r="B272" s="4"/>
      <c r="C272" s="4"/>
      <c r="D272" s="4"/>
      <c r="E272" s="4"/>
      <c r="F272" s="4"/>
      <c r="G272" s="4"/>
      <c r="H272" s="4"/>
      <c r="I272" s="4"/>
    </row>
    <row r="273" spans="1:9" ht="15.9" x14ac:dyDescent="0.4">
      <c r="A273" s="4"/>
      <c r="B273" s="4"/>
      <c r="C273" s="4"/>
      <c r="D273" s="4"/>
      <c r="E273" s="4"/>
      <c r="F273" s="4"/>
      <c r="G273" s="4"/>
      <c r="H273" s="4"/>
      <c r="I273" s="4"/>
    </row>
    <row r="274" spans="1:9" ht="15.9" x14ac:dyDescent="0.4">
      <c r="A274" s="4"/>
      <c r="B274" s="4"/>
      <c r="C274" s="4"/>
      <c r="D274" s="4"/>
      <c r="E274" s="4"/>
      <c r="F274" s="4"/>
      <c r="G274" s="4"/>
      <c r="H274" s="4"/>
      <c r="I274" s="4"/>
    </row>
    <row r="275" spans="1:9" ht="15.9" x14ac:dyDescent="0.4">
      <c r="A275" s="4"/>
      <c r="B275" s="4"/>
      <c r="C275" s="4"/>
      <c r="D275" s="4"/>
      <c r="E275" s="4"/>
      <c r="F275" s="4"/>
      <c r="G275" s="4"/>
      <c r="H275" s="4"/>
      <c r="I275" s="4"/>
    </row>
    <row r="276" spans="1:9" ht="15.9" x14ac:dyDescent="0.4">
      <c r="A276" s="4"/>
      <c r="B276" s="4"/>
      <c r="C276" s="4"/>
      <c r="D276" s="4"/>
      <c r="E276" s="4"/>
      <c r="F276" s="4"/>
      <c r="G276" s="4"/>
      <c r="H276" s="4"/>
      <c r="I276" s="4"/>
    </row>
    <row r="277" spans="1:9" ht="15.9" x14ac:dyDescent="0.4">
      <c r="A277" s="4"/>
      <c r="B277" s="4"/>
      <c r="C277" s="4"/>
      <c r="D277" s="4"/>
      <c r="E277" s="4"/>
      <c r="F277" s="4"/>
      <c r="G277" s="4"/>
      <c r="H277" s="4"/>
      <c r="I277" s="4"/>
    </row>
    <row r="278" spans="1:9" ht="15.9" x14ac:dyDescent="0.4">
      <c r="A278" s="4"/>
      <c r="B278" s="4"/>
      <c r="C278" s="4"/>
      <c r="D278" s="4"/>
      <c r="E278" s="4"/>
      <c r="F278" s="4"/>
      <c r="G278" s="4"/>
      <c r="H278" s="4"/>
      <c r="I278" s="4"/>
    </row>
    <row r="279" spans="1:9" ht="15.9" x14ac:dyDescent="0.4">
      <c r="A279" s="4"/>
      <c r="B279" s="4"/>
      <c r="C279" s="4"/>
      <c r="D279" s="4"/>
      <c r="E279" s="4"/>
      <c r="F279" s="4"/>
      <c r="G279" s="4"/>
      <c r="H279" s="4"/>
      <c r="I279" s="4"/>
    </row>
    <row r="280" spans="1:9" ht="15.9" x14ac:dyDescent="0.4">
      <c r="A280" s="4"/>
      <c r="B280" s="4"/>
      <c r="C280" s="4"/>
      <c r="D280" s="4"/>
      <c r="E280" s="4"/>
      <c r="F280" s="4"/>
      <c r="G280" s="4"/>
      <c r="H280" s="4"/>
      <c r="I280" s="4"/>
    </row>
    <row r="281" spans="1:9" ht="15.9" x14ac:dyDescent="0.4">
      <c r="A281" s="4"/>
      <c r="B281" s="4"/>
      <c r="C281" s="4"/>
      <c r="D281" s="4"/>
      <c r="E281" s="4"/>
      <c r="F281" s="4"/>
      <c r="G281" s="4"/>
      <c r="H281" s="4"/>
      <c r="I281" s="4"/>
    </row>
    <row r="282" spans="1:9" ht="15.9" x14ac:dyDescent="0.4">
      <c r="A282" s="4"/>
      <c r="B282" s="4"/>
      <c r="C282" s="4"/>
      <c r="D282" s="4"/>
      <c r="E282" s="4"/>
      <c r="F282" s="4"/>
      <c r="G282" s="4"/>
      <c r="H282" s="4"/>
      <c r="I282" s="4"/>
    </row>
    <row r="283" spans="1:9" ht="15.9" x14ac:dyDescent="0.4">
      <c r="A283" s="4"/>
      <c r="B283" s="4"/>
      <c r="C283" s="4"/>
      <c r="D283" s="4"/>
      <c r="E283" s="4"/>
      <c r="F283" s="4"/>
      <c r="G283" s="4"/>
      <c r="H283" s="4"/>
      <c r="I283" s="4"/>
    </row>
    <row r="284" spans="1:9" ht="15.9" x14ac:dyDescent="0.4">
      <c r="A284" s="4"/>
      <c r="B284" s="4"/>
      <c r="C284" s="4"/>
      <c r="D284" s="4"/>
      <c r="E284" s="4"/>
      <c r="F284" s="4"/>
      <c r="G284" s="4"/>
      <c r="H284" s="4"/>
      <c r="I284" s="4"/>
    </row>
    <row r="285" spans="1:9" ht="15.9" x14ac:dyDescent="0.4">
      <c r="A285" s="4"/>
      <c r="B285" s="4"/>
      <c r="C285" s="4"/>
      <c r="D285" s="4"/>
      <c r="E285" s="4"/>
      <c r="F285" s="4"/>
      <c r="G285" s="4"/>
      <c r="H285" s="4"/>
      <c r="I285" s="4"/>
    </row>
    <row r="286" spans="1:9" ht="15.9" x14ac:dyDescent="0.4">
      <c r="A286" s="4"/>
      <c r="B286" s="4"/>
      <c r="C286" s="4"/>
      <c r="D286" s="4"/>
      <c r="E286" s="4"/>
      <c r="F286" s="4"/>
      <c r="G286" s="4"/>
      <c r="H286" s="4"/>
      <c r="I286" s="4"/>
    </row>
    <row r="287" spans="1:9" ht="15.9" x14ac:dyDescent="0.4">
      <c r="A287" s="4"/>
      <c r="B287" s="4"/>
      <c r="C287" s="4"/>
      <c r="D287" s="4"/>
      <c r="E287" s="4"/>
      <c r="F287" s="4"/>
      <c r="G287" s="4"/>
      <c r="H287" s="4"/>
      <c r="I287" s="4"/>
    </row>
    <row r="288" spans="1:9" ht="15.9" x14ac:dyDescent="0.4">
      <c r="A288" s="4"/>
      <c r="B288" s="4"/>
      <c r="C288" s="4"/>
      <c r="D288" s="4"/>
      <c r="E288" s="4"/>
      <c r="F288" s="4"/>
      <c r="G288" s="4"/>
      <c r="H288" s="4"/>
      <c r="I288" s="4"/>
    </row>
    <row r="289" spans="1:9" ht="15.9" x14ac:dyDescent="0.4">
      <c r="A289" s="4"/>
      <c r="B289" s="4"/>
      <c r="C289" s="4"/>
      <c r="D289" s="4"/>
      <c r="E289" s="4"/>
      <c r="F289" s="4"/>
      <c r="G289" s="4"/>
      <c r="H289" s="4"/>
      <c r="I289" s="4"/>
    </row>
    <row r="290" spans="1:9" ht="15.9" x14ac:dyDescent="0.4">
      <c r="A290" s="4"/>
      <c r="B290" s="4"/>
      <c r="C290" s="4"/>
      <c r="D290" s="4"/>
      <c r="E290" s="4"/>
      <c r="F290" s="4"/>
      <c r="G290" s="4"/>
      <c r="H290" s="4"/>
      <c r="I290" s="4"/>
    </row>
    <row r="291" spans="1:9" ht="15.9" x14ac:dyDescent="0.4">
      <c r="A291" s="4"/>
      <c r="B291" s="4"/>
      <c r="C291" s="4"/>
      <c r="D291" s="4"/>
      <c r="E291" s="4"/>
      <c r="F291" s="4"/>
      <c r="G291" s="4"/>
      <c r="H291" s="4"/>
      <c r="I291" s="4"/>
    </row>
    <row r="292" spans="1:9" ht="15.9" x14ac:dyDescent="0.4">
      <c r="A292" s="4"/>
      <c r="B292" s="4"/>
      <c r="C292" s="4"/>
      <c r="D292" s="4"/>
      <c r="E292" s="4"/>
      <c r="F292" s="4"/>
      <c r="G292" s="4"/>
      <c r="H292" s="4"/>
      <c r="I292" s="4"/>
    </row>
    <row r="293" spans="1:9" ht="15.9" x14ac:dyDescent="0.4">
      <c r="A293" s="4"/>
      <c r="B293" s="4"/>
      <c r="C293" s="4"/>
      <c r="D293" s="4"/>
      <c r="E293" s="4"/>
      <c r="F293" s="4"/>
      <c r="G293" s="4"/>
      <c r="H293" s="4"/>
      <c r="I293" s="4"/>
    </row>
    <row r="294" spans="1:9" ht="15.9" x14ac:dyDescent="0.4">
      <c r="A294" s="4"/>
      <c r="B294" s="4"/>
      <c r="C294" s="4"/>
      <c r="D294" s="4"/>
      <c r="E294" s="4"/>
      <c r="F294" s="4"/>
      <c r="G294" s="4"/>
      <c r="H294" s="4"/>
      <c r="I294" s="4"/>
    </row>
    <row r="295" spans="1:9" ht="15.9" x14ac:dyDescent="0.4">
      <c r="A295" s="4"/>
      <c r="B295" s="4"/>
      <c r="C295" s="4"/>
      <c r="D295" s="4"/>
      <c r="E295" s="4"/>
      <c r="F295" s="4"/>
      <c r="G295" s="4"/>
      <c r="H295" s="4"/>
      <c r="I295" s="4"/>
    </row>
    <row r="296" spans="1:9" ht="15.9" x14ac:dyDescent="0.4">
      <c r="A296" s="4"/>
      <c r="B296" s="4"/>
      <c r="C296" s="4"/>
      <c r="D296" s="4"/>
      <c r="E296" s="4"/>
      <c r="F296" s="4"/>
      <c r="G296" s="4"/>
      <c r="H296" s="4"/>
      <c r="I296" s="4"/>
    </row>
    <row r="297" spans="1:9" ht="15.9" x14ac:dyDescent="0.4">
      <c r="A297" s="4"/>
      <c r="B297" s="4"/>
      <c r="C297" s="4"/>
      <c r="D297" s="4"/>
      <c r="E297" s="4"/>
      <c r="F297" s="4"/>
      <c r="G297" s="4"/>
      <c r="H297" s="4"/>
      <c r="I297" s="4"/>
    </row>
    <row r="298" spans="1:9" ht="15.9" x14ac:dyDescent="0.4">
      <c r="A298" s="4"/>
      <c r="B298" s="4"/>
      <c r="C298" s="4"/>
      <c r="D298" s="4"/>
      <c r="E298" s="4"/>
      <c r="F298" s="4"/>
      <c r="G298" s="4"/>
      <c r="H298" s="4"/>
      <c r="I298" s="4"/>
    </row>
    <row r="299" spans="1:9" ht="15.9" x14ac:dyDescent="0.4">
      <c r="A299" s="4"/>
      <c r="B299" s="4"/>
      <c r="C299" s="4"/>
      <c r="D299" s="4"/>
      <c r="E299" s="4"/>
      <c r="F299" s="4"/>
      <c r="G299" s="4"/>
      <c r="H299" s="4"/>
      <c r="I299" s="4"/>
    </row>
    <row r="300" spans="1:9" ht="15.9" x14ac:dyDescent="0.4">
      <c r="A300" s="4"/>
      <c r="B300" s="4"/>
      <c r="C300" s="4"/>
      <c r="D300" s="4"/>
      <c r="E300" s="4"/>
      <c r="F300" s="4"/>
      <c r="G300" s="4"/>
      <c r="H300" s="4"/>
      <c r="I300" s="4"/>
    </row>
    <row r="301" spans="1:9" ht="15.9" x14ac:dyDescent="0.4">
      <c r="A301" s="4"/>
      <c r="B301" s="4"/>
      <c r="C301" s="4"/>
      <c r="D301" s="4"/>
      <c r="E301" s="4"/>
      <c r="F301" s="4"/>
      <c r="G301" s="4"/>
      <c r="H301" s="4"/>
      <c r="I301" s="4"/>
    </row>
    <row r="302" spans="1:9" ht="15.9" x14ac:dyDescent="0.4">
      <c r="A302" s="4"/>
      <c r="B302" s="4"/>
      <c r="C302" s="4"/>
      <c r="D302" s="4"/>
      <c r="E302" s="4"/>
      <c r="F302" s="4"/>
      <c r="G302" s="4"/>
      <c r="H302" s="4"/>
      <c r="I302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A1D9E-F866-43D4-B4CD-F93527079BCC}">
  <dimension ref="A1:I305"/>
  <sheetViews>
    <sheetView topLeftCell="A165" workbookViewId="0">
      <selection activeCell="A171" sqref="A171:A172"/>
    </sheetView>
  </sheetViews>
  <sheetFormatPr defaultRowHeight="14.6" x14ac:dyDescent="0.4"/>
  <cols>
    <col min="1" max="1" width="16.53515625" customWidth="1"/>
    <col min="2" max="2" width="37.84375" customWidth="1"/>
    <col min="3" max="3" width="40.69140625" customWidth="1"/>
    <col min="4" max="4" width="14" customWidth="1"/>
    <col min="5" max="5" width="17.15234375" customWidth="1"/>
    <col min="6" max="6" width="26" customWidth="1"/>
    <col min="7" max="7" width="20.3828125" customWidth="1"/>
    <col min="8" max="8" width="13.53515625" customWidth="1"/>
    <col min="9" max="9" width="37.3828125" customWidth="1"/>
  </cols>
  <sheetData>
    <row r="1" spans="1:9" s="2" customFormat="1" ht="18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11" customFormat="1" ht="18" customHeight="1" x14ac:dyDescent="0.45">
      <c r="A2" s="3">
        <v>45931</v>
      </c>
      <c r="B2" s="4" t="s">
        <v>1875</v>
      </c>
      <c r="C2" s="4" t="s">
        <v>1696</v>
      </c>
      <c r="D2" s="4">
        <v>23100</v>
      </c>
      <c r="E2" s="4">
        <v>21</v>
      </c>
      <c r="F2" s="4" t="s">
        <v>15</v>
      </c>
      <c r="G2" s="4" t="s">
        <v>25</v>
      </c>
      <c r="H2" s="5">
        <v>1950</v>
      </c>
      <c r="I2" s="4"/>
    </row>
    <row r="3" spans="1:9" ht="15.9" x14ac:dyDescent="0.4">
      <c r="A3" s="3">
        <v>45931</v>
      </c>
      <c r="B3" s="4" t="s">
        <v>1876</v>
      </c>
      <c r="C3" s="4" t="s">
        <v>1877</v>
      </c>
      <c r="D3" s="4">
        <v>22410</v>
      </c>
      <c r="E3" s="4">
        <v>27</v>
      </c>
      <c r="F3" s="4" t="s">
        <v>11</v>
      </c>
      <c r="G3" s="4" t="s">
        <v>19</v>
      </c>
      <c r="H3" s="5">
        <v>1530</v>
      </c>
      <c r="I3" s="4"/>
    </row>
    <row r="4" spans="1:9" ht="15.9" x14ac:dyDescent="0.4">
      <c r="A4" s="3">
        <v>45931</v>
      </c>
      <c r="B4" s="4" t="s">
        <v>1876</v>
      </c>
      <c r="C4" s="4" t="s">
        <v>1878</v>
      </c>
      <c r="D4" s="4">
        <v>36015</v>
      </c>
      <c r="E4" s="4">
        <v>49</v>
      </c>
      <c r="F4" s="4" t="s">
        <v>11</v>
      </c>
      <c r="G4" s="4" t="s">
        <v>19</v>
      </c>
      <c r="H4" s="5">
        <v>1530</v>
      </c>
      <c r="I4" s="4"/>
    </row>
    <row r="5" spans="1:9" ht="15.9" x14ac:dyDescent="0.4">
      <c r="A5" s="3">
        <v>45931</v>
      </c>
      <c r="B5" s="4" t="s">
        <v>1879</v>
      </c>
      <c r="C5" s="4" t="s">
        <v>1880</v>
      </c>
      <c r="D5" s="4">
        <v>2313</v>
      </c>
      <c r="E5" s="4">
        <v>3</v>
      </c>
      <c r="F5" s="4" t="s">
        <v>35</v>
      </c>
      <c r="G5" s="4" t="s">
        <v>161</v>
      </c>
      <c r="H5" s="5">
        <v>253.28</v>
      </c>
      <c r="I5" s="4"/>
    </row>
    <row r="6" spans="1:9" ht="15.9" x14ac:dyDescent="0.4">
      <c r="A6" s="3">
        <v>45931</v>
      </c>
      <c r="B6" s="4" t="s">
        <v>1881</v>
      </c>
      <c r="C6" s="4" t="s">
        <v>1882</v>
      </c>
      <c r="D6" s="4">
        <v>20817</v>
      </c>
      <c r="E6" s="4">
        <v>27</v>
      </c>
      <c r="F6" s="4" t="s">
        <v>15</v>
      </c>
      <c r="G6" s="4" t="s">
        <v>1571</v>
      </c>
      <c r="H6" s="5">
        <v>2700</v>
      </c>
      <c r="I6" s="4"/>
    </row>
    <row r="7" spans="1:9" ht="15.9" x14ac:dyDescent="0.4">
      <c r="A7" s="3">
        <v>45931</v>
      </c>
      <c r="B7" s="4" t="s">
        <v>1883</v>
      </c>
      <c r="C7" s="4" t="s">
        <v>1884</v>
      </c>
      <c r="D7" s="4">
        <v>32340</v>
      </c>
      <c r="E7" s="4">
        <v>44</v>
      </c>
      <c r="F7" s="4" t="s">
        <v>11</v>
      </c>
      <c r="G7" s="4" t="s">
        <v>19</v>
      </c>
      <c r="H7" s="5">
        <v>1250</v>
      </c>
      <c r="I7" s="4"/>
    </row>
    <row r="8" spans="1:9" ht="15.9" x14ac:dyDescent="0.4">
      <c r="A8" s="3">
        <v>45931</v>
      </c>
      <c r="B8" s="4" t="s">
        <v>1883</v>
      </c>
      <c r="C8" s="4" t="s">
        <v>1885</v>
      </c>
      <c r="D8" s="4">
        <v>22359</v>
      </c>
      <c r="E8" s="4">
        <v>39</v>
      </c>
      <c r="F8" s="4" t="s">
        <v>11</v>
      </c>
      <c r="G8" s="4" t="s">
        <v>19</v>
      </c>
      <c r="H8" s="5">
        <v>1250</v>
      </c>
      <c r="I8" s="4"/>
    </row>
    <row r="9" spans="1:9" ht="15.9" x14ac:dyDescent="0.4">
      <c r="A9" s="3">
        <v>45931</v>
      </c>
      <c r="B9" s="4" t="s">
        <v>52</v>
      </c>
      <c r="C9" s="4" t="s">
        <v>1886</v>
      </c>
      <c r="D9" s="4">
        <v>41800</v>
      </c>
      <c r="E9" s="4">
        <v>44</v>
      </c>
      <c r="F9" s="4" t="s">
        <v>15</v>
      </c>
      <c r="G9" s="4" t="s">
        <v>25</v>
      </c>
      <c r="H9" s="5">
        <v>2950</v>
      </c>
      <c r="I9" s="4"/>
    </row>
    <row r="10" spans="1:9" ht="15.9" x14ac:dyDescent="0.4">
      <c r="A10" s="3">
        <v>45931</v>
      </c>
      <c r="B10" s="4" t="s">
        <v>692</v>
      </c>
      <c r="C10" s="4" t="s">
        <v>1887</v>
      </c>
      <c r="D10" s="4">
        <v>15523</v>
      </c>
      <c r="E10" s="4">
        <v>19</v>
      </c>
      <c r="F10" s="4" t="s">
        <v>11</v>
      </c>
      <c r="G10" s="4" t="s">
        <v>19</v>
      </c>
      <c r="H10" s="5">
        <v>3080</v>
      </c>
      <c r="I10" s="4"/>
    </row>
    <row r="11" spans="1:9" ht="15.9" x14ac:dyDescent="0.4">
      <c r="A11" s="3">
        <v>45931</v>
      </c>
      <c r="B11" s="4" t="s">
        <v>52</v>
      </c>
      <c r="C11" s="4" t="s">
        <v>1888</v>
      </c>
      <c r="D11" s="4">
        <v>25052</v>
      </c>
      <c r="E11" s="4">
        <v>27</v>
      </c>
      <c r="F11" s="4" t="s">
        <v>15</v>
      </c>
      <c r="G11" s="4" t="s">
        <v>25</v>
      </c>
      <c r="H11" s="5">
        <v>2950</v>
      </c>
      <c r="I11" s="4"/>
    </row>
    <row r="12" spans="1:9" ht="15.9" x14ac:dyDescent="0.4">
      <c r="A12" s="3">
        <v>45931</v>
      </c>
      <c r="B12" s="4" t="s">
        <v>153</v>
      </c>
      <c r="C12" s="4" t="s">
        <v>1889</v>
      </c>
      <c r="D12" s="4">
        <v>21508</v>
      </c>
      <c r="E12" s="4">
        <v>28</v>
      </c>
      <c r="F12" s="4" t="s">
        <v>15</v>
      </c>
      <c r="G12" s="4" t="s">
        <v>12</v>
      </c>
      <c r="H12" s="5"/>
      <c r="I12" s="4"/>
    </row>
    <row r="13" spans="1:9" ht="15.9" x14ac:dyDescent="0.4">
      <c r="A13" s="3">
        <v>45932</v>
      </c>
      <c r="B13" s="4" t="s">
        <v>207</v>
      </c>
      <c r="C13" s="4" t="s">
        <v>1890</v>
      </c>
      <c r="D13" s="4">
        <v>37008</v>
      </c>
      <c r="E13" s="4">
        <v>48</v>
      </c>
      <c r="F13" s="4" t="s">
        <v>11</v>
      </c>
      <c r="G13" s="4" t="s">
        <v>19</v>
      </c>
      <c r="H13" s="5">
        <v>1250</v>
      </c>
      <c r="I13" s="4"/>
    </row>
    <row r="14" spans="1:9" ht="15.9" x14ac:dyDescent="0.4">
      <c r="A14" s="3">
        <v>45932</v>
      </c>
      <c r="B14" s="4" t="s">
        <v>875</v>
      </c>
      <c r="C14" s="4" t="s">
        <v>1737</v>
      </c>
      <c r="D14" s="4">
        <v>23901</v>
      </c>
      <c r="E14" s="4">
        <v>31</v>
      </c>
      <c r="F14" s="4" t="s">
        <v>11</v>
      </c>
      <c r="G14" s="4" t="s">
        <v>19</v>
      </c>
      <c r="H14" s="5">
        <v>2400</v>
      </c>
      <c r="I14" s="4"/>
    </row>
    <row r="15" spans="1:9" ht="15.9" x14ac:dyDescent="0.4">
      <c r="A15" s="3">
        <v>45933</v>
      </c>
      <c r="B15" s="4" t="s">
        <v>1664</v>
      </c>
      <c r="C15" s="4" t="s">
        <v>1891</v>
      </c>
      <c r="D15" s="4">
        <v>35466</v>
      </c>
      <c r="E15" s="4">
        <v>46</v>
      </c>
      <c r="F15" s="4" t="s">
        <v>15</v>
      </c>
      <c r="G15" s="4" t="s">
        <v>25</v>
      </c>
      <c r="H15" s="5">
        <v>3400</v>
      </c>
      <c r="I15" s="4"/>
    </row>
    <row r="16" spans="1:9" ht="15.9" x14ac:dyDescent="0.4">
      <c r="A16" s="3">
        <v>45933</v>
      </c>
      <c r="B16" s="4" t="s">
        <v>1915</v>
      </c>
      <c r="C16" s="4" t="s">
        <v>1892</v>
      </c>
      <c r="D16" s="4">
        <v>38280</v>
      </c>
      <c r="E16" s="4">
        <v>44</v>
      </c>
      <c r="F16" s="4" t="s">
        <v>11</v>
      </c>
      <c r="G16" s="4" t="s">
        <v>19</v>
      </c>
      <c r="H16" s="5">
        <v>1500</v>
      </c>
      <c r="I16" s="4"/>
    </row>
    <row r="17" spans="1:9" ht="15.9" x14ac:dyDescent="0.4">
      <c r="A17" s="3">
        <v>45933</v>
      </c>
      <c r="B17" s="4" t="s">
        <v>875</v>
      </c>
      <c r="C17" s="4" t="s">
        <v>1893</v>
      </c>
      <c r="D17" s="4">
        <v>39216</v>
      </c>
      <c r="E17" s="4">
        <v>48</v>
      </c>
      <c r="F17" s="4" t="s">
        <v>11</v>
      </c>
      <c r="G17" s="4" t="s">
        <v>19</v>
      </c>
      <c r="H17" s="5">
        <v>2400</v>
      </c>
      <c r="I17" s="4"/>
    </row>
    <row r="18" spans="1:9" ht="15.9" x14ac:dyDescent="0.4">
      <c r="A18" s="3">
        <v>45937</v>
      </c>
      <c r="B18" s="4" t="s">
        <v>191</v>
      </c>
      <c r="C18" s="4" t="s">
        <v>1894</v>
      </c>
      <c r="D18" s="4">
        <v>41760</v>
      </c>
      <c r="E18" s="4">
        <v>48</v>
      </c>
      <c r="F18" s="4" t="s">
        <v>15</v>
      </c>
      <c r="G18" s="4" t="s">
        <v>25</v>
      </c>
      <c r="H18" s="5">
        <v>2400</v>
      </c>
      <c r="I18" s="4"/>
    </row>
    <row r="19" spans="1:9" ht="15.9" x14ac:dyDescent="0.4">
      <c r="A19" s="3">
        <v>45937</v>
      </c>
      <c r="B19" s="4" t="s">
        <v>1050</v>
      </c>
      <c r="C19" s="4" t="s">
        <v>1895</v>
      </c>
      <c r="D19" s="4">
        <v>11760</v>
      </c>
      <c r="E19" s="4">
        <v>16</v>
      </c>
      <c r="F19" s="4" t="s">
        <v>11</v>
      </c>
      <c r="G19" s="4" t="s">
        <v>1571</v>
      </c>
      <c r="H19" s="5">
        <v>2600</v>
      </c>
      <c r="I19" s="4"/>
    </row>
    <row r="20" spans="1:9" ht="15.9" x14ac:dyDescent="0.4">
      <c r="A20" s="3">
        <v>45937</v>
      </c>
      <c r="B20" s="4" t="s">
        <v>719</v>
      </c>
      <c r="C20" s="4" t="s">
        <v>1896</v>
      </c>
      <c r="D20" s="4">
        <v>38460</v>
      </c>
      <c r="E20" s="4">
        <v>40</v>
      </c>
      <c r="F20" s="4" t="s">
        <v>11</v>
      </c>
      <c r="G20" s="4" t="s">
        <v>25</v>
      </c>
      <c r="H20" s="5">
        <v>1350</v>
      </c>
      <c r="I20" s="4"/>
    </row>
    <row r="21" spans="1:9" ht="15.9" x14ac:dyDescent="0.4">
      <c r="A21" s="3">
        <v>45937</v>
      </c>
      <c r="B21" s="4" t="s">
        <v>1897</v>
      </c>
      <c r="C21" s="4" t="s">
        <v>1898</v>
      </c>
      <c r="D21" s="4">
        <v>2680</v>
      </c>
      <c r="E21" s="4">
        <v>4</v>
      </c>
      <c r="F21" s="4" t="s">
        <v>35</v>
      </c>
      <c r="G21" s="4" t="s">
        <v>161</v>
      </c>
      <c r="H21" s="5">
        <v>415.77</v>
      </c>
      <c r="I21" s="4"/>
    </row>
    <row r="22" spans="1:9" ht="15.9" x14ac:dyDescent="0.4">
      <c r="A22" s="3">
        <v>45937</v>
      </c>
      <c r="B22" s="4" t="s">
        <v>13</v>
      </c>
      <c r="C22" s="4" t="s">
        <v>1830</v>
      </c>
      <c r="D22" s="4">
        <v>14790</v>
      </c>
      <c r="E22" s="4">
        <v>17</v>
      </c>
      <c r="F22" s="4" t="s">
        <v>15</v>
      </c>
      <c r="G22" s="4" t="s">
        <v>1571</v>
      </c>
      <c r="H22" s="5">
        <v>1500</v>
      </c>
      <c r="I22" s="4"/>
    </row>
    <row r="23" spans="1:9" ht="15.9" x14ac:dyDescent="0.4">
      <c r="A23" s="3">
        <v>45937</v>
      </c>
      <c r="B23" s="4" t="s">
        <v>191</v>
      </c>
      <c r="C23" s="4" t="s">
        <v>1899</v>
      </c>
      <c r="D23" s="4">
        <v>41760</v>
      </c>
      <c r="E23" s="4">
        <v>48</v>
      </c>
      <c r="F23" s="4" t="s">
        <v>15</v>
      </c>
      <c r="G23" s="4" t="s">
        <v>25</v>
      </c>
      <c r="H23" s="5">
        <v>2400</v>
      </c>
      <c r="I23" s="4"/>
    </row>
    <row r="24" spans="1:9" ht="15.9" x14ac:dyDescent="0.4">
      <c r="A24" s="3">
        <v>45937</v>
      </c>
      <c r="B24" s="4" t="s">
        <v>1373</v>
      </c>
      <c r="C24" s="4" t="s">
        <v>1900</v>
      </c>
      <c r="D24" s="4">
        <v>870</v>
      </c>
      <c r="E24" s="4">
        <v>1</v>
      </c>
      <c r="F24" s="4" t="s">
        <v>35</v>
      </c>
      <c r="G24" s="4" t="s">
        <v>161</v>
      </c>
      <c r="H24" s="5">
        <v>298.39999999999998</v>
      </c>
      <c r="I24" s="4"/>
    </row>
    <row r="25" spans="1:9" ht="15.9" x14ac:dyDescent="0.4">
      <c r="A25" s="3">
        <v>45938</v>
      </c>
      <c r="B25" s="4" t="s">
        <v>191</v>
      </c>
      <c r="C25" s="4" t="s">
        <v>1901</v>
      </c>
      <c r="D25" s="4">
        <v>23490</v>
      </c>
      <c r="E25" s="4">
        <v>27</v>
      </c>
      <c r="F25" s="4" t="s">
        <v>15</v>
      </c>
      <c r="G25" s="4" t="s">
        <v>25</v>
      </c>
      <c r="H25" s="5">
        <v>2400</v>
      </c>
      <c r="I25" s="4"/>
    </row>
    <row r="26" spans="1:9" ht="15.9" x14ac:dyDescent="0.4">
      <c r="A26" s="3">
        <v>45938</v>
      </c>
      <c r="B26" s="4" t="s">
        <v>191</v>
      </c>
      <c r="C26" s="6" t="s">
        <v>1902</v>
      </c>
      <c r="D26" s="4">
        <v>41760</v>
      </c>
      <c r="E26" s="4">
        <v>48</v>
      </c>
      <c r="F26" s="4" t="s">
        <v>15</v>
      </c>
      <c r="G26" s="4" t="s">
        <v>25</v>
      </c>
      <c r="H26" s="5">
        <v>2400</v>
      </c>
      <c r="I26" s="4"/>
    </row>
    <row r="27" spans="1:9" ht="15.9" x14ac:dyDescent="0.4">
      <c r="A27" s="3">
        <v>45938</v>
      </c>
      <c r="B27" s="4" t="s">
        <v>113</v>
      </c>
      <c r="C27" s="4" t="s">
        <v>1691</v>
      </c>
      <c r="D27" s="4">
        <v>41760</v>
      </c>
      <c r="E27" s="4">
        <v>48</v>
      </c>
      <c r="F27" s="4" t="s">
        <v>11</v>
      </c>
      <c r="G27" s="4" t="s">
        <v>19</v>
      </c>
      <c r="H27" s="5">
        <v>1850</v>
      </c>
      <c r="I27" s="4"/>
    </row>
    <row r="28" spans="1:9" ht="15.9" x14ac:dyDescent="0.4">
      <c r="A28" s="3">
        <v>45938</v>
      </c>
      <c r="B28" s="4" t="s">
        <v>113</v>
      </c>
      <c r="C28" s="4" t="s">
        <v>1692</v>
      </c>
      <c r="D28" s="4">
        <v>41760</v>
      </c>
      <c r="E28" s="4">
        <v>48</v>
      </c>
      <c r="F28" s="4" t="s">
        <v>11</v>
      </c>
      <c r="G28" s="4" t="s">
        <v>19</v>
      </c>
      <c r="H28" s="5">
        <v>1850</v>
      </c>
      <c r="I28" s="4"/>
    </row>
    <row r="29" spans="1:9" ht="15.9" x14ac:dyDescent="0.4">
      <c r="A29" s="3">
        <v>45938</v>
      </c>
      <c r="B29" s="4" t="s">
        <v>875</v>
      </c>
      <c r="C29" s="4" t="s">
        <v>1903</v>
      </c>
      <c r="D29" s="4">
        <v>30340</v>
      </c>
      <c r="E29" s="4">
        <v>37</v>
      </c>
      <c r="F29" s="4" t="s">
        <v>11</v>
      </c>
      <c r="G29" s="4" t="s">
        <v>19</v>
      </c>
      <c r="H29" s="5">
        <v>2400</v>
      </c>
      <c r="I29" s="4"/>
    </row>
    <row r="30" spans="1:9" ht="15.9" x14ac:dyDescent="0.4">
      <c r="A30" s="3">
        <v>45938</v>
      </c>
      <c r="B30" s="4" t="s">
        <v>191</v>
      </c>
      <c r="C30" s="4" t="s">
        <v>1904</v>
      </c>
      <c r="D30" s="4">
        <v>41760</v>
      </c>
      <c r="E30" s="4">
        <v>48</v>
      </c>
      <c r="F30" s="4" t="s">
        <v>15</v>
      </c>
      <c r="G30" s="4" t="s">
        <v>25</v>
      </c>
      <c r="H30" s="5">
        <v>2400</v>
      </c>
      <c r="I30" s="4"/>
    </row>
    <row r="31" spans="1:9" ht="15.9" x14ac:dyDescent="0.4">
      <c r="A31" s="3">
        <v>45939</v>
      </c>
      <c r="B31" s="4" t="s">
        <v>113</v>
      </c>
      <c r="C31" s="4" t="s">
        <v>1702</v>
      </c>
      <c r="D31" s="4">
        <v>41760</v>
      </c>
      <c r="E31" s="4">
        <v>48</v>
      </c>
      <c r="F31" s="4" t="s">
        <v>11</v>
      </c>
      <c r="G31" s="4" t="s">
        <v>19</v>
      </c>
      <c r="H31" s="5">
        <v>1850</v>
      </c>
      <c r="I31" s="4"/>
    </row>
    <row r="32" spans="1:9" ht="15.9" x14ac:dyDescent="0.4">
      <c r="A32" s="3">
        <v>45939</v>
      </c>
      <c r="B32" s="4" t="s">
        <v>113</v>
      </c>
      <c r="C32" s="4" t="s">
        <v>1693</v>
      </c>
      <c r="D32" s="4">
        <v>41760</v>
      </c>
      <c r="E32" s="4">
        <v>48</v>
      </c>
      <c r="F32" s="4" t="s">
        <v>11</v>
      </c>
      <c r="G32" s="4" t="s">
        <v>19</v>
      </c>
      <c r="H32" s="5">
        <v>1850</v>
      </c>
      <c r="I32" s="4"/>
    </row>
    <row r="33" spans="1:9" ht="15.9" x14ac:dyDescent="0.4">
      <c r="A33" s="3">
        <v>45939</v>
      </c>
      <c r="B33" s="4" t="s">
        <v>875</v>
      </c>
      <c r="C33" s="4" t="s">
        <v>1905</v>
      </c>
      <c r="D33" s="4">
        <v>39360</v>
      </c>
      <c r="E33" s="4">
        <v>48</v>
      </c>
      <c r="F33" s="4" t="s">
        <v>11</v>
      </c>
      <c r="G33" s="4" t="s">
        <v>19</v>
      </c>
      <c r="H33" s="5">
        <v>2400</v>
      </c>
      <c r="I33" s="4"/>
    </row>
    <row r="34" spans="1:9" ht="15.9" x14ac:dyDescent="0.4">
      <c r="A34" s="3">
        <v>45939</v>
      </c>
      <c r="B34" s="4" t="s">
        <v>1906</v>
      </c>
      <c r="C34" s="4" t="s">
        <v>1907</v>
      </c>
      <c r="D34" s="4">
        <v>24080</v>
      </c>
      <c r="E34" s="4">
        <v>28</v>
      </c>
      <c r="F34" s="4" t="s">
        <v>11</v>
      </c>
      <c r="G34" s="4" t="s">
        <v>25</v>
      </c>
      <c r="H34" s="5">
        <v>2600</v>
      </c>
      <c r="I34" s="4" t="s">
        <v>1908</v>
      </c>
    </row>
    <row r="35" spans="1:9" ht="15.9" x14ac:dyDescent="0.4">
      <c r="A35" s="3">
        <v>45939</v>
      </c>
      <c r="B35" s="4" t="s">
        <v>1911</v>
      </c>
      <c r="C35" s="4" t="s">
        <v>1912</v>
      </c>
      <c r="D35" s="4">
        <v>41760</v>
      </c>
      <c r="E35" s="4">
        <v>48</v>
      </c>
      <c r="F35" s="4" t="s">
        <v>11</v>
      </c>
      <c r="G35" s="4" t="s">
        <v>25</v>
      </c>
      <c r="H35" s="5">
        <v>2900</v>
      </c>
      <c r="I35" s="4"/>
    </row>
    <row r="36" spans="1:9" ht="15.9" x14ac:dyDescent="0.4">
      <c r="A36" s="3">
        <v>45939</v>
      </c>
      <c r="B36" s="4" t="s">
        <v>1911</v>
      </c>
      <c r="C36" s="4" t="s">
        <v>1913</v>
      </c>
      <c r="D36" s="4">
        <v>41760</v>
      </c>
      <c r="E36" s="4">
        <v>48</v>
      </c>
      <c r="F36" s="4" t="s">
        <v>11</v>
      </c>
      <c r="G36" s="4" t="s">
        <v>25</v>
      </c>
      <c r="H36" s="5">
        <v>2900</v>
      </c>
      <c r="I36" s="4"/>
    </row>
    <row r="37" spans="1:9" ht="15.9" x14ac:dyDescent="0.4">
      <c r="A37" s="3">
        <v>45939</v>
      </c>
      <c r="B37" s="4" t="s">
        <v>1911</v>
      </c>
      <c r="C37" s="4" t="s">
        <v>1914</v>
      </c>
      <c r="D37" s="4">
        <v>41760</v>
      </c>
      <c r="E37" s="4">
        <v>48</v>
      </c>
      <c r="F37" s="4" t="s">
        <v>11</v>
      </c>
      <c r="G37" s="4" t="s">
        <v>25</v>
      </c>
      <c r="H37" s="5">
        <v>2900</v>
      </c>
      <c r="I37" s="4"/>
    </row>
    <row r="38" spans="1:9" ht="15.9" x14ac:dyDescent="0.4">
      <c r="A38" s="3">
        <v>45940</v>
      </c>
      <c r="B38" s="4" t="s">
        <v>927</v>
      </c>
      <c r="C38" s="4" t="s">
        <v>1909</v>
      </c>
      <c r="D38" s="4">
        <v>36080</v>
      </c>
      <c r="E38" s="4">
        <v>44</v>
      </c>
      <c r="F38" s="4" t="s">
        <v>11</v>
      </c>
      <c r="G38" s="4" t="s">
        <v>25</v>
      </c>
      <c r="H38" s="5">
        <v>4900</v>
      </c>
      <c r="I38" s="4"/>
    </row>
    <row r="39" spans="1:9" ht="15.9" x14ac:dyDescent="0.4">
      <c r="A39" s="3">
        <v>45940</v>
      </c>
      <c r="B39" s="4" t="s">
        <v>927</v>
      </c>
      <c r="C39" s="4" t="s">
        <v>1910</v>
      </c>
      <c r="D39" s="4">
        <v>34997</v>
      </c>
      <c r="E39" s="4">
        <v>45</v>
      </c>
      <c r="F39" s="4" t="s">
        <v>11</v>
      </c>
      <c r="G39" s="4" t="s">
        <v>25</v>
      </c>
      <c r="H39" s="5">
        <v>4900</v>
      </c>
      <c r="I39" s="4"/>
    </row>
    <row r="40" spans="1:9" ht="15.9" x14ac:dyDescent="0.4">
      <c r="A40" s="3">
        <v>45943</v>
      </c>
      <c r="B40" s="4" t="s">
        <v>52</v>
      </c>
      <c r="C40" s="4" t="s">
        <v>1916</v>
      </c>
      <c r="D40" s="4">
        <v>39360</v>
      </c>
      <c r="E40" s="4">
        <v>48</v>
      </c>
      <c r="F40" s="4" t="s">
        <v>15</v>
      </c>
      <c r="G40" s="4" t="s">
        <v>25</v>
      </c>
      <c r="H40" s="5">
        <v>2950</v>
      </c>
      <c r="I40" s="4"/>
    </row>
    <row r="41" spans="1:9" ht="15.9" x14ac:dyDescent="0.4">
      <c r="A41" s="3">
        <v>45943</v>
      </c>
      <c r="B41" s="4" t="s">
        <v>775</v>
      </c>
      <c r="C41" s="4" t="s">
        <v>1917</v>
      </c>
      <c r="D41" s="4">
        <v>1720</v>
      </c>
      <c r="E41" s="4">
        <v>2</v>
      </c>
      <c r="F41" s="4" t="s">
        <v>35</v>
      </c>
      <c r="G41" s="4" t="s">
        <v>161</v>
      </c>
      <c r="H41" s="5">
        <v>329.42</v>
      </c>
      <c r="I41" s="4"/>
    </row>
    <row r="42" spans="1:9" ht="15.9" x14ac:dyDescent="0.4">
      <c r="A42" s="3">
        <v>45943</v>
      </c>
      <c r="B42" s="4" t="s">
        <v>1311</v>
      </c>
      <c r="C42" s="4" t="s">
        <v>1918</v>
      </c>
      <c r="D42" s="4">
        <v>1720</v>
      </c>
      <c r="E42" s="4">
        <v>2</v>
      </c>
      <c r="F42" s="4" t="s">
        <v>35</v>
      </c>
      <c r="G42" s="4" t="s">
        <v>161</v>
      </c>
      <c r="H42" s="5">
        <v>278.38</v>
      </c>
      <c r="I42" s="4"/>
    </row>
    <row r="43" spans="1:9" ht="15.9" x14ac:dyDescent="0.4">
      <c r="A43" s="3">
        <v>45943</v>
      </c>
      <c r="B43" s="4" t="s">
        <v>1919</v>
      </c>
      <c r="C43" s="4" t="s">
        <v>1920</v>
      </c>
      <c r="D43" s="4">
        <v>6960</v>
      </c>
      <c r="E43" s="4">
        <v>8</v>
      </c>
      <c r="F43" s="4" t="s">
        <v>1378</v>
      </c>
      <c r="G43" s="4" t="s">
        <v>19</v>
      </c>
      <c r="H43" s="5">
        <v>875</v>
      </c>
      <c r="I43" s="4"/>
    </row>
    <row r="44" spans="1:9" ht="15.9" x14ac:dyDescent="0.4">
      <c r="A44" s="3">
        <v>45943</v>
      </c>
      <c r="B44" s="4" t="s">
        <v>1500</v>
      </c>
      <c r="C44" s="4" t="s">
        <v>1921</v>
      </c>
      <c r="D44" s="4">
        <v>820</v>
      </c>
      <c r="E44" s="4">
        <v>1</v>
      </c>
      <c r="F44" s="4" t="s">
        <v>35</v>
      </c>
      <c r="G44" s="4" t="s">
        <v>161</v>
      </c>
      <c r="H44" s="5">
        <v>297.33999999999997</v>
      </c>
      <c r="I44" s="4"/>
    </row>
    <row r="45" spans="1:9" ht="15.9" x14ac:dyDescent="0.4">
      <c r="A45" s="3">
        <v>45943</v>
      </c>
      <c r="B45" s="4" t="s">
        <v>1860</v>
      </c>
      <c r="C45" s="4" t="s">
        <v>1861</v>
      </c>
      <c r="D45" s="4">
        <v>575</v>
      </c>
      <c r="E45" s="4">
        <v>1</v>
      </c>
      <c r="F45" s="4" t="s">
        <v>35</v>
      </c>
      <c r="G45" s="4" t="s">
        <v>161</v>
      </c>
      <c r="H45" s="5">
        <v>234.18</v>
      </c>
      <c r="I45" s="4"/>
    </row>
    <row r="46" spans="1:9" ht="15.9" x14ac:dyDescent="0.4">
      <c r="A46" s="3">
        <v>45943</v>
      </c>
      <c r="B46" s="4" t="s">
        <v>52</v>
      </c>
      <c r="C46" s="4" t="s">
        <v>1922</v>
      </c>
      <c r="D46" s="4">
        <v>39360</v>
      </c>
      <c r="E46" s="4">
        <v>48</v>
      </c>
      <c r="F46" s="4" t="s">
        <v>15</v>
      </c>
      <c r="G46" s="4" t="s">
        <v>25</v>
      </c>
      <c r="H46" s="5">
        <v>2950</v>
      </c>
      <c r="I46" s="4"/>
    </row>
    <row r="47" spans="1:9" ht="15.9" x14ac:dyDescent="0.4">
      <c r="A47" s="3">
        <v>45943</v>
      </c>
      <c r="B47" s="4" t="s">
        <v>349</v>
      </c>
      <c r="C47" s="4" t="s">
        <v>1923</v>
      </c>
      <c r="D47" s="4">
        <v>37840</v>
      </c>
      <c r="E47" s="4">
        <v>44</v>
      </c>
      <c r="F47" s="4" t="s">
        <v>15</v>
      </c>
      <c r="G47" s="4" t="s">
        <v>1571</v>
      </c>
      <c r="H47" s="5">
        <v>1600</v>
      </c>
      <c r="I47" s="6"/>
    </row>
    <row r="48" spans="1:9" ht="15.9" x14ac:dyDescent="0.4">
      <c r="A48" s="3">
        <v>45943</v>
      </c>
      <c r="B48" s="4" t="s">
        <v>38</v>
      </c>
      <c r="C48" s="4" t="s">
        <v>1924</v>
      </c>
      <c r="D48" s="4">
        <v>21750</v>
      </c>
      <c r="E48" s="4">
        <v>25</v>
      </c>
      <c r="F48" s="4" t="s">
        <v>15</v>
      </c>
      <c r="G48" s="4" t="s">
        <v>19</v>
      </c>
      <c r="H48" s="5">
        <v>3300</v>
      </c>
      <c r="I48" s="4"/>
    </row>
    <row r="49" spans="1:9" ht="15.9" x14ac:dyDescent="0.4">
      <c r="A49" s="3">
        <v>45943</v>
      </c>
      <c r="B49" s="4" t="s">
        <v>462</v>
      </c>
      <c r="C49" s="4" t="s">
        <v>1925</v>
      </c>
      <c r="D49" s="4">
        <v>14620</v>
      </c>
      <c r="E49" s="4">
        <v>17</v>
      </c>
      <c r="F49" s="4" t="s">
        <v>15</v>
      </c>
      <c r="G49" s="4" t="s">
        <v>19</v>
      </c>
      <c r="H49" s="5">
        <v>2480</v>
      </c>
      <c r="I49" s="4"/>
    </row>
    <row r="50" spans="1:9" ht="15.9" x14ac:dyDescent="0.4">
      <c r="A50" s="3">
        <v>45943</v>
      </c>
      <c r="B50" s="4" t="s">
        <v>168</v>
      </c>
      <c r="C50" s="4" t="s">
        <v>1926</v>
      </c>
      <c r="D50" s="4">
        <v>24940</v>
      </c>
      <c r="E50" s="4">
        <v>29</v>
      </c>
      <c r="F50" s="4" t="s">
        <v>15</v>
      </c>
      <c r="G50" s="4" t="s">
        <v>25</v>
      </c>
      <c r="H50" s="5">
        <v>2550</v>
      </c>
      <c r="I50" s="4"/>
    </row>
    <row r="51" spans="1:9" ht="15.9" x14ac:dyDescent="0.4">
      <c r="A51" s="3">
        <v>45943</v>
      </c>
      <c r="B51" s="4" t="s">
        <v>66</v>
      </c>
      <c r="C51" s="4" t="s">
        <v>1848</v>
      </c>
      <c r="D51" s="4">
        <v>11565</v>
      </c>
      <c r="E51" s="4">
        <v>15</v>
      </c>
      <c r="F51" s="4" t="s">
        <v>15</v>
      </c>
      <c r="G51" s="4" t="s">
        <v>1571</v>
      </c>
      <c r="H51" s="5">
        <v>3000</v>
      </c>
      <c r="I51" s="4"/>
    </row>
    <row r="52" spans="1:9" ht="15.9" x14ac:dyDescent="0.4">
      <c r="A52" s="3">
        <v>45943</v>
      </c>
      <c r="B52" s="4" t="s">
        <v>875</v>
      </c>
      <c r="C52" s="4" t="s">
        <v>1927</v>
      </c>
      <c r="D52" s="4">
        <v>29400</v>
      </c>
      <c r="E52" s="4">
        <v>40</v>
      </c>
      <c r="F52" s="4" t="s">
        <v>11</v>
      </c>
      <c r="G52" s="4" t="s">
        <v>19</v>
      </c>
      <c r="H52" s="5">
        <v>2400</v>
      </c>
      <c r="I52" s="4"/>
    </row>
    <row r="53" spans="1:9" ht="15.9" x14ac:dyDescent="0.4">
      <c r="A53" s="3">
        <v>45943</v>
      </c>
      <c r="B53" s="4" t="s">
        <v>875</v>
      </c>
      <c r="C53" s="4" t="s">
        <v>1928</v>
      </c>
      <c r="D53" s="4">
        <v>16370</v>
      </c>
      <c r="E53" s="4">
        <v>21</v>
      </c>
      <c r="F53" s="4" t="s">
        <v>11</v>
      </c>
      <c r="G53" s="4" t="s">
        <v>19</v>
      </c>
      <c r="H53" s="5">
        <v>2400</v>
      </c>
      <c r="I53" s="4"/>
    </row>
    <row r="54" spans="1:9" ht="15.9" x14ac:dyDescent="0.4">
      <c r="A54" s="3">
        <v>45943</v>
      </c>
      <c r="B54" s="4" t="s">
        <v>120</v>
      </c>
      <c r="C54" s="4" t="s">
        <v>1929</v>
      </c>
      <c r="D54" s="4">
        <v>15580</v>
      </c>
      <c r="E54" s="4">
        <v>19</v>
      </c>
      <c r="F54" s="4" t="s">
        <v>15</v>
      </c>
      <c r="G54" s="4" t="s">
        <v>25</v>
      </c>
      <c r="H54" s="5">
        <v>2800</v>
      </c>
      <c r="I54" s="4"/>
    </row>
    <row r="55" spans="1:9" ht="15.9" x14ac:dyDescent="0.4">
      <c r="A55" s="3">
        <v>45943</v>
      </c>
      <c r="B55" s="4" t="s">
        <v>168</v>
      </c>
      <c r="C55" s="4" t="s">
        <v>1930</v>
      </c>
      <c r="D55" s="4">
        <v>32340</v>
      </c>
      <c r="E55" s="4">
        <v>44</v>
      </c>
      <c r="F55" s="4" t="s">
        <v>15</v>
      </c>
      <c r="G55" s="4" t="s">
        <v>25</v>
      </c>
      <c r="H55" s="5">
        <v>2550</v>
      </c>
      <c r="I55" s="4"/>
    </row>
    <row r="56" spans="1:9" ht="15.9" x14ac:dyDescent="0.4">
      <c r="A56" s="3">
        <v>45944</v>
      </c>
      <c r="B56" s="4" t="s">
        <v>268</v>
      </c>
      <c r="C56" s="4" t="s">
        <v>1931</v>
      </c>
      <c r="D56" s="4">
        <v>29400</v>
      </c>
      <c r="E56" s="4">
        <v>40</v>
      </c>
      <c r="F56" s="4" t="s">
        <v>15</v>
      </c>
      <c r="G56" s="4" t="s">
        <v>25</v>
      </c>
      <c r="H56" s="5">
        <v>2550</v>
      </c>
      <c r="I56" s="4"/>
    </row>
    <row r="57" spans="1:9" ht="15.9" x14ac:dyDescent="0.4">
      <c r="A57" s="3">
        <v>45944</v>
      </c>
      <c r="B57" s="4" t="s">
        <v>1932</v>
      </c>
      <c r="C57" s="4" t="s">
        <v>1933</v>
      </c>
      <c r="D57" s="4">
        <v>3575</v>
      </c>
      <c r="E57" s="4">
        <v>5</v>
      </c>
      <c r="F57" s="4" t="s">
        <v>35</v>
      </c>
      <c r="G57" s="4" t="s">
        <v>161</v>
      </c>
      <c r="H57" s="5">
        <v>407.19</v>
      </c>
      <c r="I57" s="4"/>
    </row>
    <row r="58" spans="1:9" ht="15.9" x14ac:dyDescent="0.4">
      <c r="A58" s="3">
        <v>45944</v>
      </c>
      <c r="B58" s="4" t="s">
        <v>1934</v>
      </c>
      <c r="C58" s="4" t="s">
        <v>1935</v>
      </c>
      <c r="D58" s="4">
        <v>38720</v>
      </c>
      <c r="E58" s="4">
        <v>44</v>
      </c>
      <c r="F58" s="4" t="s">
        <v>11</v>
      </c>
      <c r="G58" s="4" t="s">
        <v>19</v>
      </c>
      <c r="H58" s="5">
        <v>3350</v>
      </c>
      <c r="I58" s="4"/>
    </row>
    <row r="59" spans="1:9" ht="15.9" x14ac:dyDescent="0.4">
      <c r="A59" s="3">
        <v>45944</v>
      </c>
      <c r="B59" s="4" t="s">
        <v>967</v>
      </c>
      <c r="C59" s="4" t="s">
        <v>1936</v>
      </c>
      <c r="D59" s="4">
        <v>32340</v>
      </c>
      <c r="E59" s="4">
        <v>44</v>
      </c>
      <c r="F59" s="4" t="s">
        <v>11</v>
      </c>
      <c r="G59" s="4" t="s">
        <v>12</v>
      </c>
      <c r="H59" s="5"/>
      <c r="I59" s="4"/>
    </row>
    <row r="60" spans="1:9" ht="15.9" x14ac:dyDescent="0.4">
      <c r="A60" s="3">
        <v>45944</v>
      </c>
      <c r="B60" s="4" t="s">
        <v>168</v>
      </c>
      <c r="C60" s="4" t="s">
        <v>1930</v>
      </c>
      <c r="D60" s="4">
        <v>29400</v>
      </c>
      <c r="E60" s="4">
        <v>40</v>
      </c>
      <c r="F60" s="4" t="s">
        <v>15</v>
      </c>
      <c r="G60" s="4" t="s">
        <v>25</v>
      </c>
      <c r="H60" s="5">
        <v>2550</v>
      </c>
      <c r="I60" s="4"/>
    </row>
    <row r="61" spans="1:9" ht="15.9" x14ac:dyDescent="0.4">
      <c r="A61" s="3">
        <v>45944</v>
      </c>
      <c r="B61" s="4" t="s">
        <v>207</v>
      </c>
      <c r="C61" s="4" t="s">
        <v>1937</v>
      </c>
      <c r="D61" s="4">
        <v>35280</v>
      </c>
      <c r="E61" s="4">
        <v>48</v>
      </c>
      <c r="F61" s="4" t="s">
        <v>11</v>
      </c>
      <c r="G61" s="4" t="s">
        <v>19</v>
      </c>
      <c r="H61" s="5">
        <v>1250</v>
      </c>
      <c r="I61" s="4"/>
    </row>
    <row r="62" spans="1:9" ht="15.9" x14ac:dyDescent="0.4">
      <c r="A62" s="3">
        <v>45944</v>
      </c>
      <c r="B62" s="4" t="s">
        <v>1911</v>
      </c>
      <c r="C62" s="4" t="s">
        <v>1913</v>
      </c>
      <c r="D62" s="4">
        <v>41760</v>
      </c>
      <c r="E62" s="4">
        <v>48</v>
      </c>
      <c r="F62" s="4" t="s">
        <v>15</v>
      </c>
      <c r="G62" s="4" t="s">
        <v>25</v>
      </c>
      <c r="H62" s="5">
        <v>2900</v>
      </c>
      <c r="I62" s="4"/>
    </row>
    <row r="63" spans="1:9" ht="15.9" x14ac:dyDescent="0.4">
      <c r="A63" s="3">
        <v>45944</v>
      </c>
      <c r="B63" s="4" t="s">
        <v>1721</v>
      </c>
      <c r="C63" s="4" t="s">
        <v>1938</v>
      </c>
      <c r="D63" s="4">
        <v>20758</v>
      </c>
      <c r="E63" s="4">
        <v>26</v>
      </c>
      <c r="F63" s="4" t="s">
        <v>15</v>
      </c>
      <c r="G63" s="4" t="s">
        <v>19</v>
      </c>
      <c r="H63" s="5">
        <v>2650</v>
      </c>
      <c r="I63" s="4"/>
    </row>
    <row r="64" spans="1:9" ht="15.9" x14ac:dyDescent="0.4">
      <c r="A64" s="3">
        <v>45944</v>
      </c>
      <c r="B64" s="4" t="s">
        <v>1915</v>
      </c>
      <c r="C64" s="4" t="s">
        <v>1863</v>
      </c>
      <c r="D64" s="4">
        <v>14335</v>
      </c>
      <c r="E64" s="4">
        <v>17</v>
      </c>
      <c r="F64" s="4" t="s">
        <v>11</v>
      </c>
      <c r="G64" s="4" t="s">
        <v>19</v>
      </c>
      <c r="H64" s="5">
        <v>1500</v>
      </c>
      <c r="I64" s="4"/>
    </row>
    <row r="65" spans="1:9" ht="15.9" x14ac:dyDescent="0.4">
      <c r="A65" s="3">
        <v>45945</v>
      </c>
      <c r="B65" s="4" t="s">
        <v>836</v>
      </c>
      <c r="C65" s="4" t="s">
        <v>1939</v>
      </c>
      <c r="D65" s="4">
        <v>8280</v>
      </c>
      <c r="E65" s="4">
        <v>9</v>
      </c>
      <c r="F65" s="4" t="s">
        <v>35</v>
      </c>
      <c r="G65" s="4" t="s">
        <v>1571</v>
      </c>
      <c r="H65" s="5">
        <v>1204</v>
      </c>
      <c r="I65" s="4"/>
    </row>
    <row r="66" spans="1:9" ht="15.9" x14ac:dyDescent="0.4">
      <c r="A66" s="3">
        <v>45945</v>
      </c>
      <c r="B66" s="4" t="s">
        <v>1257</v>
      </c>
      <c r="C66" s="4" t="s">
        <v>1940</v>
      </c>
      <c r="D66" s="4">
        <v>10440</v>
      </c>
      <c r="E66" s="4">
        <v>12</v>
      </c>
      <c r="F66" s="4" t="s">
        <v>35</v>
      </c>
      <c r="G66" s="4" t="s">
        <v>1571</v>
      </c>
      <c r="H66" s="5">
        <v>1454</v>
      </c>
      <c r="I66" s="4"/>
    </row>
    <row r="67" spans="1:9" ht="15.9" x14ac:dyDescent="0.4">
      <c r="A67" s="3">
        <v>45945</v>
      </c>
      <c r="B67" s="4" t="s">
        <v>967</v>
      </c>
      <c r="C67" s="4" t="s">
        <v>1941</v>
      </c>
      <c r="D67" s="4">
        <v>32340</v>
      </c>
      <c r="E67" s="4">
        <v>44</v>
      </c>
      <c r="F67" s="4" t="s">
        <v>11</v>
      </c>
      <c r="G67" s="4" t="s">
        <v>12</v>
      </c>
      <c r="H67" s="5"/>
      <c r="I67" s="4"/>
    </row>
    <row r="68" spans="1:9" ht="15.9" x14ac:dyDescent="0.4">
      <c r="A68" s="3">
        <v>45945</v>
      </c>
      <c r="B68" s="4" t="s">
        <v>1664</v>
      </c>
      <c r="C68" s="4" t="s">
        <v>1942</v>
      </c>
      <c r="D68" s="4">
        <v>24672</v>
      </c>
      <c r="E68" s="4">
        <v>32</v>
      </c>
      <c r="F68" s="4" t="s">
        <v>15</v>
      </c>
      <c r="G68" s="4" t="s">
        <v>19</v>
      </c>
      <c r="H68" s="5">
        <v>2550</v>
      </c>
      <c r="I68" s="4"/>
    </row>
    <row r="69" spans="1:9" ht="15.9" x14ac:dyDescent="0.4">
      <c r="A69" s="3">
        <v>45945</v>
      </c>
      <c r="B69" s="4" t="s">
        <v>1911</v>
      </c>
      <c r="C69" s="4" t="s">
        <v>1943</v>
      </c>
      <c r="D69" s="4">
        <v>12900</v>
      </c>
      <c r="E69" s="4">
        <v>15</v>
      </c>
      <c r="F69" s="4" t="s">
        <v>11</v>
      </c>
      <c r="G69" s="4" t="s">
        <v>25</v>
      </c>
      <c r="H69" s="5">
        <v>2900</v>
      </c>
      <c r="I69" s="4"/>
    </row>
    <row r="70" spans="1:9" ht="15.9" x14ac:dyDescent="0.4">
      <c r="A70" s="3">
        <v>45945</v>
      </c>
      <c r="B70" s="4" t="s">
        <v>52</v>
      </c>
      <c r="C70" s="4" t="s">
        <v>1944</v>
      </c>
      <c r="D70" s="4">
        <v>10660</v>
      </c>
      <c r="E70" s="4">
        <v>13</v>
      </c>
      <c r="F70" s="4" t="s">
        <v>35</v>
      </c>
      <c r="G70" s="4" t="s">
        <v>1571</v>
      </c>
      <c r="H70" s="5">
        <v>1390.76</v>
      </c>
      <c r="I70" s="4"/>
    </row>
    <row r="71" spans="1:9" ht="15.9" x14ac:dyDescent="0.4">
      <c r="A71" s="3">
        <v>45945</v>
      </c>
      <c r="B71" s="4" t="s">
        <v>268</v>
      </c>
      <c r="C71" s="4" t="s">
        <v>1945</v>
      </c>
      <c r="D71" s="4">
        <v>33924</v>
      </c>
      <c r="E71" s="4">
        <v>44</v>
      </c>
      <c r="F71" s="4" t="s">
        <v>15</v>
      </c>
      <c r="G71" s="4" t="s">
        <v>25</v>
      </c>
      <c r="H71" s="5">
        <v>2550</v>
      </c>
      <c r="I71" s="4"/>
    </row>
    <row r="72" spans="1:9" ht="15.9" x14ac:dyDescent="0.4">
      <c r="A72" s="3">
        <v>45945</v>
      </c>
      <c r="B72" s="4" t="s">
        <v>1934</v>
      </c>
      <c r="C72" s="4" t="s">
        <v>1946</v>
      </c>
      <c r="D72" s="4">
        <v>41280</v>
      </c>
      <c r="E72" s="4">
        <v>48</v>
      </c>
      <c r="F72" s="4" t="s">
        <v>11</v>
      </c>
      <c r="G72" s="4" t="s">
        <v>19</v>
      </c>
      <c r="H72" s="5">
        <v>3350</v>
      </c>
      <c r="I72" s="4"/>
    </row>
    <row r="73" spans="1:9" ht="15.9" x14ac:dyDescent="0.4">
      <c r="A73" s="3">
        <v>45945</v>
      </c>
      <c r="B73" s="4" t="s">
        <v>1366</v>
      </c>
      <c r="C73" s="4" t="s">
        <v>1947</v>
      </c>
      <c r="D73" s="4">
        <v>16191</v>
      </c>
      <c r="E73" s="4">
        <v>31</v>
      </c>
      <c r="F73" s="4" t="s">
        <v>15</v>
      </c>
      <c r="G73" s="4" t="s">
        <v>1571</v>
      </c>
      <c r="H73" s="5">
        <v>2400</v>
      </c>
      <c r="I73" s="4"/>
    </row>
    <row r="74" spans="1:9" ht="15.9" x14ac:dyDescent="0.4">
      <c r="A74" s="3">
        <v>45945</v>
      </c>
      <c r="B74" s="4" t="s">
        <v>1068</v>
      </c>
      <c r="C74" s="4" t="s">
        <v>1948</v>
      </c>
      <c r="D74" s="4">
        <v>36540</v>
      </c>
      <c r="E74" s="4">
        <v>42</v>
      </c>
      <c r="F74" s="4" t="s">
        <v>15</v>
      </c>
      <c r="G74" s="4" t="s">
        <v>19</v>
      </c>
      <c r="H74" s="5">
        <v>2700</v>
      </c>
      <c r="I74" s="4"/>
    </row>
    <row r="75" spans="1:9" ht="15.9" x14ac:dyDescent="0.4">
      <c r="A75" s="3">
        <v>45945</v>
      </c>
      <c r="B75" s="4" t="s">
        <v>1934</v>
      </c>
      <c r="C75" s="4" t="s">
        <v>1949</v>
      </c>
      <c r="D75" s="4">
        <v>41280</v>
      </c>
      <c r="E75" s="4">
        <v>48</v>
      </c>
      <c r="F75" s="4" t="s">
        <v>11</v>
      </c>
      <c r="G75" s="4" t="s">
        <v>19</v>
      </c>
      <c r="H75" s="5">
        <v>3350</v>
      </c>
      <c r="I75" s="4"/>
    </row>
    <row r="76" spans="1:9" ht="15.9" x14ac:dyDescent="0.4">
      <c r="A76" s="3">
        <v>45945</v>
      </c>
      <c r="B76" s="4" t="s">
        <v>967</v>
      </c>
      <c r="C76" s="4" t="s">
        <v>1950</v>
      </c>
      <c r="D76" s="4">
        <v>32340</v>
      </c>
      <c r="E76" s="4">
        <v>44</v>
      </c>
      <c r="F76" s="4" t="s">
        <v>11</v>
      </c>
      <c r="G76" s="4" t="s">
        <v>12</v>
      </c>
      <c r="H76" s="5"/>
      <c r="I76" s="4"/>
    </row>
    <row r="77" spans="1:9" ht="15.9" x14ac:dyDescent="0.4">
      <c r="A77" s="3">
        <v>45946</v>
      </c>
      <c r="B77" s="4" t="s">
        <v>207</v>
      </c>
      <c r="C77" s="4" t="s">
        <v>1951</v>
      </c>
      <c r="D77" s="4">
        <v>37008</v>
      </c>
      <c r="E77" s="4">
        <v>48</v>
      </c>
      <c r="F77" s="4" t="s">
        <v>11</v>
      </c>
      <c r="G77" s="4" t="s">
        <v>19</v>
      </c>
      <c r="H77" s="5">
        <v>1250</v>
      </c>
      <c r="I77" s="4"/>
    </row>
    <row r="78" spans="1:9" ht="15.9" x14ac:dyDescent="0.4">
      <c r="A78" s="3">
        <v>45946</v>
      </c>
      <c r="B78" s="4" t="s">
        <v>967</v>
      </c>
      <c r="C78" s="4" t="s">
        <v>1952</v>
      </c>
      <c r="D78" s="4">
        <v>39218</v>
      </c>
      <c r="E78" s="4">
        <v>48</v>
      </c>
      <c r="F78" s="4" t="s">
        <v>15</v>
      </c>
      <c r="G78" s="4" t="s">
        <v>12</v>
      </c>
      <c r="H78" s="5"/>
      <c r="I78" s="4"/>
    </row>
    <row r="79" spans="1:9" ht="15.9" x14ac:dyDescent="0.4">
      <c r="A79" s="3">
        <v>45946</v>
      </c>
      <c r="B79" s="4" t="s">
        <v>141</v>
      </c>
      <c r="C79" s="4" t="s">
        <v>1953</v>
      </c>
      <c r="D79" s="4">
        <v>41760</v>
      </c>
      <c r="E79" s="4">
        <v>48</v>
      </c>
      <c r="F79" s="4" t="s">
        <v>15</v>
      </c>
      <c r="G79" s="4" t="s">
        <v>25</v>
      </c>
      <c r="H79" s="5">
        <v>2400</v>
      </c>
      <c r="I79" s="4"/>
    </row>
    <row r="80" spans="1:9" ht="15.9" x14ac:dyDescent="0.4">
      <c r="A80" s="3">
        <v>45946</v>
      </c>
      <c r="B80" s="4" t="s">
        <v>191</v>
      </c>
      <c r="C80" s="4" t="s">
        <v>1954</v>
      </c>
      <c r="D80" s="4">
        <v>41760</v>
      </c>
      <c r="E80" s="4">
        <v>48</v>
      </c>
      <c r="F80" s="4" t="s">
        <v>15</v>
      </c>
      <c r="G80" s="4" t="s">
        <v>25</v>
      </c>
      <c r="H80" s="5">
        <v>2400</v>
      </c>
      <c r="I80" s="4"/>
    </row>
    <row r="81" spans="1:9" ht="15.9" x14ac:dyDescent="0.4">
      <c r="A81" s="3">
        <v>45946</v>
      </c>
      <c r="B81" s="4" t="s">
        <v>191</v>
      </c>
      <c r="C81" s="4" t="s">
        <v>1899</v>
      </c>
      <c r="D81" s="4">
        <v>41760</v>
      </c>
      <c r="E81" s="4">
        <v>48</v>
      </c>
      <c r="F81" s="4" t="s">
        <v>15</v>
      </c>
      <c r="G81" s="4" t="s">
        <v>25</v>
      </c>
      <c r="H81" s="5">
        <v>2400</v>
      </c>
      <c r="I81" s="4"/>
    </row>
    <row r="82" spans="1:9" ht="15.9" x14ac:dyDescent="0.4">
      <c r="A82" s="3">
        <v>45946</v>
      </c>
      <c r="B82" s="4" t="s">
        <v>191</v>
      </c>
      <c r="C82" s="4" t="s">
        <v>1955</v>
      </c>
      <c r="D82" s="4">
        <v>38475</v>
      </c>
      <c r="E82" s="4">
        <v>45</v>
      </c>
      <c r="F82" s="4" t="s">
        <v>15</v>
      </c>
      <c r="G82" s="4" t="s">
        <v>25</v>
      </c>
      <c r="H82" s="5">
        <v>2400</v>
      </c>
      <c r="I82" s="4"/>
    </row>
    <row r="83" spans="1:9" ht="15.9" x14ac:dyDescent="0.4">
      <c r="A83" s="3">
        <v>45947</v>
      </c>
      <c r="B83" s="4" t="s">
        <v>113</v>
      </c>
      <c r="C83" s="4" t="s">
        <v>1956</v>
      </c>
      <c r="D83" s="4">
        <v>43500</v>
      </c>
      <c r="E83" s="4">
        <v>50</v>
      </c>
      <c r="F83" s="4" t="s">
        <v>11</v>
      </c>
      <c r="G83" s="4" t="s">
        <v>19</v>
      </c>
      <c r="H83" s="5">
        <v>1850</v>
      </c>
      <c r="I83" s="4"/>
    </row>
    <row r="84" spans="1:9" ht="15.9" x14ac:dyDescent="0.4">
      <c r="A84" s="3">
        <v>45947</v>
      </c>
      <c r="B84" s="4" t="s">
        <v>191</v>
      </c>
      <c r="C84" s="4" t="s">
        <v>1894</v>
      </c>
      <c r="D84" s="4">
        <v>41760</v>
      </c>
      <c r="E84" s="4">
        <v>48</v>
      </c>
      <c r="F84" s="4" t="s">
        <v>15</v>
      </c>
      <c r="G84" s="4" t="s">
        <v>25</v>
      </c>
      <c r="H84" s="5">
        <v>2400</v>
      </c>
      <c r="I84" s="4"/>
    </row>
    <row r="85" spans="1:9" ht="15.9" x14ac:dyDescent="0.4">
      <c r="A85" s="3">
        <v>45947</v>
      </c>
      <c r="B85" s="4" t="s">
        <v>967</v>
      </c>
      <c r="C85" s="4" t="s">
        <v>1957</v>
      </c>
      <c r="D85" s="4">
        <v>39216</v>
      </c>
      <c r="E85" s="4">
        <v>48</v>
      </c>
      <c r="F85" s="4" t="s">
        <v>15</v>
      </c>
      <c r="G85" s="4" t="s">
        <v>12</v>
      </c>
      <c r="H85" s="5"/>
      <c r="I85" s="4"/>
    </row>
    <row r="86" spans="1:9" ht="15.9" x14ac:dyDescent="0.4">
      <c r="A86" s="3">
        <v>45947</v>
      </c>
      <c r="B86" s="4" t="s">
        <v>967</v>
      </c>
      <c r="C86" s="4" t="s">
        <v>1958</v>
      </c>
      <c r="D86" s="4">
        <v>39216</v>
      </c>
      <c r="E86" s="4">
        <v>48</v>
      </c>
      <c r="F86" s="4" t="s">
        <v>15</v>
      </c>
      <c r="G86" s="4" t="s">
        <v>12</v>
      </c>
      <c r="H86" s="5"/>
      <c r="I86" s="4"/>
    </row>
    <row r="87" spans="1:9" ht="15.9" x14ac:dyDescent="0.4">
      <c r="A87" s="3">
        <v>45947</v>
      </c>
      <c r="B87" s="4" t="s">
        <v>207</v>
      </c>
      <c r="C87" s="4" t="s">
        <v>1959</v>
      </c>
      <c r="D87" s="4">
        <v>37008</v>
      </c>
      <c r="E87" s="4">
        <v>48</v>
      </c>
      <c r="F87" s="4" t="s">
        <v>11</v>
      </c>
      <c r="G87" s="4" t="s">
        <v>19</v>
      </c>
      <c r="H87" s="5">
        <v>1250</v>
      </c>
      <c r="I87" s="4"/>
    </row>
    <row r="88" spans="1:9" ht="15.9" x14ac:dyDescent="0.4">
      <c r="A88" s="3">
        <v>45947</v>
      </c>
      <c r="B88" s="4" t="s">
        <v>967</v>
      </c>
      <c r="C88" s="4" t="s">
        <v>1960</v>
      </c>
      <c r="D88" s="4">
        <v>13878</v>
      </c>
      <c r="E88" s="4">
        <v>18</v>
      </c>
      <c r="F88" s="4" t="s">
        <v>15</v>
      </c>
      <c r="G88" s="4" t="s">
        <v>12</v>
      </c>
      <c r="H88" s="5"/>
      <c r="I88" s="4"/>
    </row>
    <row r="89" spans="1:9" ht="15.9" x14ac:dyDescent="0.4">
      <c r="A89" s="3">
        <v>45950</v>
      </c>
      <c r="B89" s="4" t="s">
        <v>795</v>
      </c>
      <c r="C89" s="4" t="s">
        <v>1961</v>
      </c>
      <c r="D89" s="4">
        <v>16530</v>
      </c>
      <c r="E89" s="4">
        <v>19</v>
      </c>
      <c r="F89" s="4" t="s">
        <v>15</v>
      </c>
      <c r="G89" s="4" t="s">
        <v>25</v>
      </c>
      <c r="H89" s="5">
        <v>2700</v>
      </c>
      <c r="I89" s="4"/>
    </row>
    <row r="90" spans="1:9" ht="15.9" x14ac:dyDescent="0.4">
      <c r="A90" s="3">
        <v>45950</v>
      </c>
      <c r="B90" s="4" t="s">
        <v>560</v>
      </c>
      <c r="C90" s="4" t="s">
        <v>1962</v>
      </c>
      <c r="D90" s="4">
        <v>7380</v>
      </c>
      <c r="E90" s="4">
        <v>9</v>
      </c>
      <c r="F90" s="4" t="s">
        <v>35</v>
      </c>
      <c r="G90" s="4" t="s">
        <v>1571</v>
      </c>
      <c r="H90" s="5">
        <v>646.41</v>
      </c>
      <c r="I90" s="4"/>
    </row>
    <row r="91" spans="1:9" ht="47.6" x14ac:dyDescent="0.4">
      <c r="A91" s="3">
        <v>45950</v>
      </c>
      <c r="B91" s="4" t="s">
        <v>1284</v>
      </c>
      <c r="C91" s="4" t="s">
        <v>1963</v>
      </c>
      <c r="D91" s="4">
        <v>40480</v>
      </c>
      <c r="E91" s="4">
        <v>44</v>
      </c>
      <c r="F91" s="4" t="s">
        <v>11</v>
      </c>
      <c r="G91" s="4" t="s">
        <v>25</v>
      </c>
      <c r="H91" s="5">
        <v>4000</v>
      </c>
      <c r="I91" s="6" t="s">
        <v>1964</v>
      </c>
    </row>
    <row r="92" spans="1:9" ht="47.6" x14ac:dyDescent="0.4">
      <c r="A92" s="3">
        <v>45950</v>
      </c>
      <c r="B92" s="4" t="s">
        <v>1284</v>
      </c>
      <c r="C92" s="4" t="s">
        <v>1963</v>
      </c>
      <c r="D92" s="4">
        <v>39216</v>
      </c>
      <c r="E92" s="4">
        <v>48</v>
      </c>
      <c r="F92" s="4" t="s">
        <v>11</v>
      </c>
      <c r="G92" s="4" t="s">
        <v>25</v>
      </c>
      <c r="H92" s="5">
        <v>4000</v>
      </c>
      <c r="I92" s="6" t="s">
        <v>1964</v>
      </c>
    </row>
    <row r="93" spans="1:9" ht="15.9" x14ac:dyDescent="0.4">
      <c r="A93" s="3">
        <v>45950</v>
      </c>
      <c r="B93" s="4" t="s">
        <v>795</v>
      </c>
      <c r="C93" s="4" t="s">
        <v>1965</v>
      </c>
      <c r="D93" s="4">
        <v>38280</v>
      </c>
      <c r="E93" s="4">
        <v>44</v>
      </c>
      <c r="F93" s="4" t="s">
        <v>15</v>
      </c>
      <c r="G93" s="4" t="s">
        <v>25</v>
      </c>
      <c r="H93" s="5">
        <v>2700</v>
      </c>
      <c r="I93" s="4"/>
    </row>
    <row r="94" spans="1:9" ht="47.6" x14ac:dyDescent="0.4">
      <c r="A94" s="3">
        <v>45950</v>
      </c>
      <c r="B94" s="4" t="s">
        <v>1284</v>
      </c>
      <c r="C94" s="4" t="s">
        <v>1963</v>
      </c>
      <c r="D94" s="4">
        <v>39216</v>
      </c>
      <c r="E94" s="4">
        <v>48</v>
      </c>
      <c r="F94" s="4" t="s">
        <v>11</v>
      </c>
      <c r="G94" s="4" t="s">
        <v>25</v>
      </c>
      <c r="H94" s="5"/>
      <c r="I94" s="6" t="s">
        <v>1964</v>
      </c>
    </row>
    <row r="95" spans="1:9" ht="15.9" x14ac:dyDescent="0.4">
      <c r="A95" s="3">
        <v>45950</v>
      </c>
      <c r="B95" s="4" t="s">
        <v>1966</v>
      </c>
      <c r="C95" s="4" t="s">
        <v>1967</v>
      </c>
      <c r="D95" s="4">
        <v>7710</v>
      </c>
      <c r="E95" s="4">
        <v>10</v>
      </c>
      <c r="F95" s="4" t="s">
        <v>35</v>
      </c>
      <c r="G95" s="4" t="s">
        <v>1571</v>
      </c>
      <c r="H95" s="5">
        <v>1858.39</v>
      </c>
      <c r="I95" s="4"/>
    </row>
    <row r="96" spans="1:9" ht="15.9" x14ac:dyDescent="0.4">
      <c r="A96" s="3">
        <v>45950</v>
      </c>
      <c r="B96" s="4" t="s">
        <v>1968</v>
      </c>
      <c r="C96" s="4" t="s">
        <v>1969</v>
      </c>
      <c r="D96" s="4">
        <v>40890</v>
      </c>
      <c r="E96" s="4">
        <v>47</v>
      </c>
      <c r="F96" s="4" t="s">
        <v>11</v>
      </c>
      <c r="G96" s="4" t="s">
        <v>19</v>
      </c>
      <c r="H96" s="5">
        <v>1150</v>
      </c>
      <c r="I96" s="4"/>
    </row>
    <row r="97" spans="1:9" ht="15.9" x14ac:dyDescent="0.4">
      <c r="A97" s="3">
        <v>45950</v>
      </c>
      <c r="B97" s="4" t="s">
        <v>103</v>
      </c>
      <c r="C97" s="4" t="s">
        <v>1970</v>
      </c>
      <c r="D97" s="4">
        <v>26144</v>
      </c>
      <c r="E97" s="4">
        <v>32</v>
      </c>
      <c r="F97" s="4" t="s">
        <v>11</v>
      </c>
      <c r="G97" s="4" t="s">
        <v>19</v>
      </c>
      <c r="H97" s="5">
        <v>2400</v>
      </c>
      <c r="I97" s="4"/>
    </row>
    <row r="98" spans="1:9" ht="47.6" x14ac:dyDescent="0.4">
      <c r="A98" s="3">
        <v>45951</v>
      </c>
      <c r="B98" s="4" t="s">
        <v>1284</v>
      </c>
      <c r="C98" s="4" t="s">
        <v>1963</v>
      </c>
      <c r="D98" s="4">
        <v>40480</v>
      </c>
      <c r="E98" s="4">
        <v>44</v>
      </c>
      <c r="F98" s="4" t="s">
        <v>11</v>
      </c>
      <c r="G98" s="4" t="s">
        <v>25</v>
      </c>
      <c r="H98" s="5">
        <v>4000</v>
      </c>
      <c r="I98" s="6" t="s">
        <v>1964</v>
      </c>
    </row>
    <row r="99" spans="1:9" ht="47.6" x14ac:dyDescent="0.4">
      <c r="A99" s="3">
        <v>45951</v>
      </c>
      <c r="B99" s="4" t="s">
        <v>1284</v>
      </c>
      <c r="C99" s="4" t="s">
        <v>1963</v>
      </c>
      <c r="D99" s="4">
        <v>40480</v>
      </c>
      <c r="E99" s="4">
        <v>44</v>
      </c>
      <c r="F99" s="4" t="s">
        <v>11</v>
      </c>
      <c r="G99" s="4" t="s">
        <v>25</v>
      </c>
      <c r="H99" s="5">
        <v>4000</v>
      </c>
      <c r="I99" s="6" t="s">
        <v>1964</v>
      </c>
    </row>
    <row r="100" spans="1:9" ht="47.6" x14ac:dyDescent="0.4">
      <c r="A100" s="3">
        <v>45951</v>
      </c>
      <c r="B100" s="4" t="s">
        <v>1284</v>
      </c>
      <c r="C100" s="4" t="s">
        <v>1963</v>
      </c>
      <c r="D100" s="4">
        <v>40480</v>
      </c>
      <c r="E100" s="4">
        <v>44</v>
      </c>
      <c r="F100" s="4" t="s">
        <v>11</v>
      </c>
      <c r="G100" s="4" t="s">
        <v>25</v>
      </c>
      <c r="H100" s="5">
        <v>4000</v>
      </c>
      <c r="I100" s="6" t="s">
        <v>1964</v>
      </c>
    </row>
    <row r="101" spans="1:9" ht="15.9" x14ac:dyDescent="0.4">
      <c r="A101" s="3">
        <v>45951</v>
      </c>
      <c r="B101" s="4" t="s">
        <v>1971</v>
      </c>
      <c r="C101" s="4" t="s">
        <v>1972</v>
      </c>
      <c r="D101" s="4">
        <v>9252</v>
      </c>
      <c r="E101" s="4">
        <v>12</v>
      </c>
      <c r="F101" s="4" t="s">
        <v>1973</v>
      </c>
      <c r="G101" s="4" t="s">
        <v>19</v>
      </c>
      <c r="H101" s="5">
        <v>2450</v>
      </c>
      <c r="I101" s="4"/>
    </row>
    <row r="102" spans="1:9" ht="15.9" x14ac:dyDescent="0.4">
      <c r="A102" s="3">
        <v>45951</v>
      </c>
      <c r="B102" s="4" t="s">
        <v>795</v>
      </c>
      <c r="C102" s="4" t="s">
        <v>1961</v>
      </c>
      <c r="D102" s="4">
        <v>41760</v>
      </c>
      <c r="E102" s="4">
        <v>48</v>
      </c>
      <c r="F102" s="4" t="s">
        <v>15</v>
      </c>
      <c r="G102" s="4" t="s">
        <v>25</v>
      </c>
      <c r="H102" s="5">
        <v>2700</v>
      </c>
      <c r="I102" s="4"/>
    </row>
    <row r="103" spans="1:9" ht="15.9" x14ac:dyDescent="0.4">
      <c r="A103" s="3">
        <v>45951</v>
      </c>
      <c r="B103" s="4" t="s">
        <v>1664</v>
      </c>
      <c r="C103" s="4" t="s">
        <v>1974</v>
      </c>
      <c r="D103" s="4">
        <v>35280</v>
      </c>
      <c r="E103" s="4">
        <v>48</v>
      </c>
      <c r="F103" s="4" t="s">
        <v>15</v>
      </c>
      <c r="G103" s="4" t="s">
        <v>19</v>
      </c>
      <c r="H103" s="5">
        <v>2550</v>
      </c>
      <c r="I103" s="4"/>
    </row>
    <row r="104" spans="1:9" ht="47.6" x14ac:dyDescent="0.4">
      <c r="A104" s="3">
        <v>45951</v>
      </c>
      <c r="B104" s="4" t="s">
        <v>1284</v>
      </c>
      <c r="C104" s="4" t="s">
        <v>1975</v>
      </c>
      <c r="D104" s="4">
        <v>44160</v>
      </c>
      <c r="E104" s="4">
        <v>48</v>
      </c>
      <c r="F104" s="4" t="s">
        <v>11</v>
      </c>
      <c r="G104" s="4" t="s">
        <v>25</v>
      </c>
      <c r="H104" s="5">
        <v>4000</v>
      </c>
      <c r="I104" s="6" t="s">
        <v>1964</v>
      </c>
    </row>
    <row r="105" spans="1:9" ht="47.6" x14ac:dyDescent="0.4">
      <c r="A105" s="3">
        <v>45951</v>
      </c>
      <c r="B105" s="4" t="s">
        <v>1284</v>
      </c>
      <c r="C105" s="4" t="s">
        <v>1963</v>
      </c>
      <c r="D105" s="4">
        <v>39216</v>
      </c>
      <c r="E105" s="4">
        <v>48</v>
      </c>
      <c r="F105" s="4" t="s">
        <v>11</v>
      </c>
      <c r="G105" s="4" t="s">
        <v>25</v>
      </c>
      <c r="H105" s="5">
        <v>4000</v>
      </c>
      <c r="I105" s="6" t="s">
        <v>1964</v>
      </c>
    </row>
    <row r="106" spans="1:9" ht="47.6" x14ac:dyDescent="0.4">
      <c r="A106" s="3">
        <v>45951</v>
      </c>
      <c r="B106" s="4" t="s">
        <v>1284</v>
      </c>
      <c r="C106" s="4" t="s">
        <v>1963</v>
      </c>
      <c r="D106" s="4">
        <v>39216</v>
      </c>
      <c r="E106" s="4">
        <v>48</v>
      </c>
      <c r="F106" s="4" t="s">
        <v>11</v>
      </c>
      <c r="G106" s="4" t="s">
        <v>25</v>
      </c>
      <c r="H106" s="5">
        <v>4000</v>
      </c>
      <c r="I106" s="6" t="s">
        <v>1964</v>
      </c>
    </row>
    <row r="107" spans="1:9" ht="47.6" x14ac:dyDescent="0.4">
      <c r="A107" s="3">
        <v>45951</v>
      </c>
      <c r="B107" s="4" t="s">
        <v>1284</v>
      </c>
      <c r="C107" s="4" t="s">
        <v>1975</v>
      </c>
      <c r="D107" s="4">
        <v>44160</v>
      </c>
      <c r="E107" s="4">
        <v>48</v>
      </c>
      <c r="F107" s="4" t="s">
        <v>11</v>
      </c>
      <c r="G107" s="4" t="s">
        <v>25</v>
      </c>
      <c r="H107" s="5">
        <v>4000</v>
      </c>
      <c r="I107" s="6" t="s">
        <v>1964</v>
      </c>
    </row>
    <row r="108" spans="1:9" ht="47.6" x14ac:dyDescent="0.4">
      <c r="A108" s="3">
        <v>45951</v>
      </c>
      <c r="B108" s="4" t="s">
        <v>1284</v>
      </c>
      <c r="C108" s="4" t="s">
        <v>1975</v>
      </c>
      <c r="D108" s="4">
        <v>44160</v>
      </c>
      <c r="E108" s="4">
        <v>48</v>
      </c>
      <c r="F108" s="4" t="s">
        <v>11</v>
      </c>
      <c r="G108" s="4" t="s">
        <v>25</v>
      </c>
      <c r="H108" s="5">
        <v>4000</v>
      </c>
      <c r="I108" s="6" t="s">
        <v>1964</v>
      </c>
    </row>
    <row r="109" spans="1:9" ht="47.6" x14ac:dyDescent="0.4">
      <c r="A109" s="3">
        <v>45951</v>
      </c>
      <c r="B109" s="4" t="s">
        <v>1284</v>
      </c>
      <c r="C109" s="4" t="s">
        <v>1963</v>
      </c>
      <c r="D109" s="4">
        <v>39216</v>
      </c>
      <c r="E109" s="4">
        <v>48</v>
      </c>
      <c r="F109" s="4" t="s">
        <v>11</v>
      </c>
      <c r="G109" s="4" t="s">
        <v>25</v>
      </c>
      <c r="H109" s="5">
        <v>4000</v>
      </c>
      <c r="I109" s="6" t="s">
        <v>1964</v>
      </c>
    </row>
    <row r="110" spans="1:9" ht="15.9" x14ac:dyDescent="0.4">
      <c r="A110" s="3">
        <v>45951</v>
      </c>
      <c r="B110" s="4" t="s">
        <v>17</v>
      </c>
      <c r="C110" s="4" t="s">
        <v>1976</v>
      </c>
      <c r="D110" s="4">
        <v>11565</v>
      </c>
      <c r="E110" s="4">
        <v>15</v>
      </c>
      <c r="F110" s="4" t="s">
        <v>15</v>
      </c>
      <c r="G110" s="4" t="s">
        <v>1571</v>
      </c>
      <c r="H110" s="5">
        <v>1600</v>
      </c>
      <c r="I110" s="4"/>
    </row>
    <row r="111" spans="1:9" ht="15.9" x14ac:dyDescent="0.4">
      <c r="A111" s="3">
        <v>45951</v>
      </c>
      <c r="B111" s="4" t="s">
        <v>120</v>
      </c>
      <c r="C111" s="4" t="s">
        <v>1977</v>
      </c>
      <c r="D111" s="4">
        <v>11760</v>
      </c>
      <c r="E111" s="4">
        <v>16</v>
      </c>
      <c r="F111" s="4" t="s">
        <v>15</v>
      </c>
      <c r="G111" s="4" t="s">
        <v>1571</v>
      </c>
      <c r="H111" s="5">
        <v>2000</v>
      </c>
      <c r="I111" s="4"/>
    </row>
    <row r="112" spans="1:9" ht="47.6" x14ac:dyDescent="0.4">
      <c r="A112" s="3">
        <v>45951</v>
      </c>
      <c r="B112" s="4" t="s">
        <v>1284</v>
      </c>
      <c r="C112" s="4" t="s">
        <v>1963</v>
      </c>
      <c r="D112" s="4">
        <v>40480</v>
      </c>
      <c r="E112" s="4">
        <v>44</v>
      </c>
      <c r="F112" s="4" t="s">
        <v>11</v>
      </c>
      <c r="G112" s="4" t="s">
        <v>25</v>
      </c>
      <c r="H112" s="5">
        <v>4000</v>
      </c>
      <c r="I112" s="6" t="s">
        <v>1964</v>
      </c>
    </row>
    <row r="113" spans="1:9" ht="47.6" x14ac:dyDescent="0.4">
      <c r="A113" s="3">
        <v>45952</v>
      </c>
      <c r="B113" s="4" t="s">
        <v>1284</v>
      </c>
      <c r="C113" s="4" t="s">
        <v>1963</v>
      </c>
      <c r="D113" s="4">
        <v>40480</v>
      </c>
      <c r="E113" s="4">
        <v>44</v>
      </c>
      <c r="F113" s="4" t="s">
        <v>11</v>
      </c>
      <c r="G113" s="4" t="s">
        <v>25</v>
      </c>
      <c r="H113" s="5">
        <v>4000</v>
      </c>
      <c r="I113" s="6" t="s">
        <v>1964</v>
      </c>
    </row>
    <row r="114" spans="1:9" ht="47.6" x14ac:dyDescent="0.4">
      <c r="A114" s="3">
        <v>45952</v>
      </c>
      <c r="B114" s="4" t="s">
        <v>1284</v>
      </c>
      <c r="C114" s="4" t="s">
        <v>1975</v>
      </c>
      <c r="D114" s="4">
        <v>44160</v>
      </c>
      <c r="E114" s="4">
        <v>48</v>
      </c>
      <c r="F114" s="4" t="s">
        <v>11</v>
      </c>
      <c r="G114" s="4" t="s">
        <v>25</v>
      </c>
      <c r="H114" s="5">
        <v>4000</v>
      </c>
      <c r="I114" s="6" t="s">
        <v>1964</v>
      </c>
    </row>
    <row r="115" spans="1:9" ht="15.9" x14ac:dyDescent="0.4">
      <c r="A115" s="3">
        <v>45952</v>
      </c>
      <c r="B115" s="4" t="s">
        <v>1971</v>
      </c>
      <c r="C115" s="4" t="s">
        <v>1978</v>
      </c>
      <c r="D115" s="4">
        <v>35280</v>
      </c>
      <c r="E115" s="4">
        <v>48</v>
      </c>
      <c r="F115" s="4" t="s">
        <v>11</v>
      </c>
      <c r="G115" s="4" t="s">
        <v>19</v>
      </c>
      <c r="H115" s="5">
        <v>4700</v>
      </c>
      <c r="I115" s="4"/>
    </row>
    <row r="116" spans="1:9" ht="15.9" x14ac:dyDescent="0.4">
      <c r="A116" s="3">
        <v>45952</v>
      </c>
      <c r="B116" s="4" t="s">
        <v>1766</v>
      </c>
      <c r="C116" s="4" t="s">
        <v>1979</v>
      </c>
      <c r="D116" s="4">
        <v>16278</v>
      </c>
      <c r="E116" s="4">
        <v>22</v>
      </c>
      <c r="F116" s="4" t="s">
        <v>15</v>
      </c>
      <c r="G116" s="4" t="s">
        <v>1571</v>
      </c>
      <c r="H116" s="5">
        <v>3600</v>
      </c>
      <c r="I116" s="4"/>
    </row>
    <row r="117" spans="1:9" ht="15.9" x14ac:dyDescent="0.4">
      <c r="A117" s="3">
        <v>45952</v>
      </c>
      <c r="B117" s="4" t="s">
        <v>150</v>
      </c>
      <c r="C117" s="4" t="s">
        <v>1980</v>
      </c>
      <c r="D117" s="4">
        <v>41280</v>
      </c>
      <c r="E117" s="4">
        <v>48</v>
      </c>
      <c r="F117" s="4" t="s">
        <v>15</v>
      </c>
      <c r="G117" s="4" t="s">
        <v>25</v>
      </c>
      <c r="H117" s="5">
        <v>3600</v>
      </c>
      <c r="I117" s="4"/>
    </row>
    <row r="118" spans="1:9" ht="15.9" x14ac:dyDescent="0.4">
      <c r="A118" s="3">
        <v>45952</v>
      </c>
      <c r="B118" s="4" t="s">
        <v>795</v>
      </c>
      <c r="C118" s="4" t="s">
        <v>1965</v>
      </c>
      <c r="D118" s="4">
        <v>41760</v>
      </c>
      <c r="E118" s="4">
        <v>48</v>
      </c>
      <c r="F118" s="4" t="s">
        <v>15</v>
      </c>
      <c r="G118" s="4" t="s">
        <v>25</v>
      </c>
      <c r="H118" s="5">
        <v>2700</v>
      </c>
      <c r="I118" s="4"/>
    </row>
    <row r="119" spans="1:9" ht="15.9" x14ac:dyDescent="0.4">
      <c r="A119" s="3">
        <v>45953</v>
      </c>
      <c r="B119" s="4" t="s">
        <v>795</v>
      </c>
      <c r="C119" s="4" t="s">
        <v>1961</v>
      </c>
      <c r="D119" s="4">
        <v>37840</v>
      </c>
      <c r="E119" s="4">
        <v>44</v>
      </c>
      <c r="F119" s="4" t="s">
        <v>15</v>
      </c>
      <c r="G119" s="4" t="s">
        <v>25</v>
      </c>
      <c r="H119" s="5">
        <v>2700</v>
      </c>
      <c r="I119" s="4"/>
    </row>
    <row r="120" spans="1:9" ht="15.9" x14ac:dyDescent="0.4">
      <c r="A120" s="3">
        <v>45953</v>
      </c>
      <c r="B120" s="4" t="s">
        <v>836</v>
      </c>
      <c r="C120" s="4" t="s">
        <v>1939</v>
      </c>
      <c r="D120" s="4">
        <v>8280</v>
      </c>
      <c r="E120" s="4">
        <v>9</v>
      </c>
      <c r="F120" s="4" t="s">
        <v>35</v>
      </c>
      <c r="G120" s="4" t="s">
        <v>1571</v>
      </c>
      <c r="H120" s="5">
        <v>1162.67</v>
      </c>
      <c r="I120" s="4"/>
    </row>
    <row r="121" spans="1:9" ht="15.9" x14ac:dyDescent="0.4">
      <c r="A121" s="3">
        <v>45953</v>
      </c>
      <c r="B121" s="4" t="s">
        <v>1003</v>
      </c>
      <c r="C121" s="4" t="s">
        <v>1981</v>
      </c>
      <c r="D121" s="4">
        <v>6650</v>
      </c>
      <c r="E121" s="4">
        <v>7</v>
      </c>
      <c r="F121" s="4" t="s">
        <v>35</v>
      </c>
      <c r="G121" s="4" t="s">
        <v>161</v>
      </c>
      <c r="H121" s="5">
        <v>464.45</v>
      </c>
      <c r="I121" s="4"/>
    </row>
    <row r="122" spans="1:9" ht="15.9" x14ac:dyDescent="0.4">
      <c r="A122" s="3">
        <v>45953</v>
      </c>
      <c r="B122" s="4" t="s">
        <v>153</v>
      </c>
      <c r="C122" s="4" t="s">
        <v>1982</v>
      </c>
      <c r="D122" s="4">
        <v>36822</v>
      </c>
      <c r="E122" s="4">
        <v>50</v>
      </c>
      <c r="F122" s="4" t="s">
        <v>15</v>
      </c>
      <c r="G122" s="4" t="s">
        <v>12</v>
      </c>
      <c r="H122" s="5"/>
      <c r="I122" s="4"/>
    </row>
    <row r="123" spans="1:9" ht="15.9" x14ac:dyDescent="0.4">
      <c r="A123" s="3">
        <v>45953</v>
      </c>
      <c r="B123" s="4" t="s">
        <v>66</v>
      </c>
      <c r="C123" s="4" t="s">
        <v>1983</v>
      </c>
      <c r="D123" s="4">
        <v>22953</v>
      </c>
      <c r="E123" s="4">
        <v>27</v>
      </c>
      <c r="F123" s="4" t="s">
        <v>11</v>
      </c>
      <c r="G123" s="4" t="s">
        <v>1571</v>
      </c>
      <c r="H123" s="5">
        <v>4200</v>
      </c>
      <c r="I123" s="4"/>
    </row>
    <row r="124" spans="1:9" ht="15.9" x14ac:dyDescent="0.4">
      <c r="A124" s="3">
        <v>45953</v>
      </c>
      <c r="B124" s="4" t="s">
        <v>1311</v>
      </c>
      <c r="C124" s="4" t="s">
        <v>1984</v>
      </c>
      <c r="D124" s="4">
        <v>41760</v>
      </c>
      <c r="E124" s="4">
        <v>48</v>
      </c>
      <c r="F124" s="4" t="s">
        <v>15</v>
      </c>
      <c r="G124" s="4" t="s">
        <v>19</v>
      </c>
      <c r="H124" s="5">
        <v>1275</v>
      </c>
      <c r="I124" s="4"/>
    </row>
    <row r="125" spans="1:9" ht="15.9" x14ac:dyDescent="0.4">
      <c r="A125" s="3">
        <v>45953</v>
      </c>
      <c r="B125" s="4" t="s">
        <v>1664</v>
      </c>
      <c r="C125" s="4" t="s">
        <v>1985</v>
      </c>
      <c r="D125" s="4">
        <v>19519</v>
      </c>
      <c r="E125" s="4">
        <v>25</v>
      </c>
      <c r="F125" s="4" t="s">
        <v>15</v>
      </c>
      <c r="G125" s="4" t="s">
        <v>19</v>
      </c>
      <c r="H125" s="5">
        <v>2550</v>
      </c>
      <c r="I125" s="4"/>
    </row>
    <row r="126" spans="1:9" ht="15.9" x14ac:dyDescent="0.4">
      <c r="A126" s="3">
        <v>45953</v>
      </c>
      <c r="B126" s="4" t="s">
        <v>1311</v>
      </c>
      <c r="C126" s="4" t="s">
        <v>1986</v>
      </c>
      <c r="D126" s="4">
        <v>20880</v>
      </c>
      <c r="E126" s="4">
        <v>24</v>
      </c>
      <c r="F126" s="4" t="s">
        <v>15</v>
      </c>
      <c r="G126" s="4" t="s">
        <v>19</v>
      </c>
      <c r="H126" s="5">
        <v>1275</v>
      </c>
      <c r="I126" s="4"/>
    </row>
    <row r="127" spans="1:9" ht="15.9" x14ac:dyDescent="0.4">
      <c r="A127" s="3">
        <v>45957</v>
      </c>
      <c r="B127" s="4" t="s">
        <v>1161</v>
      </c>
      <c r="C127" s="4" t="s">
        <v>1987</v>
      </c>
      <c r="D127" s="4">
        <v>32340</v>
      </c>
      <c r="E127" s="4">
        <v>44</v>
      </c>
      <c r="F127" s="4" t="s">
        <v>15</v>
      </c>
      <c r="G127" s="4" t="s">
        <v>25</v>
      </c>
      <c r="H127" s="5">
        <v>1500</v>
      </c>
      <c r="I127" s="4"/>
    </row>
    <row r="128" spans="1:9" ht="15.9" x14ac:dyDescent="0.4">
      <c r="A128" s="3">
        <v>45957</v>
      </c>
      <c r="B128" s="4" t="s">
        <v>795</v>
      </c>
      <c r="C128" s="4" t="s">
        <v>1988</v>
      </c>
      <c r="D128" s="4">
        <v>18270</v>
      </c>
      <c r="E128" s="4">
        <v>21</v>
      </c>
      <c r="F128" s="4" t="s">
        <v>15</v>
      </c>
      <c r="G128" s="4" t="s">
        <v>25</v>
      </c>
      <c r="H128" s="5">
        <v>2700</v>
      </c>
      <c r="I128" s="4"/>
    </row>
    <row r="129" spans="1:9" ht="15.9" x14ac:dyDescent="0.4">
      <c r="A129" s="3">
        <v>45957</v>
      </c>
      <c r="B129" s="4" t="s">
        <v>967</v>
      </c>
      <c r="C129" s="4" t="s">
        <v>1989</v>
      </c>
      <c r="D129" s="4">
        <v>41760</v>
      </c>
      <c r="E129" s="4">
        <v>48</v>
      </c>
      <c r="F129" s="4" t="s">
        <v>11</v>
      </c>
      <c r="G129" s="4" t="s">
        <v>12</v>
      </c>
      <c r="H129" s="4"/>
      <c r="I129" s="4"/>
    </row>
    <row r="130" spans="1:9" ht="15.9" x14ac:dyDescent="0.4">
      <c r="A130" s="3">
        <v>45957</v>
      </c>
      <c r="B130" s="4" t="s">
        <v>875</v>
      </c>
      <c r="C130" s="4" t="s">
        <v>1990</v>
      </c>
      <c r="D130" s="4">
        <v>36163</v>
      </c>
      <c r="E130" s="4">
        <v>45</v>
      </c>
      <c r="F130" s="4" t="s">
        <v>11</v>
      </c>
      <c r="G130" s="4" t="s">
        <v>19</v>
      </c>
      <c r="H130" s="5">
        <v>2400</v>
      </c>
      <c r="I130" s="4"/>
    </row>
    <row r="131" spans="1:9" ht="15.9" x14ac:dyDescent="0.4">
      <c r="A131" s="3">
        <v>45957</v>
      </c>
      <c r="B131" s="4" t="s">
        <v>52</v>
      </c>
      <c r="C131" s="4" t="s">
        <v>1991</v>
      </c>
      <c r="D131" s="4">
        <v>2220</v>
      </c>
      <c r="E131" s="4">
        <v>3</v>
      </c>
      <c r="F131" s="4" t="s">
        <v>35</v>
      </c>
      <c r="G131" s="4" t="s">
        <v>161</v>
      </c>
      <c r="H131" s="5">
        <v>385.66</v>
      </c>
      <c r="I131" s="4"/>
    </row>
    <row r="132" spans="1:9" ht="15.9" x14ac:dyDescent="0.4">
      <c r="A132" s="3">
        <v>45957</v>
      </c>
      <c r="B132" s="4" t="s">
        <v>967</v>
      </c>
      <c r="C132" s="4" t="s">
        <v>1992</v>
      </c>
      <c r="D132" s="4">
        <v>41760</v>
      </c>
      <c r="E132" s="4">
        <v>48</v>
      </c>
      <c r="F132" s="4" t="s">
        <v>11</v>
      </c>
      <c r="G132" s="4" t="s">
        <v>12</v>
      </c>
      <c r="H132" s="4"/>
      <c r="I132" s="4"/>
    </row>
    <row r="133" spans="1:9" ht="15.9" x14ac:dyDescent="0.4">
      <c r="A133" s="3">
        <v>45957</v>
      </c>
      <c r="B133" s="4" t="s">
        <v>775</v>
      </c>
      <c r="C133" s="4" t="s">
        <v>1993</v>
      </c>
      <c r="D133" s="4">
        <v>366</v>
      </c>
      <c r="E133" s="4">
        <v>6</v>
      </c>
      <c r="F133" s="4" t="s">
        <v>35</v>
      </c>
      <c r="G133" s="4" t="s">
        <v>161</v>
      </c>
      <c r="H133" s="5">
        <v>493.39</v>
      </c>
      <c r="I133" s="4"/>
    </row>
    <row r="134" spans="1:9" ht="15.9" x14ac:dyDescent="0.4">
      <c r="A134" s="3">
        <v>45957</v>
      </c>
      <c r="B134" s="4" t="s">
        <v>1311</v>
      </c>
      <c r="C134" s="4" t="s">
        <v>1994</v>
      </c>
      <c r="D134" s="4">
        <v>41760</v>
      </c>
      <c r="E134" s="4">
        <v>48</v>
      </c>
      <c r="F134" s="4" t="s">
        <v>15</v>
      </c>
      <c r="G134" s="4" t="s">
        <v>19</v>
      </c>
      <c r="H134" s="5">
        <v>1275</v>
      </c>
      <c r="I134" s="4"/>
    </row>
    <row r="135" spans="1:9" ht="15.9" x14ac:dyDescent="0.4">
      <c r="A135" s="3">
        <v>45957</v>
      </c>
      <c r="B135" s="4" t="s">
        <v>1311</v>
      </c>
      <c r="C135" s="4" t="s">
        <v>1995</v>
      </c>
      <c r="D135" s="4">
        <v>41760</v>
      </c>
      <c r="E135" s="4">
        <v>48</v>
      </c>
      <c r="F135" s="4" t="s">
        <v>15</v>
      </c>
      <c r="G135" s="4" t="s">
        <v>19</v>
      </c>
      <c r="H135" s="5">
        <v>1275</v>
      </c>
      <c r="I135" s="4"/>
    </row>
    <row r="136" spans="1:9" ht="15.9" x14ac:dyDescent="0.4">
      <c r="A136" s="3">
        <v>45957</v>
      </c>
      <c r="B136" s="4" t="s">
        <v>1003</v>
      </c>
      <c r="C136" s="4" t="s">
        <v>1996</v>
      </c>
      <c r="D136" s="4">
        <v>41800</v>
      </c>
      <c r="E136" s="4">
        <v>44</v>
      </c>
      <c r="F136" s="4" t="s">
        <v>15</v>
      </c>
      <c r="G136" s="4" t="s">
        <v>19</v>
      </c>
      <c r="H136" s="5">
        <v>1550</v>
      </c>
      <c r="I136" s="4"/>
    </row>
    <row r="137" spans="1:9" ht="15.9" x14ac:dyDescent="0.4">
      <c r="A137" s="3">
        <v>45958</v>
      </c>
      <c r="B137" s="4" t="s">
        <v>795</v>
      </c>
      <c r="C137" s="4" t="s">
        <v>1961</v>
      </c>
      <c r="D137" s="4">
        <v>15660</v>
      </c>
      <c r="E137" s="4">
        <v>18</v>
      </c>
      <c r="F137" s="4" t="s">
        <v>15</v>
      </c>
      <c r="G137" s="4" t="s">
        <v>25</v>
      </c>
      <c r="H137" s="5">
        <v>2700</v>
      </c>
      <c r="I137" s="4"/>
    </row>
    <row r="138" spans="1:9" ht="15.9" x14ac:dyDescent="0.4">
      <c r="A138" s="3">
        <v>45958</v>
      </c>
      <c r="B138" s="4" t="s">
        <v>1500</v>
      </c>
      <c r="C138" s="4" t="s">
        <v>1997</v>
      </c>
      <c r="D138" s="4">
        <v>1644</v>
      </c>
      <c r="E138" s="4">
        <v>2</v>
      </c>
      <c r="F138" s="4" t="s">
        <v>35</v>
      </c>
      <c r="G138" s="4" t="s">
        <v>161</v>
      </c>
      <c r="H138" s="5">
        <v>314.57</v>
      </c>
      <c r="I138" s="4"/>
    </row>
    <row r="139" spans="1:9" ht="15.9" x14ac:dyDescent="0.4">
      <c r="A139" s="3">
        <v>45958</v>
      </c>
      <c r="B139" s="4" t="s">
        <v>2010</v>
      </c>
      <c r="C139" s="4" t="s">
        <v>1998</v>
      </c>
      <c r="D139" s="4">
        <v>25752</v>
      </c>
      <c r="E139" s="4">
        <v>35</v>
      </c>
      <c r="F139" s="4" t="s">
        <v>15</v>
      </c>
      <c r="G139" s="4" t="s">
        <v>19</v>
      </c>
      <c r="H139" s="5">
        <v>2800</v>
      </c>
      <c r="I139" s="4"/>
    </row>
    <row r="140" spans="1:9" ht="15.9" x14ac:dyDescent="0.4">
      <c r="A140" s="3">
        <v>45958</v>
      </c>
      <c r="B140" s="4" t="s">
        <v>875</v>
      </c>
      <c r="C140" s="4" t="s">
        <v>1999</v>
      </c>
      <c r="D140" s="4">
        <v>8820</v>
      </c>
      <c r="E140" s="4">
        <v>12</v>
      </c>
      <c r="F140" s="4" t="s">
        <v>11</v>
      </c>
      <c r="G140" s="4" t="s">
        <v>19</v>
      </c>
      <c r="H140" s="5">
        <v>1550</v>
      </c>
      <c r="I140" s="4"/>
    </row>
    <row r="141" spans="1:9" ht="15.9" x14ac:dyDescent="0.4">
      <c r="A141" s="3">
        <v>45958</v>
      </c>
      <c r="B141" s="4" t="s">
        <v>1161</v>
      </c>
      <c r="C141" s="4" t="s">
        <v>2000</v>
      </c>
      <c r="D141" s="4">
        <v>16905</v>
      </c>
      <c r="E141" s="4">
        <v>23</v>
      </c>
      <c r="F141" s="4" t="s">
        <v>15</v>
      </c>
      <c r="G141" s="4" t="s">
        <v>25</v>
      </c>
      <c r="H141" s="5">
        <v>1500</v>
      </c>
      <c r="I141" s="4"/>
    </row>
    <row r="142" spans="1:9" ht="15.9" x14ac:dyDescent="0.4">
      <c r="A142" s="3">
        <v>45958</v>
      </c>
      <c r="B142" s="4" t="s">
        <v>113</v>
      </c>
      <c r="C142" s="4" t="s">
        <v>1692</v>
      </c>
      <c r="D142" s="4">
        <v>41280</v>
      </c>
      <c r="E142" s="4">
        <v>48</v>
      </c>
      <c r="F142" s="4" t="s">
        <v>11</v>
      </c>
      <c r="G142" s="4" t="s">
        <v>19</v>
      </c>
      <c r="H142" s="5">
        <v>1850</v>
      </c>
      <c r="I142" s="4"/>
    </row>
    <row r="143" spans="1:9" ht="15.9" x14ac:dyDescent="0.4">
      <c r="A143" s="3">
        <v>45958</v>
      </c>
      <c r="B143" s="4" t="s">
        <v>927</v>
      </c>
      <c r="C143" s="4" t="s">
        <v>2001</v>
      </c>
      <c r="D143" s="4">
        <v>14100</v>
      </c>
      <c r="E143" s="4">
        <v>18</v>
      </c>
      <c r="F143" s="4" t="s">
        <v>15</v>
      </c>
      <c r="G143" s="4" t="s">
        <v>1571</v>
      </c>
      <c r="H143" s="5">
        <v>3000</v>
      </c>
      <c r="I143" s="4"/>
    </row>
    <row r="144" spans="1:9" ht="15.9" x14ac:dyDescent="0.4">
      <c r="A144" s="3">
        <v>45958</v>
      </c>
      <c r="B144" s="4" t="s">
        <v>2014</v>
      </c>
      <c r="C144" s="4" t="s">
        <v>2002</v>
      </c>
      <c r="D144" s="4">
        <v>35280</v>
      </c>
      <c r="E144" s="4">
        <v>48</v>
      </c>
      <c r="F144" s="4" t="s">
        <v>11</v>
      </c>
      <c r="G144" s="4" t="s">
        <v>25</v>
      </c>
      <c r="H144" s="5">
        <v>4100</v>
      </c>
      <c r="I144" s="4"/>
    </row>
    <row r="145" spans="1:9" ht="15.9" x14ac:dyDescent="0.4">
      <c r="A145" s="3">
        <v>45958</v>
      </c>
      <c r="B145" s="4" t="s">
        <v>66</v>
      </c>
      <c r="C145" s="4" t="s">
        <v>2003</v>
      </c>
      <c r="D145" s="4">
        <v>40993</v>
      </c>
      <c r="E145" s="4">
        <v>47</v>
      </c>
      <c r="F145" s="4" t="s">
        <v>11</v>
      </c>
      <c r="G145" s="4" t="s">
        <v>25</v>
      </c>
      <c r="H145" s="5">
        <v>3850</v>
      </c>
      <c r="I145" s="4" t="s">
        <v>2004</v>
      </c>
    </row>
    <row r="146" spans="1:9" ht="15.9" x14ac:dyDescent="0.4">
      <c r="A146" s="3">
        <v>45959</v>
      </c>
      <c r="B146" s="4" t="s">
        <v>202</v>
      </c>
      <c r="C146" s="4" t="s">
        <v>2005</v>
      </c>
      <c r="D146" s="4">
        <v>10440</v>
      </c>
      <c r="E146" s="4">
        <v>12</v>
      </c>
      <c r="F146" s="4" t="s">
        <v>35</v>
      </c>
      <c r="G146" s="4" t="s">
        <v>1571</v>
      </c>
      <c r="H146" s="5">
        <v>706.37</v>
      </c>
      <c r="I146" s="4"/>
    </row>
    <row r="147" spans="1:9" ht="15.9" x14ac:dyDescent="0.4">
      <c r="A147" s="3">
        <v>45959</v>
      </c>
      <c r="B147" s="4" t="s">
        <v>1161</v>
      </c>
      <c r="C147" s="4" t="s">
        <v>2006</v>
      </c>
      <c r="D147" s="4">
        <v>40480</v>
      </c>
      <c r="E147" s="4">
        <v>46</v>
      </c>
      <c r="F147" s="4" t="s">
        <v>15</v>
      </c>
      <c r="G147" s="4" t="s">
        <v>25</v>
      </c>
      <c r="H147" s="5">
        <v>1500</v>
      </c>
      <c r="I147" s="4"/>
    </row>
    <row r="148" spans="1:9" ht="15.9" x14ac:dyDescent="0.4">
      <c r="A148" s="3">
        <v>45959</v>
      </c>
      <c r="B148" s="4" t="s">
        <v>129</v>
      </c>
      <c r="C148" s="4" t="s">
        <v>2007</v>
      </c>
      <c r="D148" s="4">
        <v>11310</v>
      </c>
      <c r="E148" s="4">
        <v>13</v>
      </c>
      <c r="F148" s="4" t="s">
        <v>35</v>
      </c>
      <c r="G148" s="4" t="s">
        <v>1571</v>
      </c>
      <c r="H148" s="5">
        <v>692.56</v>
      </c>
      <c r="I148" s="4"/>
    </row>
    <row r="149" spans="1:9" ht="15.9" x14ac:dyDescent="0.4">
      <c r="A149" s="3">
        <v>45959</v>
      </c>
      <c r="B149" s="4" t="s">
        <v>113</v>
      </c>
      <c r="C149" s="4" t="s">
        <v>1693</v>
      </c>
      <c r="D149" s="4">
        <v>41280</v>
      </c>
      <c r="E149" s="4">
        <v>48</v>
      </c>
      <c r="F149" s="4" t="s">
        <v>11</v>
      </c>
      <c r="G149" s="4" t="s">
        <v>19</v>
      </c>
      <c r="H149" s="5">
        <v>1850</v>
      </c>
      <c r="I149" s="4"/>
    </row>
    <row r="150" spans="1:9" ht="15.9" x14ac:dyDescent="0.4">
      <c r="A150" s="3">
        <v>45959</v>
      </c>
      <c r="B150" s="4" t="s">
        <v>113</v>
      </c>
      <c r="C150" s="4" t="s">
        <v>1702</v>
      </c>
      <c r="D150" s="4">
        <v>41280</v>
      </c>
      <c r="E150" s="4">
        <v>48</v>
      </c>
      <c r="F150" s="4" t="s">
        <v>11</v>
      </c>
      <c r="G150" s="4" t="s">
        <v>19</v>
      </c>
      <c r="H150" s="5">
        <v>1850</v>
      </c>
      <c r="I150" s="4"/>
    </row>
    <row r="151" spans="1:9" ht="15.9" x14ac:dyDescent="0.4">
      <c r="A151" s="3">
        <v>45959</v>
      </c>
      <c r="B151" s="4" t="s">
        <v>77</v>
      </c>
      <c r="C151" s="4" t="s">
        <v>2008</v>
      </c>
      <c r="D151" s="4">
        <v>16131</v>
      </c>
      <c r="E151" s="4">
        <v>19</v>
      </c>
      <c r="F151" s="4" t="s">
        <v>15</v>
      </c>
      <c r="G151" s="4" t="s">
        <v>1571</v>
      </c>
      <c r="H151" s="5">
        <v>4400</v>
      </c>
      <c r="I151" s="4"/>
    </row>
    <row r="152" spans="1:9" ht="15.9" x14ac:dyDescent="0.4">
      <c r="A152" s="3">
        <v>45959</v>
      </c>
      <c r="B152" s="4" t="s">
        <v>1035</v>
      </c>
      <c r="C152" s="4" t="s">
        <v>2009</v>
      </c>
      <c r="D152" s="4">
        <v>20500</v>
      </c>
      <c r="E152" s="4">
        <v>24</v>
      </c>
      <c r="F152" s="4" t="s">
        <v>15</v>
      </c>
      <c r="G152" s="4" t="s">
        <v>25</v>
      </c>
      <c r="H152" s="5">
        <v>4500</v>
      </c>
      <c r="I152" s="4"/>
    </row>
    <row r="153" spans="1:9" ht="15.9" x14ac:dyDescent="0.4">
      <c r="A153" s="3">
        <v>45959</v>
      </c>
      <c r="B153" s="4" t="s">
        <v>2010</v>
      </c>
      <c r="C153" s="4" t="s">
        <v>2011</v>
      </c>
      <c r="D153" s="4">
        <v>35280</v>
      </c>
      <c r="E153" s="4">
        <v>48</v>
      </c>
      <c r="F153" s="4" t="s">
        <v>15</v>
      </c>
      <c r="G153" s="4" t="s">
        <v>19</v>
      </c>
      <c r="H153" s="5">
        <v>2800</v>
      </c>
      <c r="I153" s="4"/>
    </row>
    <row r="154" spans="1:9" ht="15.9" x14ac:dyDescent="0.4">
      <c r="A154" s="3">
        <v>45959</v>
      </c>
      <c r="B154" s="4" t="s">
        <v>312</v>
      </c>
      <c r="C154" s="4" t="s">
        <v>2012</v>
      </c>
      <c r="D154" s="4">
        <v>18878</v>
      </c>
      <c r="E154" s="4">
        <v>22</v>
      </c>
      <c r="F154" s="4" t="s">
        <v>15</v>
      </c>
      <c r="G154" s="4" t="s">
        <v>1571</v>
      </c>
      <c r="H154" s="5">
        <v>1300</v>
      </c>
      <c r="I154" s="4"/>
    </row>
    <row r="155" spans="1:9" ht="15.9" x14ac:dyDescent="0.4">
      <c r="A155" s="3">
        <v>45959</v>
      </c>
      <c r="B155" s="4" t="s">
        <v>191</v>
      </c>
      <c r="C155" s="4" t="s">
        <v>2013</v>
      </c>
      <c r="D155" s="4">
        <v>36080</v>
      </c>
      <c r="E155" s="4">
        <v>41</v>
      </c>
      <c r="F155" s="4" t="s">
        <v>15</v>
      </c>
      <c r="G155" s="4" t="s">
        <v>25</v>
      </c>
      <c r="H155" s="5">
        <v>2400</v>
      </c>
      <c r="I155" s="4"/>
    </row>
    <row r="156" spans="1:9" ht="15.9" x14ac:dyDescent="0.4">
      <c r="A156" s="3">
        <v>45959</v>
      </c>
      <c r="B156" s="4" t="s">
        <v>2014</v>
      </c>
      <c r="C156" s="4" t="s">
        <v>2015</v>
      </c>
      <c r="D156" s="4">
        <v>23195</v>
      </c>
      <c r="E156" s="4">
        <v>31</v>
      </c>
      <c r="F156" s="4" t="s">
        <v>11</v>
      </c>
      <c r="G156" s="4" t="s">
        <v>25</v>
      </c>
      <c r="H156" s="5">
        <v>4100</v>
      </c>
      <c r="I156" s="4"/>
    </row>
    <row r="157" spans="1:9" ht="15.9" x14ac:dyDescent="0.4">
      <c r="A157" s="3">
        <v>45959</v>
      </c>
      <c r="B157" s="4" t="s">
        <v>113</v>
      </c>
      <c r="C157" s="4" t="s">
        <v>1691</v>
      </c>
      <c r="D157" s="4">
        <v>41280</v>
      </c>
      <c r="E157" s="4">
        <v>48</v>
      </c>
      <c r="F157" s="4" t="s">
        <v>11</v>
      </c>
      <c r="G157" s="4" t="s">
        <v>19</v>
      </c>
      <c r="H157" s="5">
        <v>1850</v>
      </c>
      <c r="I157" s="4"/>
    </row>
    <row r="158" spans="1:9" ht="15.9" x14ac:dyDescent="0.4">
      <c r="A158" s="3">
        <v>45959</v>
      </c>
      <c r="B158" s="4" t="s">
        <v>1161</v>
      </c>
      <c r="C158" s="4" t="s">
        <v>2016</v>
      </c>
      <c r="D158" s="4">
        <v>40480</v>
      </c>
      <c r="E158" s="4">
        <v>46</v>
      </c>
      <c r="F158" s="4" t="s">
        <v>15</v>
      </c>
      <c r="G158" s="4" t="s">
        <v>25</v>
      </c>
      <c r="H158" s="5">
        <v>1500</v>
      </c>
      <c r="I158" s="4"/>
    </row>
    <row r="159" spans="1:9" ht="15.9" x14ac:dyDescent="0.4">
      <c r="A159" s="3">
        <v>45960</v>
      </c>
      <c r="B159" s="4" t="s">
        <v>1752</v>
      </c>
      <c r="C159" s="4" t="s">
        <v>1753</v>
      </c>
      <c r="D159" s="4">
        <v>20825</v>
      </c>
      <c r="E159" s="4">
        <v>25</v>
      </c>
      <c r="F159" s="4" t="s">
        <v>15</v>
      </c>
      <c r="G159" s="4" t="s">
        <v>25</v>
      </c>
      <c r="H159" s="5">
        <v>4700</v>
      </c>
      <c r="I159" s="4"/>
    </row>
    <row r="160" spans="1:9" ht="15.9" x14ac:dyDescent="0.4">
      <c r="A160" s="3">
        <v>45960</v>
      </c>
      <c r="B160" s="4" t="s">
        <v>2017</v>
      </c>
      <c r="C160" s="4" t="s">
        <v>2018</v>
      </c>
      <c r="D160" s="4">
        <v>8820</v>
      </c>
      <c r="E160" s="4">
        <v>12</v>
      </c>
      <c r="F160" s="4" t="s">
        <v>35</v>
      </c>
      <c r="G160" s="4" t="s">
        <v>1571</v>
      </c>
      <c r="H160" s="5">
        <v>1685.33</v>
      </c>
      <c r="I160" s="4"/>
    </row>
    <row r="161" spans="1:9" ht="15.9" x14ac:dyDescent="0.4">
      <c r="A161" s="3">
        <v>45960</v>
      </c>
      <c r="B161" s="4" t="s">
        <v>2019</v>
      </c>
      <c r="C161" s="4" t="s">
        <v>2020</v>
      </c>
      <c r="D161" s="4">
        <v>4410</v>
      </c>
      <c r="E161" s="4">
        <v>6</v>
      </c>
      <c r="F161" s="4" t="s">
        <v>35</v>
      </c>
      <c r="G161" s="4" t="s">
        <v>12</v>
      </c>
      <c r="H161" s="4"/>
      <c r="I161" s="4"/>
    </row>
    <row r="162" spans="1:9" ht="15.9" x14ac:dyDescent="0.4">
      <c r="A162" s="3">
        <v>45960</v>
      </c>
      <c r="B162" s="4" t="s">
        <v>967</v>
      </c>
      <c r="C162" s="4" t="s">
        <v>2021</v>
      </c>
      <c r="D162" s="4">
        <v>36652</v>
      </c>
      <c r="E162" s="4">
        <v>44</v>
      </c>
      <c r="F162" s="4" t="s">
        <v>15</v>
      </c>
      <c r="G162" s="4" t="s">
        <v>12</v>
      </c>
      <c r="H162" s="4"/>
      <c r="I162" s="4"/>
    </row>
    <row r="163" spans="1:9" ht="15.9" x14ac:dyDescent="0.4">
      <c r="A163" s="3">
        <v>45960</v>
      </c>
      <c r="B163" s="4" t="s">
        <v>875</v>
      </c>
      <c r="C163" s="4" t="s">
        <v>2022</v>
      </c>
      <c r="D163" s="4">
        <v>35280</v>
      </c>
      <c r="E163" s="4">
        <v>48</v>
      </c>
      <c r="F163" s="4" t="s">
        <v>11</v>
      </c>
      <c r="G163" s="4" t="s">
        <v>19</v>
      </c>
      <c r="H163" s="5">
        <v>2400</v>
      </c>
      <c r="I163" s="4"/>
    </row>
    <row r="164" spans="1:9" ht="15.9" x14ac:dyDescent="0.4">
      <c r="A164" s="3">
        <v>45960</v>
      </c>
      <c r="B164" s="4" t="s">
        <v>967</v>
      </c>
      <c r="C164" s="4" t="s">
        <v>2023</v>
      </c>
      <c r="D164" s="4">
        <v>9996</v>
      </c>
      <c r="E164" s="4">
        <v>12</v>
      </c>
      <c r="F164" s="4" t="s">
        <v>15</v>
      </c>
      <c r="G164" s="4" t="s">
        <v>12</v>
      </c>
      <c r="H164" s="4"/>
      <c r="I164" s="4"/>
    </row>
    <row r="165" spans="1:9" ht="15.9" x14ac:dyDescent="0.4">
      <c r="A165" s="3">
        <v>45960</v>
      </c>
      <c r="B165" s="4" t="s">
        <v>1934</v>
      </c>
      <c r="C165" s="4" t="s">
        <v>2024</v>
      </c>
      <c r="D165" s="4">
        <v>34986</v>
      </c>
      <c r="E165" s="4">
        <v>42</v>
      </c>
      <c r="F165" s="4" t="s">
        <v>11</v>
      </c>
      <c r="G165" s="4" t="s">
        <v>19</v>
      </c>
      <c r="H165" s="5">
        <v>3350</v>
      </c>
      <c r="I165" s="4"/>
    </row>
    <row r="166" spans="1:9" ht="15.9" x14ac:dyDescent="0.4">
      <c r="A166" s="3">
        <v>45960</v>
      </c>
      <c r="B166" s="4" t="s">
        <v>113</v>
      </c>
      <c r="C166" s="4" t="s">
        <v>1694</v>
      </c>
      <c r="D166" s="4">
        <v>41280</v>
      </c>
      <c r="E166" s="4">
        <v>48</v>
      </c>
      <c r="F166" s="4" t="s">
        <v>11</v>
      </c>
      <c r="G166" s="4" t="s">
        <v>19</v>
      </c>
      <c r="H166" s="5">
        <v>1850</v>
      </c>
      <c r="I166" s="4"/>
    </row>
    <row r="167" spans="1:9" ht="15.9" x14ac:dyDescent="0.4">
      <c r="A167" s="3">
        <v>45960</v>
      </c>
      <c r="B167" s="4" t="s">
        <v>2025</v>
      </c>
      <c r="C167" s="4" t="s">
        <v>1921</v>
      </c>
      <c r="D167" s="4">
        <v>3332</v>
      </c>
      <c r="E167" s="4">
        <v>4</v>
      </c>
      <c r="F167" s="4" t="s">
        <v>35</v>
      </c>
      <c r="G167" s="4" t="s">
        <v>161</v>
      </c>
      <c r="H167" s="5">
        <v>461.59</v>
      </c>
      <c r="I167" s="4"/>
    </row>
    <row r="168" spans="1:9" ht="15.9" x14ac:dyDescent="0.4">
      <c r="A168" s="3">
        <v>45960</v>
      </c>
      <c r="B168" s="4" t="s">
        <v>2026</v>
      </c>
      <c r="C168" s="4" t="s">
        <v>2027</v>
      </c>
      <c r="D168" s="4">
        <v>3840</v>
      </c>
      <c r="E168" s="4">
        <v>4</v>
      </c>
      <c r="F168" s="4" t="s">
        <v>35</v>
      </c>
      <c r="G168" s="4" t="s">
        <v>12</v>
      </c>
      <c r="H168" s="4"/>
      <c r="I168" s="4"/>
    </row>
    <row r="169" spans="1:9" ht="15.9" x14ac:dyDescent="0.4">
      <c r="A169" s="3">
        <v>45960</v>
      </c>
      <c r="B169" s="4" t="s">
        <v>1133</v>
      </c>
      <c r="C169" s="4" t="s">
        <v>2028</v>
      </c>
      <c r="D169" s="4">
        <v>3855</v>
      </c>
      <c r="E169" s="4">
        <v>5</v>
      </c>
      <c r="F169" s="4" t="s">
        <v>35</v>
      </c>
      <c r="G169" s="4" t="s">
        <v>161</v>
      </c>
      <c r="H169" s="5">
        <v>1112.98</v>
      </c>
      <c r="I169" s="4"/>
    </row>
    <row r="170" spans="1:9" ht="15.9" x14ac:dyDescent="0.4">
      <c r="A170" s="3">
        <v>45961</v>
      </c>
      <c r="B170" s="4" t="s">
        <v>967</v>
      </c>
      <c r="C170" s="4" t="s">
        <v>2029</v>
      </c>
      <c r="D170" s="4">
        <v>36652</v>
      </c>
      <c r="E170" s="4">
        <v>44</v>
      </c>
      <c r="F170" s="4" t="s">
        <v>15</v>
      </c>
      <c r="G170" s="4" t="s">
        <v>12</v>
      </c>
      <c r="H170" s="4"/>
      <c r="I170" s="4"/>
    </row>
    <row r="171" spans="1:9" ht="15.9" x14ac:dyDescent="0.4">
      <c r="A171" s="3">
        <v>45961</v>
      </c>
      <c r="B171" s="4" t="s">
        <v>967</v>
      </c>
      <c r="C171" s="4" t="s">
        <v>2030</v>
      </c>
      <c r="D171" s="4">
        <v>36168</v>
      </c>
      <c r="E171" s="4">
        <v>44</v>
      </c>
      <c r="F171" s="4" t="s">
        <v>15</v>
      </c>
      <c r="G171" s="4" t="s">
        <v>12</v>
      </c>
      <c r="H171" s="4"/>
      <c r="I171" s="4"/>
    </row>
    <row r="172" spans="1:9" ht="15.9" x14ac:dyDescent="0.4">
      <c r="A172" s="3">
        <v>45961</v>
      </c>
      <c r="B172" s="4" t="s">
        <v>875</v>
      </c>
      <c r="C172" s="4" t="s">
        <v>2031</v>
      </c>
      <c r="D172" s="4">
        <v>37724</v>
      </c>
      <c r="E172" s="4">
        <v>46</v>
      </c>
      <c r="F172" s="4" t="s">
        <v>11</v>
      </c>
      <c r="G172" s="4" t="s">
        <v>19</v>
      </c>
      <c r="H172" s="5">
        <v>2400</v>
      </c>
      <c r="I172" s="4"/>
    </row>
    <row r="173" spans="1:9" ht="15.9" x14ac:dyDescent="0.4">
      <c r="A173" s="4"/>
      <c r="B173" s="4"/>
      <c r="C173" s="4"/>
      <c r="D173" s="4"/>
      <c r="E173" s="4"/>
      <c r="F173" s="4"/>
      <c r="G173" s="4"/>
      <c r="H173" s="4"/>
      <c r="I173" s="4"/>
    </row>
    <row r="174" spans="1:9" ht="15.9" x14ac:dyDescent="0.4">
      <c r="A174" s="4"/>
      <c r="B174" s="4"/>
      <c r="C174" s="4"/>
      <c r="D174" s="4"/>
      <c r="E174" s="4"/>
      <c r="F174" s="4"/>
      <c r="G174" s="4"/>
      <c r="H174" s="4"/>
      <c r="I174" s="4"/>
    </row>
    <row r="175" spans="1:9" ht="15.9" x14ac:dyDescent="0.4">
      <c r="A175" s="4"/>
      <c r="B175" s="4"/>
      <c r="C175" s="4"/>
      <c r="D175" s="4"/>
      <c r="E175" s="4"/>
      <c r="F175" s="4"/>
      <c r="G175" s="4"/>
      <c r="H175" s="4"/>
      <c r="I175" s="4"/>
    </row>
    <row r="176" spans="1:9" ht="15.9" x14ac:dyDescent="0.4">
      <c r="A176" s="4"/>
      <c r="B176" s="4"/>
      <c r="C176" s="4"/>
      <c r="D176" s="4"/>
      <c r="E176" s="4"/>
      <c r="F176" s="4"/>
      <c r="G176" s="4"/>
      <c r="H176" s="4"/>
      <c r="I176" s="4"/>
    </row>
    <row r="177" spans="1:9" ht="15.9" x14ac:dyDescent="0.4">
      <c r="A177" s="4"/>
      <c r="B177" s="4"/>
      <c r="C177" s="4"/>
      <c r="D177" s="4"/>
      <c r="E177" s="4"/>
      <c r="F177" s="4"/>
      <c r="G177" s="4"/>
      <c r="H177" s="4"/>
      <c r="I177" s="4"/>
    </row>
    <row r="178" spans="1:9" ht="15.9" x14ac:dyDescent="0.4">
      <c r="A178" s="4"/>
      <c r="B178" s="4"/>
      <c r="C178" s="4"/>
      <c r="D178" s="4"/>
      <c r="E178" s="4"/>
      <c r="F178" s="4"/>
      <c r="G178" s="4"/>
      <c r="H178" s="4"/>
      <c r="I178" s="4"/>
    </row>
    <row r="179" spans="1:9" ht="15.9" x14ac:dyDescent="0.4">
      <c r="A179" s="4"/>
      <c r="B179" s="4"/>
      <c r="C179" s="4"/>
      <c r="D179" s="4"/>
      <c r="E179" s="4"/>
      <c r="F179" s="4"/>
      <c r="G179" s="4"/>
      <c r="H179" s="4"/>
      <c r="I179" s="4"/>
    </row>
    <row r="180" spans="1:9" ht="15.9" x14ac:dyDescent="0.4">
      <c r="A180" s="4"/>
      <c r="B180" s="4"/>
      <c r="C180" s="4"/>
      <c r="D180" s="4"/>
      <c r="E180" s="4"/>
      <c r="F180" s="4"/>
      <c r="G180" s="4"/>
      <c r="H180" s="4"/>
      <c r="I180" s="4"/>
    </row>
    <row r="181" spans="1:9" ht="15.9" x14ac:dyDescent="0.4">
      <c r="A181" s="4"/>
      <c r="B181" s="4"/>
      <c r="C181" s="4"/>
      <c r="D181" s="4"/>
      <c r="E181" s="4"/>
      <c r="F181" s="4"/>
      <c r="G181" s="4"/>
      <c r="H181" s="4"/>
      <c r="I181" s="4"/>
    </row>
    <row r="182" spans="1:9" ht="15.9" x14ac:dyDescent="0.4">
      <c r="A182" s="4"/>
      <c r="B182" s="4"/>
      <c r="C182" s="4"/>
      <c r="D182" s="4"/>
      <c r="E182" s="4"/>
      <c r="F182" s="4"/>
      <c r="G182" s="4"/>
      <c r="H182" s="4"/>
      <c r="I182" s="4"/>
    </row>
    <row r="183" spans="1:9" ht="15.9" x14ac:dyDescent="0.4">
      <c r="A183" s="4"/>
      <c r="B183" s="4"/>
      <c r="C183" s="4"/>
      <c r="D183" s="4"/>
      <c r="E183" s="4"/>
      <c r="F183" s="4"/>
      <c r="G183" s="4"/>
      <c r="H183" s="4"/>
      <c r="I183" s="4"/>
    </row>
    <row r="184" spans="1:9" ht="15.9" x14ac:dyDescent="0.4">
      <c r="A184" s="4"/>
      <c r="B184" s="4"/>
      <c r="C184" s="4"/>
      <c r="D184" s="4"/>
      <c r="E184" s="4"/>
      <c r="F184" s="4"/>
      <c r="G184" s="4"/>
      <c r="H184" s="4"/>
      <c r="I184" s="4"/>
    </row>
    <row r="185" spans="1:9" ht="15.9" x14ac:dyDescent="0.4">
      <c r="A185" s="4"/>
      <c r="B185" s="4"/>
      <c r="C185" s="4"/>
      <c r="D185" s="4"/>
      <c r="E185" s="4"/>
      <c r="F185" s="4"/>
      <c r="G185" s="4"/>
      <c r="H185" s="4"/>
      <c r="I185" s="4"/>
    </row>
    <row r="186" spans="1:9" ht="15.9" x14ac:dyDescent="0.4">
      <c r="A186" s="4"/>
      <c r="B186" s="4"/>
      <c r="C186" s="4"/>
      <c r="D186" s="4"/>
      <c r="E186" s="4"/>
      <c r="F186" s="4"/>
      <c r="G186" s="4"/>
      <c r="H186" s="4"/>
      <c r="I186" s="4"/>
    </row>
    <row r="187" spans="1:9" ht="15.9" x14ac:dyDescent="0.4">
      <c r="A187" s="4"/>
      <c r="B187" s="4"/>
      <c r="C187" s="4"/>
      <c r="D187" s="4"/>
      <c r="E187" s="4"/>
      <c r="F187" s="4"/>
      <c r="G187" s="4"/>
      <c r="H187" s="4"/>
      <c r="I187" s="4"/>
    </row>
    <row r="188" spans="1:9" ht="15.9" x14ac:dyDescent="0.4">
      <c r="A188" s="4"/>
      <c r="B188" s="4"/>
      <c r="C188" s="4"/>
      <c r="D188" s="4"/>
      <c r="E188" s="4"/>
      <c r="F188" s="4"/>
      <c r="G188" s="4"/>
      <c r="H188" s="4"/>
      <c r="I188" s="4"/>
    </row>
    <row r="189" spans="1:9" ht="15.9" x14ac:dyDescent="0.4">
      <c r="A189" s="4"/>
      <c r="B189" s="4"/>
      <c r="C189" s="4"/>
      <c r="D189" s="4"/>
      <c r="E189" s="4"/>
      <c r="F189" s="4"/>
      <c r="G189" s="4"/>
      <c r="H189" s="4"/>
      <c r="I189" s="4"/>
    </row>
    <row r="190" spans="1:9" ht="15.9" x14ac:dyDescent="0.4">
      <c r="A190" s="4"/>
      <c r="B190" s="4"/>
      <c r="C190" s="4"/>
      <c r="D190" s="4"/>
      <c r="E190" s="4"/>
      <c r="F190" s="4"/>
      <c r="G190" s="4"/>
      <c r="H190" s="4"/>
      <c r="I190" s="4"/>
    </row>
    <row r="191" spans="1:9" ht="15.9" x14ac:dyDescent="0.4">
      <c r="A191" s="4"/>
      <c r="B191" s="4"/>
      <c r="C191" s="4"/>
      <c r="D191" s="4"/>
      <c r="E191" s="4"/>
      <c r="F191" s="4"/>
      <c r="G191" s="4"/>
      <c r="H191" s="4"/>
      <c r="I191" s="4"/>
    </row>
    <row r="192" spans="1:9" ht="15.9" x14ac:dyDescent="0.4">
      <c r="A192" s="4"/>
      <c r="B192" s="4"/>
      <c r="C192" s="4"/>
      <c r="D192" s="4"/>
      <c r="E192" s="4"/>
      <c r="F192" s="4"/>
      <c r="G192" s="4"/>
      <c r="H192" s="4"/>
      <c r="I192" s="4"/>
    </row>
    <row r="193" spans="1:9" ht="15.9" x14ac:dyDescent="0.4">
      <c r="A193" s="4"/>
      <c r="B193" s="4"/>
      <c r="C193" s="4"/>
      <c r="D193" s="4"/>
      <c r="E193" s="4"/>
      <c r="F193" s="4"/>
      <c r="G193" s="4"/>
      <c r="H193" s="4"/>
      <c r="I193" s="4"/>
    </row>
    <row r="194" spans="1:9" ht="15.9" x14ac:dyDescent="0.4">
      <c r="A194" s="4"/>
      <c r="B194" s="4"/>
      <c r="C194" s="4"/>
      <c r="D194" s="4"/>
      <c r="E194" s="4"/>
      <c r="F194" s="4"/>
      <c r="G194" s="4"/>
      <c r="H194" s="4"/>
      <c r="I194" s="4"/>
    </row>
    <row r="195" spans="1:9" ht="15.9" x14ac:dyDescent="0.4">
      <c r="A195" s="4"/>
      <c r="B195" s="4"/>
      <c r="C195" s="4"/>
      <c r="D195" s="4"/>
      <c r="E195" s="4"/>
      <c r="F195" s="4"/>
      <c r="G195" s="4"/>
      <c r="H195" s="4"/>
      <c r="I195" s="4"/>
    </row>
    <row r="196" spans="1:9" ht="15.9" x14ac:dyDescent="0.4">
      <c r="A196" s="4"/>
      <c r="B196" s="4"/>
      <c r="C196" s="4"/>
      <c r="D196" s="4"/>
      <c r="E196" s="4"/>
      <c r="F196" s="4"/>
      <c r="G196" s="4"/>
      <c r="H196" s="4"/>
      <c r="I196" s="4"/>
    </row>
    <row r="197" spans="1:9" ht="15.9" x14ac:dyDescent="0.4">
      <c r="A197" s="4"/>
      <c r="B197" s="4"/>
      <c r="C197" s="4"/>
      <c r="D197" s="4"/>
      <c r="E197" s="4"/>
      <c r="F197" s="4"/>
      <c r="G197" s="4"/>
      <c r="H197" s="4"/>
      <c r="I197" s="4"/>
    </row>
    <row r="198" spans="1:9" ht="15.9" x14ac:dyDescent="0.4">
      <c r="A198" s="4"/>
      <c r="B198" s="4"/>
      <c r="C198" s="4"/>
      <c r="D198" s="4"/>
      <c r="E198" s="4"/>
      <c r="F198" s="4"/>
      <c r="G198" s="4"/>
      <c r="H198" s="4"/>
      <c r="I198" s="4"/>
    </row>
    <row r="199" spans="1:9" ht="15.9" x14ac:dyDescent="0.4">
      <c r="A199" s="4"/>
      <c r="B199" s="4"/>
      <c r="C199" s="4"/>
      <c r="D199" s="4"/>
      <c r="E199" s="4"/>
      <c r="F199" s="4"/>
      <c r="G199" s="4"/>
      <c r="H199" s="4"/>
      <c r="I199" s="4"/>
    </row>
    <row r="200" spans="1:9" ht="15.9" x14ac:dyDescent="0.4">
      <c r="A200" s="4"/>
      <c r="B200" s="4"/>
      <c r="C200" s="4"/>
      <c r="D200" s="4"/>
      <c r="E200" s="4"/>
      <c r="F200" s="4"/>
      <c r="G200" s="4"/>
      <c r="H200" s="4"/>
      <c r="I200" s="4"/>
    </row>
    <row r="201" spans="1:9" ht="15.9" x14ac:dyDescent="0.4">
      <c r="A201" s="4"/>
      <c r="B201" s="4"/>
      <c r="C201" s="4"/>
      <c r="D201" s="4"/>
      <c r="E201" s="4"/>
      <c r="F201" s="4"/>
      <c r="G201" s="4"/>
      <c r="H201" s="4"/>
      <c r="I201" s="4"/>
    </row>
    <row r="202" spans="1:9" ht="15.9" x14ac:dyDescent="0.4">
      <c r="A202" s="4"/>
      <c r="B202" s="4"/>
      <c r="C202" s="4"/>
      <c r="D202" s="4"/>
      <c r="E202" s="4"/>
      <c r="F202" s="4"/>
      <c r="G202" s="4"/>
      <c r="H202" s="4"/>
      <c r="I202" s="4"/>
    </row>
    <row r="203" spans="1:9" ht="15.9" x14ac:dyDescent="0.4">
      <c r="A203" s="4"/>
      <c r="B203" s="4"/>
      <c r="C203" s="4"/>
      <c r="D203" s="4"/>
      <c r="E203" s="4"/>
      <c r="F203" s="4"/>
      <c r="G203" s="4"/>
      <c r="H203" s="4"/>
      <c r="I203" s="4"/>
    </row>
    <row r="204" spans="1:9" ht="15.9" x14ac:dyDescent="0.4">
      <c r="A204" s="4"/>
      <c r="B204" s="4"/>
      <c r="C204" s="4"/>
      <c r="D204" s="4"/>
      <c r="E204" s="4"/>
      <c r="F204" s="4"/>
      <c r="G204" s="4"/>
      <c r="H204" s="4"/>
      <c r="I204" s="4"/>
    </row>
    <row r="205" spans="1:9" ht="15.9" x14ac:dyDescent="0.4">
      <c r="A205" s="4"/>
      <c r="B205" s="4"/>
      <c r="C205" s="4"/>
      <c r="D205" s="4"/>
      <c r="E205" s="4"/>
      <c r="F205" s="4"/>
      <c r="G205" s="4"/>
      <c r="H205" s="4"/>
      <c r="I205" s="4"/>
    </row>
    <row r="206" spans="1:9" ht="15.9" x14ac:dyDescent="0.4">
      <c r="A206" s="4"/>
      <c r="B206" s="4"/>
      <c r="C206" s="4"/>
      <c r="D206" s="4"/>
      <c r="E206" s="4"/>
      <c r="F206" s="4"/>
      <c r="G206" s="4"/>
      <c r="H206" s="4"/>
      <c r="I206" s="4"/>
    </row>
    <row r="207" spans="1:9" ht="15.9" x14ac:dyDescent="0.4">
      <c r="A207" s="4"/>
      <c r="B207" s="4"/>
      <c r="C207" s="4"/>
      <c r="D207" s="4"/>
      <c r="E207" s="4"/>
      <c r="F207" s="4"/>
      <c r="G207" s="4"/>
      <c r="H207" s="4"/>
      <c r="I207" s="4"/>
    </row>
    <row r="208" spans="1:9" ht="15.9" x14ac:dyDescent="0.4">
      <c r="A208" s="4"/>
      <c r="B208" s="4"/>
      <c r="C208" s="4"/>
      <c r="D208" s="4"/>
      <c r="E208" s="4"/>
      <c r="F208" s="4"/>
      <c r="G208" s="4"/>
      <c r="H208" s="4"/>
      <c r="I208" s="4"/>
    </row>
    <row r="209" spans="1:9" ht="15.9" x14ac:dyDescent="0.4">
      <c r="A209" s="4"/>
      <c r="B209" s="4"/>
      <c r="C209" s="4"/>
      <c r="D209" s="4"/>
      <c r="E209" s="4"/>
      <c r="F209" s="4"/>
      <c r="G209" s="4"/>
      <c r="H209" s="4"/>
      <c r="I209" s="4"/>
    </row>
    <row r="210" spans="1:9" ht="15.9" x14ac:dyDescent="0.4">
      <c r="A210" s="4"/>
      <c r="B210" s="4"/>
      <c r="C210" s="4"/>
      <c r="D210" s="4"/>
      <c r="E210" s="4"/>
      <c r="F210" s="4"/>
      <c r="G210" s="4"/>
      <c r="H210" s="4"/>
      <c r="I210" s="4"/>
    </row>
    <row r="211" spans="1:9" ht="15.9" x14ac:dyDescent="0.4">
      <c r="A211" s="4"/>
      <c r="B211" s="4"/>
      <c r="C211" s="4"/>
      <c r="D211" s="4"/>
      <c r="E211" s="4"/>
      <c r="F211" s="4"/>
      <c r="G211" s="4"/>
      <c r="H211" s="4"/>
      <c r="I211" s="4"/>
    </row>
    <row r="212" spans="1:9" ht="15.9" x14ac:dyDescent="0.4">
      <c r="A212" s="4"/>
      <c r="B212" s="4"/>
      <c r="C212" s="4"/>
      <c r="D212" s="4"/>
      <c r="E212" s="4"/>
      <c r="F212" s="4"/>
      <c r="G212" s="4"/>
      <c r="H212" s="4"/>
      <c r="I212" s="4"/>
    </row>
    <row r="213" spans="1:9" ht="15.9" x14ac:dyDescent="0.4">
      <c r="A213" s="4"/>
      <c r="B213" s="4"/>
      <c r="C213" s="4"/>
      <c r="D213" s="4"/>
      <c r="E213" s="4"/>
      <c r="F213" s="4"/>
      <c r="G213" s="4"/>
      <c r="H213" s="4"/>
      <c r="I213" s="4"/>
    </row>
    <row r="214" spans="1:9" ht="15.9" x14ac:dyDescent="0.4">
      <c r="A214" s="4"/>
      <c r="B214" s="4"/>
      <c r="C214" s="4"/>
      <c r="D214" s="4"/>
      <c r="E214" s="4"/>
      <c r="F214" s="4"/>
      <c r="G214" s="4"/>
      <c r="H214" s="4"/>
      <c r="I214" s="4"/>
    </row>
    <row r="215" spans="1:9" ht="15.9" x14ac:dyDescent="0.4">
      <c r="A215" s="4"/>
      <c r="B215" s="4"/>
      <c r="C215" s="4"/>
      <c r="D215" s="4"/>
      <c r="E215" s="4"/>
      <c r="F215" s="4"/>
      <c r="G215" s="4"/>
      <c r="H215" s="4"/>
      <c r="I215" s="4"/>
    </row>
    <row r="216" spans="1:9" ht="15.9" x14ac:dyDescent="0.4">
      <c r="A216" s="4"/>
      <c r="B216" s="4"/>
      <c r="C216" s="4"/>
      <c r="D216" s="4"/>
      <c r="E216" s="4"/>
      <c r="F216" s="4"/>
      <c r="G216" s="4"/>
      <c r="H216" s="4"/>
      <c r="I216" s="4"/>
    </row>
    <row r="217" spans="1:9" ht="15.9" x14ac:dyDescent="0.4">
      <c r="A217" s="4"/>
      <c r="B217" s="4"/>
      <c r="C217" s="4"/>
      <c r="D217" s="4"/>
      <c r="E217" s="4"/>
      <c r="F217" s="4"/>
      <c r="G217" s="4"/>
      <c r="H217" s="4"/>
      <c r="I217" s="4"/>
    </row>
    <row r="218" spans="1:9" ht="15.9" x14ac:dyDescent="0.4">
      <c r="A218" s="4"/>
      <c r="B218" s="4"/>
      <c r="C218" s="4"/>
      <c r="D218" s="4"/>
      <c r="E218" s="4"/>
      <c r="F218" s="4"/>
      <c r="G218" s="4"/>
      <c r="H218" s="4"/>
      <c r="I218" s="4"/>
    </row>
    <row r="219" spans="1:9" ht="15.9" x14ac:dyDescent="0.4">
      <c r="A219" s="4"/>
      <c r="B219" s="4"/>
      <c r="C219" s="4"/>
      <c r="D219" s="4"/>
      <c r="E219" s="4"/>
      <c r="F219" s="4"/>
      <c r="G219" s="4"/>
      <c r="H219" s="4"/>
      <c r="I219" s="4"/>
    </row>
    <row r="220" spans="1:9" ht="15.9" x14ac:dyDescent="0.4">
      <c r="A220" s="4"/>
      <c r="B220" s="4"/>
      <c r="C220" s="4"/>
      <c r="D220" s="4"/>
      <c r="E220" s="4"/>
      <c r="F220" s="4"/>
      <c r="G220" s="4"/>
      <c r="H220" s="4"/>
      <c r="I220" s="4"/>
    </row>
    <row r="221" spans="1:9" ht="15.9" x14ac:dyDescent="0.4">
      <c r="A221" s="4"/>
      <c r="B221" s="4"/>
      <c r="C221" s="4"/>
      <c r="D221" s="4"/>
      <c r="E221" s="4"/>
      <c r="F221" s="4"/>
      <c r="G221" s="4"/>
      <c r="H221" s="4"/>
      <c r="I221" s="4"/>
    </row>
    <row r="222" spans="1:9" ht="15.9" x14ac:dyDescent="0.4">
      <c r="A222" s="4"/>
      <c r="B222" s="4"/>
      <c r="C222" s="4"/>
      <c r="D222" s="4"/>
      <c r="E222" s="4"/>
      <c r="F222" s="4"/>
      <c r="G222" s="4"/>
      <c r="H222" s="4"/>
      <c r="I222" s="4"/>
    </row>
    <row r="223" spans="1:9" ht="15.9" x14ac:dyDescent="0.4">
      <c r="A223" s="4"/>
      <c r="B223" s="4"/>
      <c r="C223" s="4"/>
      <c r="D223" s="4"/>
      <c r="E223" s="4"/>
      <c r="F223" s="4"/>
      <c r="G223" s="4"/>
      <c r="H223" s="4"/>
      <c r="I223" s="4"/>
    </row>
    <row r="224" spans="1:9" ht="15.9" x14ac:dyDescent="0.4">
      <c r="A224" s="4"/>
      <c r="B224" s="4"/>
      <c r="C224" s="4"/>
      <c r="D224" s="4"/>
      <c r="E224" s="4"/>
      <c r="F224" s="4"/>
      <c r="G224" s="4"/>
      <c r="H224" s="4"/>
      <c r="I224" s="4"/>
    </row>
    <row r="225" spans="1:9" ht="15.9" x14ac:dyDescent="0.4">
      <c r="A225" s="4"/>
      <c r="B225" s="4"/>
      <c r="C225" s="4"/>
      <c r="D225" s="4"/>
      <c r="E225" s="4"/>
      <c r="F225" s="4"/>
      <c r="G225" s="4"/>
      <c r="H225" s="4"/>
      <c r="I225" s="4"/>
    </row>
    <row r="226" spans="1:9" ht="15.9" x14ac:dyDescent="0.4">
      <c r="A226" s="4"/>
      <c r="B226" s="4"/>
      <c r="C226" s="4"/>
      <c r="D226" s="4"/>
      <c r="E226" s="4"/>
      <c r="F226" s="4"/>
      <c r="G226" s="4"/>
      <c r="H226" s="4"/>
      <c r="I226" s="4"/>
    </row>
    <row r="227" spans="1:9" ht="15.9" x14ac:dyDescent="0.4">
      <c r="A227" s="4"/>
      <c r="B227" s="4"/>
      <c r="C227" s="4"/>
      <c r="D227" s="4"/>
      <c r="E227" s="4"/>
      <c r="F227" s="4"/>
      <c r="G227" s="4"/>
      <c r="H227" s="4"/>
      <c r="I227" s="4"/>
    </row>
    <row r="228" spans="1:9" ht="15.9" x14ac:dyDescent="0.4">
      <c r="A228" s="4"/>
      <c r="B228" s="4"/>
      <c r="C228" s="4"/>
      <c r="D228" s="4"/>
      <c r="E228" s="4"/>
      <c r="F228" s="4"/>
      <c r="G228" s="4"/>
      <c r="H228" s="4"/>
      <c r="I228" s="4"/>
    </row>
    <row r="229" spans="1:9" ht="15.9" x14ac:dyDescent="0.4">
      <c r="A229" s="4"/>
      <c r="B229" s="4"/>
      <c r="C229" s="4"/>
      <c r="D229" s="4"/>
      <c r="E229" s="4"/>
      <c r="F229" s="4"/>
      <c r="G229" s="4"/>
      <c r="H229" s="4"/>
      <c r="I229" s="4"/>
    </row>
    <row r="230" spans="1:9" ht="15.9" x14ac:dyDescent="0.4">
      <c r="A230" s="4"/>
      <c r="B230" s="4"/>
      <c r="C230" s="4"/>
      <c r="D230" s="4"/>
      <c r="E230" s="4"/>
      <c r="F230" s="4"/>
      <c r="G230" s="4"/>
      <c r="H230" s="4"/>
      <c r="I230" s="4"/>
    </row>
    <row r="231" spans="1:9" ht="15.9" x14ac:dyDescent="0.4">
      <c r="A231" s="4"/>
      <c r="B231" s="4"/>
      <c r="C231" s="4"/>
      <c r="D231" s="4"/>
      <c r="E231" s="4"/>
      <c r="F231" s="4"/>
      <c r="G231" s="4"/>
      <c r="H231" s="4"/>
      <c r="I231" s="4"/>
    </row>
    <row r="232" spans="1:9" ht="15.9" x14ac:dyDescent="0.4">
      <c r="A232" s="4"/>
      <c r="B232" s="4"/>
      <c r="C232" s="4"/>
      <c r="D232" s="4"/>
      <c r="E232" s="4"/>
      <c r="F232" s="4"/>
      <c r="G232" s="4"/>
      <c r="H232" s="4"/>
      <c r="I232" s="4"/>
    </row>
    <row r="233" spans="1:9" ht="15.9" x14ac:dyDescent="0.4">
      <c r="A233" s="4"/>
      <c r="B233" s="4"/>
      <c r="C233" s="4"/>
      <c r="D233" s="4"/>
      <c r="E233" s="4"/>
      <c r="F233" s="4"/>
      <c r="G233" s="4"/>
      <c r="H233" s="4"/>
      <c r="I233" s="4"/>
    </row>
    <row r="234" spans="1:9" ht="15.9" x14ac:dyDescent="0.4">
      <c r="A234" s="4"/>
      <c r="B234" s="4"/>
      <c r="C234" s="4"/>
      <c r="D234" s="4"/>
      <c r="E234" s="4"/>
      <c r="F234" s="4"/>
      <c r="G234" s="4"/>
      <c r="H234" s="4"/>
      <c r="I234" s="4"/>
    </row>
    <row r="235" spans="1:9" ht="15.9" x14ac:dyDescent="0.4">
      <c r="A235" s="4"/>
      <c r="B235" s="4"/>
      <c r="C235" s="4"/>
      <c r="D235" s="4"/>
      <c r="E235" s="4"/>
      <c r="F235" s="4"/>
      <c r="G235" s="4"/>
      <c r="H235" s="4"/>
      <c r="I235" s="4"/>
    </row>
    <row r="236" spans="1:9" ht="15.9" x14ac:dyDescent="0.4">
      <c r="A236" s="4"/>
      <c r="B236" s="4"/>
      <c r="C236" s="4"/>
      <c r="D236" s="4"/>
      <c r="E236" s="4"/>
      <c r="F236" s="4"/>
      <c r="G236" s="4"/>
      <c r="H236" s="4"/>
      <c r="I236" s="4"/>
    </row>
    <row r="237" spans="1:9" ht="15.9" x14ac:dyDescent="0.4">
      <c r="A237" s="4"/>
      <c r="B237" s="4"/>
      <c r="C237" s="4"/>
      <c r="D237" s="4"/>
      <c r="E237" s="4"/>
      <c r="F237" s="4"/>
      <c r="G237" s="4"/>
      <c r="H237" s="4"/>
      <c r="I237" s="4"/>
    </row>
    <row r="238" spans="1:9" ht="15.9" x14ac:dyDescent="0.4">
      <c r="A238" s="4"/>
      <c r="B238" s="4"/>
      <c r="C238" s="4"/>
      <c r="D238" s="4"/>
      <c r="E238" s="4"/>
      <c r="F238" s="4"/>
      <c r="G238" s="4"/>
      <c r="H238" s="4"/>
      <c r="I238" s="4"/>
    </row>
    <row r="239" spans="1:9" ht="15.9" x14ac:dyDescent="0.4">
      <c r="A239" s="4"/>
      <c r="B239" s="4"/>
      <c r="C239" s="4"/>
      <c r="D239" s="4"/>
      <c r="E239" s="4"/>
      <c r="F239" s="4"/>
      <c r="G239" s="4"/>
      <c r="H239" s="4"/>
      <c r="I239" s="4"/>
    </row>
    <row r="240" spans="1:9" ht="15.9" x14ac:dyDescent="0.4">
      <c r="A240" s="4"/>
      <c r="B240" s="4"/>
      <c r="C240" s="4"/>
      <c r="D240" s="4"/>
      <c r="E240" s="4"/>
      <c r="F240" s="4"/>
      <c r="G240" s="4"/>
      <c r="H240" s="4"/>
      <c r="I240" s="4"/>
    </row>
    <row r="241" spans="1:9" ht="15.9" x14ac:dyDescent="0.4">
      <c r="A241" s="4"/>
      <c r="B241" s="4"/>
      <c r="C241" s="4"/>
      <c r="D241" s="4"/>
      <c r="E241" s="4"/>
      <c r="F241" s="4"/>
      <c r="G241" s="4"/>
      <c r="H241" s="4"/>
      <c r="I241" s="4"/>
    </row>
    <row r="242" spans="1:9" ht="15.9" x14ac:dyDescent="0.4">
      <c r="A242" s="4"/>
      <c r="B242" s="4"/>
      <c r="C242" s="4"/>
      <c r="D242" s="4"/>
      <c r="E242" s="4"/>
      <c r="F242" s="4"/>
      <c r="G242" s="4"/>
      <c r="H242" s="4"/>
      <c r="I242" s="4"/>
    </row>
    <row r="243" spans="1:9" ht="15.9" x14ac:dyDescent="0.4">
      <c r="A243" s="4"/>
      <c r="B243" s="4"/>
      <c r="C243" s="4"/>
      <c r="D243" s="4"/>
      <c r="E243" s="4"/>
      <c r="F243" s="4"/>
      <c r="G243" s="4"/>
      <c r="H243" s="4"/>
      <c r="I243" s="4"/>
    </row>
    <row r="244" spans="1:9" ht="15.9" x14ac:dyDescent="0.4">
      <c r="A244" s="4"/>
      <c r="B244" s="4"/>
      <c r="C244" s="4"/>
      <c r="D244" s="4"/>
      <c r="E244" s="4"/>
      <c r="F244" s="4"/>
      <c r="G244" s="4"/>
      <c r="H244" s="4"/>
      <c r="I244" s="4"/>
    </row>
    <row r="245" spans="1:9" ht="15.9" x14ac:dyDescent="0.4">
      <c r="A245" s="4"/>
      <c r="B245" s="4"/>
      <c r="C245" s="4"/>
      <c r="D245" s="4"/>
      <c r="E245" s="4"/>
      <c r="F245" s="4"/>
      <c r="G245" s="4"/>
      <c r="H245" s="4"/>
      <c r="I245" s="4"/>
    </row>
    <row r="246" spans="1:9" ht="15.9" x14ac:dyDescent="0.4">
      <c r="A246" s="4"/>
      <c r="B246" s="4"/>
      <c r="C246" s="4"/>
      <c r="D246" s="4"/>
      <c r="E246" s="4"/>
      <c r="F246" s="4"/>
      <c r="G246" s="4"/>
      <c r="H246" s="4"/>
      <c r="I246" s="4"/>
    </row>
    <row r="247" spans="1:9" ht="15.9" x14ac:dyDescent="0.4">
      <c r="A247" s="4"/>
      <c r="B247" s="4"/>
      <c r="C247" s="4"/>
      <c r="D247" s="4"/>
      <c r="E247" s="4"/>
      <c r="F247" s="4"/>
      <c r="G247" s="4"/>
      <c r="H247" s="4"/>
      <c r="I247" s="4"/>
    </row>
    <row r="248" spans="1:9" ht="15.9" x14ac:dyDescent="0.4">
      <c r="A248" s="4"/>
      <c r="B248" s="4"/>
      <c r="C248" s="4"/>
      <c r="D248" s="4"/>
      <c r="E248" s="4"/>
      <c r="F248" s="4"/>
      <c r="G248" s="4"/>
      <c r="H248" s="4"/>
      <c r="I248" s="4"/>
    </row>
    <row r="249" spans="1:9" ht="15.9" x14ac:dyDescent="0.4">
      <c r="A249" s="4"/>
      <c r="B249" s="4"/>
      <c r="C249" s="4"/>
      <c r="D249" s="4"/>
      <c r="E249" s="4"/>
      <c r="F249" s="4"/>
      <c r="G249" s="4"/>
      <c r="H249" s="4"/>
      <c r="I249" s="4"/>
    </row>
    <row r="250" spans="1:9" ht="15.9" x14ac:dyDescent="0.4">
      <c r="A250" s="4"/>
      <c r="B250" s="4"/>
      <c r="C250" s="4"/>
      <c r="D250" s="4"/>
      <c r="E250" s="4"/>
      <c r="F250" s="4"/>
      <c r="G250" s="4"/>
      <c r="H250" s="4"/>
      <c r="I250" s="4"/>
    </row>
    <row r="251" spans="1:9" ht="15.9" x14ac:dyDescent="0.4">
      <c r="A251" s="4"/>
      <c r="B251" s="4"/>
      <c r="C251" s="4"/>
      <c r="D251" s="4"/>
      <c r="E251" s="4"/>
      <c r="F251" s="4"/>
      <c r="G251" s="4"/>
      <c r="H251" s="4"/>
      <c r="I251" s="4"/>
    </row>
    <row r="252" spans="1:9" ht="15.9" x14ac:dyDescent="0.4">
      <c r="A252" s="4"/>
      <c r="B252" s="4"/>
      <c r="C252" s="4"/>
      <c r="D252" s="4"/>
      <c r="E252" s="4"/>
      <c r="F252" s="4"/>
      <c r="G252" s="4"/>
      <c r="H252" s="4"/>
      <c r="I252" s="4"/>
    </row>
    <row r="253" spans="1:9" ht="15.9" x14ac:dyDescent="0.4">
      <c r="A253" s="4"/>
      <c r="B253" s="4"/>
      <c r="C253" s="4"/>
      <c r="D253" s="4"/>
      <c r="E253" s="4"/>
      <c r="F253" s="4"/>
      <c r="G253" s="4"/>
      <c r="H253" s="4"/>
      <c r="I253" s="4"/>
    </row>
    <row r="254" spans="1:9" ht="15.9" x14ac:dyDescent="0.4">
      <c r="A254" s="4"/>
      <c r="B254" s="4"/>
      <c r="C254" s="4"/>
      <c r="D254" s="4"/>
      <c r="E254" s="4"/>
      <c r="F254" s="4"/>
      <c r="G254" s="4"/>
      <c r="H254" s="4"/>
      <c r="I254" s="4"/>
    </row>
    <row r="255" spans="1:9" ht="15.9" x14ac:dyDescent="0.4">
      <c r="A255" s="4"/>
      <c r="B255" s="4"/>
      <c r="C255" s="4"/>
      <c r="D255" s="4"/>
      <c r="E255" s="4"/>
      <c r="F255" s="4"/>
      <c r="G255" s="4"/>
      <c r="H255" s="4"/>
      <c r="I255" s="4"/>
    </row>
    <row r="256" spans="1:9" ht="15.9" x14ac:dyDescent="0.4">
      <c r="A256" s="4"/>
      <c r="B256" s="4"/>
      <c r="C256" s="4"/>
      <c r="D256" s="4"/>
      <c r="E256" s="4"/>
      <c r="F256" s="4"/>
      <c r="G256" s="4"/>
      <c r="H256" s="4"/>
      <c r="I256" s="4"/>
    </row>
    <row r="257" spans="1:9" ht="15.9" x14ac:dyDescent="0.4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5.9" x14ac:dyDescent="0.4">
      <c r="A258" s="4"/>
      <c r="B258" s="4"/>
      <c r="C258" s="4"/>
      <c r="D258" s="4"/>
      <c r="E258" s="4"/>
      <c r="F258" s="4"/>
      <c r="G258" s="4"/>
      <c r="H258" s="4"/>
      <c r="I258" s="4"/>
    </row>
    <row r="259" spans="1:9" ht="15.9" x14ac:dyDescent="0.4">
      <c r="A259" s="4"/>
      <c r="B259" s="4"/>
      <c r="C259" s="4"/>
      <c r="D259" s="4"/>
      <c r="E259" s="4"/>
      <c r="F259" s="4"/>
      <c r="G259" s="4"/>
      <c r="H259" s="4"/>
      <c r="I259" s="4"/>
    </row>
    <row r="260" spans="1:9" ht="15.9" x14ac:dyDescent="0.4">
      <c r="A260" s="4"/>
      <c r="B260" s="4"/>
      <c r="C260" s="4"/>
      <c r="D260" s="4"/>
      <c r="E260" s="4"/>
      <c r="F260" s="4"/>
      <c r="G260" s="4"/>
      <c r="H260" s="4"/>
      <c r="I260" s="4"/>
    </row>
    <row r="261" spans="1:9" ht="15.9" x14ac:dyDescent="0.4">
      <c r="A261" s="4"/>
      <c r="B261" s="4"/>
      <c r="C261" s="4"/>
      <c r="D261" s="4"/>
      <c r="E261" s="4"/>
      <c r="F261" s="4"/>
      <c r="G261" s="4"/>
      <c r="H261" s="4"/>
      <c r="I261" s="4"/>
    </row>
    <row r="262" spans="1:9" ht="15.9" x14ac:dyDescent="0.4">
      <c r="A262" s="4"/>
      <c r="B262" s="4"/>
      <c r="C262" s="4"/>
      <c r="D262" s="4"/>
      <c r="E262" s="4"/>
      <c r="F262" s="4"/>
      <c r="G262" s="4"/>
      <c r="H262" s="4"/>
      <c r="I262" s="4"/>
    </row>
    <row r="263" spans="1:9" ht="15.9" x14ac:dyDescent="0.4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5.9" x14ac:dyDescent="0.4">
      <c r="A264" s="4"/>
      <c r="B264" s="4"/>
      <c r="C264" s="4"/>
      <c r="D264" s="4"/>
      <c r="E264" s="4"/>
      <c r="F264" s="4"/>
      <c r="G264" s="4"/>
      <c r="H264" s="4"/>
      <c r="I264" s="4"/>
    </row>
    <row r="265" spans="1:9" ht="15.9" x14ac:dyDescent="0.4">
      <c r="A265" s="4"/>
      <c r="B265" s="4"/>
      <c r="C265" s="4"/>
      <c r="D265" s="4"/>
      <c r="E265" s="4"/>
      <c r="F265" s="4"/>
      <c r="G265" s="4"/>
      <c r="H265" s="4"/>
      <c r="I265" s="4"/>
    </row>
    <row r="266" spans="1:9" ht="15.9" x14ac:dyDescent="0.4">
      <c r="A266" s="4"/>
      <c r="B266" s="4"/>
      <c r="C266" s="4"/>
      <c r="D266" s="4"/>
      <c r="E266" s="4"/>
      <c r="F266" s="4"/>
      <c r="G266" s="4"/>
      <c r="H266" s="4"/>
      <c r="I266" s="4"/>
    </row>
    <row r="267" spans="1:9" ht="15.9" x14ac:dyDescent="0.4">
      <c r="A267" s="4"/>
      <c r="B267" s="4"/>
      <c r="C267" s="4"/>
      <c r="D267" s="4"/>
      <c r="E267" s="4"/>
      <c r="F267" s="4"/>
      <c r="G267" s="4"/>
      <c r="H267" s="4"/>
      <c r="I267" s="4"/>
    </row>
    <row r="268" spans="1:9" ht="15.9" x14ac:dyDescent="0.4">
      <c r="A268" s="4"/>
      <c r="B268" s="4"/>
      <c r="C268" s="4"/>
      <c r="D268" s="4"/>
      <c r="E268" s="4"/>
      <c r="F268" s="4"/>
      <c r="G268" s="4"/>
      <c r="H268" s="4"/>
      <c r="I268" s="4"/>
    </row>
    <row r="269" spans="1:9" ht="15.9" x14ac:dyDescent="0.4">
      <c r="A269" s="4"/>
      <c r="B269" s="4"/>
      <c r="C269" s="4"/>
      <c r="D269" s="4"/>
      <c r="E269" s="4"/>
      <c r="F269" s="4"/>
      <c r="G269" s="4"/>
      <c r="H269" s="4"/>
      <c r="I269" s="4"/>
    </row>
    <row r="270" spans="1:9" ht="15.9" x14ac:dyDescent="0.4">
      <c r="A270" s="4"/>
      <c r="B270" s="4"/>
      <c r="C270" s="4"/>
      <c r="D270" s="4"/>
      <c r="E270" s="4"/>
      <c r="F270" s="4"/>
      <c r="G270" s="4"/>
      <c r="H270" s="4"/>
      <c r="I270" s="4"/>
    </row>
    <row r="271" spans="1:9" ht="15.9" x14ac:dyDescent="0.4">
      <c r="A271" s="4"/>
      <c r="B271" s="4"/>
      <c r="C271" s="4"/>
      <c r="D271" s="4"/>
      <c r="E271" s="4"/>
      <c r="F271" s="4"/>
      <c r="G271" s="4"/>
      <c r="H271" s="4"/>
      <c r="I271" s="4"/>
    </row>
    <row r="272" spans="1:9" ht="15.9" x14ac:dyDescent="0.4">
      <c r="A272" s="4"/>
      <c r="B272" s="4"/>
      <c r="C272" s="4"/>
      <c r="D272" s="4"/>
      <c r="E272" s="4"/>
      <c r="F272" s="4"/>
      <c r="G272" s="4"/>
      <c r="H272" s="4"/>
      <c r="I272" s="4"/>
    </row>
    <row r="273" spans="1:9" ht="15.9" x14ac:dyDescent="0.4">
      <c r="A273" s="4"/>
      <c r="B273" s="4"/>
      <c r="C273" s="4"/>
      <c r="D273" s="4"/>
      <c r="E273" s="4"/>
      <c r="F273" s="4"/>
      <c r="G273" s="4"/>
      <c r="H273" s="4"/>
      <c r="I273" s="4"/>
    </row>
    <row r="274" spans="1:9" ht="15.9" x14ac:dyDescent="0.4">
      <c r="A274" s="4"/>
      <c r="B274" s="4"/>
      <c r="C274" s="4"/>
      <c r="D274" s="4"/>
      <c r="E274" s="4"/>
      <c r="F274" s="4"/>
      <c r="G274" s="4"/>
      <c r="H274" s="4"/>
      <c r="I274" s="4"/>
    </row>
    <row r="275" spans="1:9" ht="15.9" x14ac:dyDescent="0.4">
      <c r="A275" s="4"/>
      <c r="B275" s="4"/>
      <c r="C275" s="4"/>
      <c r="D275" s="4"/>
      <c r="E275" s="4"/>
      <c r="F275" s="4"/>
      <c r="G275" s="4"/>
      <c r="H275" s="4"/>
      <c r="I275" s="4"/>
    </row>
    <row r="276" spans="1:9" ht="15.9" x14ac:dyDescent="0.4">
      <c r="A276" s="4"/>
      <c r="B276" s="4"/>
      <c r="C276" s="4"/>
      <c r="D276" s="4"/>
      <c r="E276" s="4"/>
      <c r="F276" s="4"/>
      <c r="G276" s="4"/>
      <c r="H276" s="4"/>
      <c r="I276" s="4"/>
    </row>
    <row r="277" spans="1:9" ht="15.9" x14ac:dyDescent="0.4">
      <c r="A277" s="4"/>
      <c r="B277" s="4"/>
      <c r="C277" s="4"/>
      <c r="D277" s="4"/>
      <c r="E277" s="4"/>
      <c r="F277" s="4"/>
      <c r="G277" s="4"/>
      <c r="H277" s="4"/>
      <c r="I277" s="4"/>
    </row>
    <row r="278" spans="1:9" ht="15.9" x14ac:dyDescent="0.4">
      <c r="A278" s="4"/>
      <c r="B278" s="4"/>
      <c r="C278" s="4"/>
      <c r="D278" s="4"/>
      <c r="E278" s="4"/>
      <c r="F278" s="4"/>
      <c r="G278" s="4"/>
      <c r="H278" s="4"/>
      <c r="I278" s="4"/>
    </row>
    <row r="279" spans="1:9" ht="15.9" x14ac:dyDescent="0.4">
      <c r="A279" s="4"/>
      <c r="B279" s="4"/>
      <c r="C279" s="4"/>
      <c r="D279" s="4"/>
      <c r="E279" s="4"/>
      <c r="F279" s="4"/>
      <c r="G279" s="4"/>
      <c r="H279" s="4"/>
      <c r="I279" s="4"/>
    </row>
    <row r="280" spans="1:9" ht="15.9" x14ac:dyDescent="0.4">
      <c r="A280" s="4"/>
      <c r="B280" s="4"/>
      <c r="C280" s="4"/>
      <c r="D280" s="4"/>
      <c r="E280" s="4"/>
      <c r="F280" s="4"/>
      <c r="G280" s="4"/>
      <c r="H280" s="4"/>
      <c r="I280" s="4"/>
    </row>
    <row r="281" spans="1:9" ht="15.9" x14ac:dyDescent="0.4">
      <c r="A281" s="4"/>
      <c r="B281" s="4"/>
      <c r="C281" s="4"/>
      <c r="D281" s="4"/>
      <c r="E281" s="4"/>
      <c r="F281" s="4"/>
      <c r="G281" s="4"/>
      <c r="H281" s="4"/>
      <c r="I281" s="4"/>
    </row>
    <row r="282" spans="1:9" ht="15.9" x14ac:dyDescent="0.4">
      <c r="A282" s="4"/>
      <c r="B282" s="4"/>
      <c r="C282" s="4"/>
      <c r="D282" s="4"/>
      <c r="E282" s="4"/>
      <c r="F282" s="4"/>
      <c r="G282" s="4"/>
      <c r="H282" s="4"/>
      <c r="I282" s="4"/>
    </row>
    <row r="283" spans="1:9" ht="15.9" x14ac:dyDescent="0.4">
      <c r="A283" s="4"/>
      <c r="B283" s="4"/>
      <c r="C283" s="4"/>
      <c r="D283" s="4"/>
      <c r="E283" s="4"/>
      <c r="F283" s="4"/>
      <c r="G283" s="4"/>
      <c r="H283" s="4"/>
      <c r="I283" s="4"/>
    </row>
    <row r="284" spans="1:9" ht="15.9" x14ac:dyDescent="0.4">
      <c r="A284" s="4"/>
      <c r="B284" s="4"/>
      <c r="C284" s="4"/>
      <c r="D284" s="4"/>
      <c r="E284" s="4"/>
      <c r="F284" s="4"/>
      <c r="G284" s="4"/>
      <c r="H284" s="4"/>
      <c r="I284" s="4"/>
    </row>
    <row r="285" spans="1:9" ht="15.9" x14ac:dyDescent="0.4">
      <c r="A285" s="4"/>
      <c r="B285" s="4"/>
      <c r="C285" s="4"/>
      <c r="D285" s="4"/>
      <c r="E285" s="4"/>
      <c r="F285" s="4"/>
      <c r="G285" s="4"/>
      <c r="H285" s="4"/>
      <c r="I285" s="4"/>
    </row>
    <row r="286" spans="1:9" ht="15.9" x14ac:dyDescent="0.4">
      <c r="A286" s="4"/>
      <c r="B286" s="4"/>
      <c r="C286" s="4"/>
      <c r="D286" s="4"/>
      <c r="E286" s="4"/>
      <c r="F286" s="4"/>
      <c r="G286" s="4"/>
      <c r="H286" s="4"/>
      <c r="I286" s="4"/>
    </row>
    <row r="287" spans="1:9" ht="15.9" x14ac:dyDescent="0.4">
      <c r="A287" s="4"/>
      <c r="B287" s="4"/>
      <c r="C287" s="4"/>
      <c r="D287" s="4"/>
      <c r="E287" s="4"/>
      <c r="F287" s="4"/>
      <c r="G287" s="4"/>
      <c r="H287" s="4"/>
      <c r="I287" s="4"/>
    </row>
    <row r="288" spans="1:9" ht="15.9" x14ac:dyDescent="0.4">
      <c r="A288" s="4"/>
      <c r="B288" s="4"/>
      <c r="C288" s="4"/>
      <c r="D288" s="4"/>
      <c r="E288" s="4"/>
      <c r="F288" s="4"/>
      <c r="G288" s="4"/>
      <c r="H288" s="4"/>
      <c r="I288" s="4"/>
    </row>
    <row r="289" spans="1:9" ht="15.9" x14ac:dyDescent="0.4">
      <c r="A289" s="4"/>
      <c r="B289" s="4"/>
      <c r="C289" s="4"/>
      <c r="D289" s="4"/>
      <c r="E289" s="4"/>
      <c r="F289" s="4"/>
      <c r="G289" s="4"/>
      <c r="H289" s="4"/>
      <c r="I289" s="4"/>
    </row>
    <row r="290" spans="1:9" ht="15.9" x14ac:dyDescent="0.4">
      <c r="A290" s="4"/>
      <c r="B290" s="4"/>
      <c r="C290" s="4"/>
      <c r="D290" s="4"/>
      <c r="E290" s="4"/>
      <c r="F290" s="4"/>
      <c r="G290" s="4"/>
      <c r="H290" s="4"/>
      <c r="I290" s="4"/>
    </row>
    <row r="291" spans="1:9" ht="15.9" x14ac:dyDescent="0.4">
      <c r="A291" s="4"/>
      <c r="B291" s="4"/>
      <c r="C291" s="4"/>
      <c r="D291" s="4"/>
      <c r="E291" s="4"/>
      <c r="F291" s="4"/>
      <c r="G291" s="4"/>
      <c r="H291" s="4"/>
      <c r="I291" s="4"/>
    </row>
    <row r="292" spans="1:9" ht="15.9" x14ac:dyDescent="0.4">
      <c r="A292" s="4"/>
      <c r="B292" s="4"/>
      <c r="C292" s="4"/>
      <c r="D292" s="4"/>
      <c r="E292" s="4"/>
      <c r="F292" s="4"/>
      <c r="G292" s="4"/>
      <c r="H292" s="4"/>
      <c r="I292" s="4"/>
    </row>
    <row r="293" spans="1:9" ht="15.9" x14ac:dyDescent="0.4">
      <c r="A293" s="4"/>
      <c r="B293" s="4"/>
      <c r="C293" s="4"/>
      <c r="D293" s="4"/>
      <c r="E293" s="4"/>
      <c r="F293" s="4"/>
      <c r="G293" s="4"/>
      <c r="H293" s="4"/>
      <c r="I293" s="4"/>
    </row>
    <row r="294" spans="1:9" ht="15.9" x14ac:dyDescent="0.4">
      <c r="A294" s="4"/>
      <c r="B294" s="4"/>
      <c r="C294" s="4"/>
      <c r="D294" s="4"/>
      <c r="E294" s="4"/>
      <c r="F294" s="4"/>
      <c r="G294" s="4"/>
      <c r="H294" s="4"/>
      <c r="I294" s="4"/>
    </row>
    <row r="295" spans="1:9" ht="15.9" x14ac:dyDescent="0.4">
      <c r="A295" s="4"/>
      <c r="B295" s="4"/>
      <c r="C295" s="4"/>
      <c r="D295" s="4"/>
      <c r="E295" s="4"/>
      <c r="F295" s="4"/>
      <c r="G295" s="4"/>
      <c r="H295" s="4"/>
      <c r="I295" s="4"/>
    </row>
    <row r="296" spans="1:9" ht="15.9" x14ac:dyDescent="0.4">
      <c r="A296" s="4"/>
      <c r="B296" s="4"/>
      <c r="C296" s="4"/>
      <c r="D296" s="4"/>
      <c r="E296" s="4"/>
      <c r="F296" s="4"/>
      <c r="G296" s="4"/>
      <c r="H296" s="4"/>
      <c r="I296" s="4"/>
    </row>
    <row r="297" spans="1:9" ht="15.9" x14ac:dyDescent="0.4">
      <c r="A297" s="4"/>
      <c r="B297" s="4"/>
      <c r="C297" s="4"/>
      <c r="D297" s="4"/>
      <c r="E297" s="4"/>
      <c r="F297" s="4"/>
      <c r="G297" s="4"/>
      <c r="H297" s="4"/>
      <c r="I297" s="4"/>
    </row>
    <row r="298" spans="1:9" ht="15.9" x14ac:dyDescent="0.4">
      <c r="A298" s="4"/>
      <c r="B298" s="4"/>
      <c r="C298" s="4"/>
      <c r="D298" s="4"/>
      <c r="E298" s="4"/>
      <c r="F298" s="4"/>
      <c r="G298" s="4"/>
      <c r="H298" s="4"/>
      <c r="I298" s="4"/>
    </row>
    <row r="299" spans="1:9" ht="15.9" x14ac:dyDescent="0.4">
      <c r="A299" s="4"/>
      <c r="B299" s="4"/>
      <c r="C299" s="4"/>
      <c r="D299" s="4"/>
      <c r="E299" s="4"/>
      <c r="F299" s="4"/>
      <c r="G299" s="4"/>
      <c r="H299" s="4"/>
      <c r="I299" s="4"/>
    </row>
    <row r="300" spans="1:9" ht="15.9" x14ac:dyDescent="0.4">
      <c r="A300" s="4"/>
      <c r="B300" s="4"/>
      <c r="C300" s="4"/>
      <c r="D300" s="4"/>
      <c r="E300" s="4"/>
      <c r="F300" s="4"/>
      <c r="G300" s="4"/>
      <c r="H300" s="4"/>
      <c r="I300" s="4"/>
    </row>
    <row r="301" spans="1:9" ht="15.9" x14ac:dyDescent="0.4">
      <c r="A301" s="4"/>
      <c r="B301" s="4"/>
      <c r="C301" s="4"/>
      <c r="D301" s="4"/>
      <c r="E301" s="4"/>
      <c r="F301" s="4"/>
      <c r="G301" s="4"/>
      <c r="H301" s="4"/>
      <c r="I301" s="4"/>
    </row>
    <row r="302" spans="1:9" ht="15.9" x14ac:dyDescent="0.4">
      <c r="A302" s="4"/>
      <c r="B302" s="4"/>
      <c r="C302" s="4"/>
      <c r="D302" s="4"/>
      <c r="E302" s="4"/>
      <c r="F302" s="4"/>
      <c r="G302" s="4"/>
      <c r="H302" s="4"/>
      <c r="I302" s="4"/>
    </row>
    <row r="303" spans="1:9" ht="15.9" x14ac:dyDescent="0.4">
      <c r="A303" s="4"/>
      <c r="B303" s="4"/>
      <c r="C303" s="4"/>
      <c r="D303" s="4"/>
      <c r="E303" s="4"/>
      <c r="F303" s="4"/>
      <c r="G303" s="4"/>
      <c r="H303" s="4"/>
      <c r="I303" s="4"/>
    </row>
    <row r="304" spans="1:9" ht="15.9" x14ac:dyDescent="0.4">
      <c r="A304" s="4"/>
      <c r="B304" s="4"/>
      <c r="C304" s="4"/>
      <c r="D304" s="4"/>
      <c r="E304" s="4"/>
      <c r="F304" s="4"/>
      <c r="G304" s="4"/>
      <c r="H304" s="4"/>
      <c r="I304" s="4"/>
    </row>
    <row r="305" spans="1:9" ht="15.9" x14ac:dyDescent="0.4">
      <c r="A305" s="4"/>
      <c r="B305" s="4"/>
      <c r="C305" s="4"/>
      <c r="D305" s="4"/>
      <c r="E305" s="4"/>
      <c r="F305" s="4"/>
      <c r="G305" s="4"/>
      <c r="H305" s="4"/>
      <c r="I305" s="4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978C7-DD7D-40AA-8BF3-152D5311D5EA}">
  <dimension ref="A1:I301"/>
  <sheetViews>
    <sheetView workbookViewId="0">
      <selection activeCell="B98" sqref="B98"/>
    </sheetView>
  </sheetViews>
  <sheetFormatPr defaultRowHeight="14.6" x14ac:dyDescent="0.4"/>
  <cols>
    <col min="1" max="1" width="16.53515625" customWidth="1"/>
    <col min="2" max="2" width="37.84375" customWidth="1"/>
    <col min="3" max="3" width="37.3828125" customWidth="1"/>
    <col min="4" max="4" width="14" customWidth="1"/>
    <col min="5" max="5" width="17.15234375" customWidth="1"/>
    <col min="6" max="6" width="26" customWidth="1"/>
    <col min="7" max="7" width="24.69140625" customWidth="1"/>
    <col min="8" max="8" width="13.53515625" customWidth="1"/>
    <col min="9" max="9" width="37.3828125" customWidth="1"/>
  </cols>
  <sheetData>
    <row r="1" spans="1:9" s="2" customFormat="1" ht="18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9" x14ac:dyDescent="0.4">
      <c r="A2" s="3">
        <v>45964</v>
      </c>
      <c r="B2" s="4" t="s">
        <v>1934</v>
      </c>
      <c r="C2" s="4" t="s">
        <v>1935</v>
      </c>
      <c r="D2" s="4">
        <v>36652</v>
      </c>
      <c r="E2" s="4">
        <v>44</v>
      </c>
      <c r="F2" s="4" t="s">
        <v>11</v>
      </c>
      <c r="G2" s="4" t="s">
        <v>19</v>
      </c>
      <c r="H2" s="5">
        <v>3350</v>
      </c>
      <c r="I2" s="4"/>
    </row>
    <row r="3" spans="1:9" ht="15.9" x14ac:dyDescent="0.4">
      <c r="A3" s="3">
        <v>45964</v>
      </c>
      <c r="B3" s="4" t="s">
        <v>1068</v>
      </c>
      <c r="C3" s="4" t="s">
        <v>2032</v>
      </c>
      <c r="D3" s="4">
        <v>41888</v>
      </c>
      <c r="E3" s="4">
        <v>34</v>
      </c>
      <c r="F3" s="4" t="s">
        <v>756</v>
      </c>
      <c r="G3" s="4" t="s">
        <v>19</v>
      </c>
      <c r="H3" s="5">
        <v>2700</v>
      </c>
      <c r="I3" s="4"/>
    </row>
    <row r="4" spans="1:9" ht="15.9" x14ac:dyDescent="0.4">
      <c r="A4" s="3">
        <v>45965</v>
      </c>
      <c r="B4" s="4" t="s">
        <v>1068</v>
      </c>
      <c r="C4" s="4" t="s">
        <v>2032</v>
      </c>
      <c r="D4" s="4">
        <v>4188</v>
      </c>
      <c r="E4" s="4">
        <v>34</v>
      </c>
      <c r="F4" s="4" t="s">
        <v>756</v>
      </c>
      <c r="G4" s="4" t="s">
        <v>19</v>
      </c>
      <c r="H4" s="5">
        <v>2700</v>
      </c>
      <c r="I4" s="4"/>
    </row>
    <row r="5" spans="1:9" ht="15.9" x14ac:dyDescent="0.4">
      <c r="A5" s="3">
        <v>45965</v>
      </c>
      <c r="B5" s="4" t="s">
        <v>191</v>
      </c>
      <c r="C5" s="4" t="s">
        <v>2033</v>
      </c>
      <c r="D5" s="4">
        <v>24250</v>
      </c>
      <c r="E5" s="4">
        <v>30</v>
      </c>
      <c r="F5" s="4" t="s">
        <v>756</v>
      </c>
      <c r="G5" s="4" t="s">
        <v>25</v>
      </c>
      <c r="H5" s="5">
        <v>2400</v>
      </c>
      <c r="I5" s="4"/>
    </row>
    <row r="6" spans="1:9" ht="15.9" x14ac:dyDescent="0.4">
      <c r="A6" s="3">
        <v>45965</v>
      </c>
      <c r="B6" s="4" t="s">
        <v>141</v>
      </c>
      <c r="C6" s="4" t="s">
        <v>2034</v>
      </c>
      <c r="D6" s="4">
        <v>6090</v>
      </c>
      <c r="E6" s="4">
        <v>7</v>
      </c>
      <c r="F6" s="4" t="s">
        <v>35</v>
      </c>
      <c r="G6" s="4" t="s">
        <v>161</v>
      </c>
      <c r="H6" s="5">
        <v>552.71</v>
      </c>
      <c r="I6" s="4"/>
    </row>
    <row r="7" spans="1:9" ht="15.9" x14ac:dyDescent="0.4">
      <c r="A7" s="3">
        <v>45965</v>
      </c>
      <c r="B7" s="4" t="s">
        <v>141</v>
      </c>
      <c r="C7" s="4" t="s">
        <v>2035</v>
      </c>
      <c r="D7" s="4">
        <v>41760</v>
      </c>
      <c r="E7" s="4">
        <v>48</v>
      </c>
      <c r="F7" s="4" t="s">
        <v>756</v>
      </c>
      <c r="G7" s="4" t="s">
        <v>25</v>
      </c>
      <c r="H7" s="5">
        <v>2400</v>
      </c>
      <c r="I7" s="4"/>
    </row>
    <row r="8" spans="1:9" ht="15.9" x14ac:dyDescent="0.4">
      <c r="A8" s="3">
        <v>45965</v>
      </c>
      <c r="B8" s="4" t="s">
        <v>2036</v>
      </c>
      <c r="C8" s="4" t="s">
        <v>2037</v>
      </c>
      <c r="D8" s="4">
        <v>38550</v>
      </c>
      <c r="E8" s="4">
        <v>50</v>
      </c>
      <c r="F8" s="4" t="s">
        <v>756</v>
      </c>
      <c r="G8" s="4" t="s">
        <v>832</v>
      </c>
      <c r="H8" s="5">
        <v>4200</v>
      </c>
      <c r="I8" s="4"/>
    </row>
    <row r="9" spans="1:9" ht="15.9" x14ac:dyDescent="0.4">
      <c r="A9" s="3">
        <v>45965</v>
      </c>
      <c r="B9" s="4" t="s">
        <v>141</v>
      </c>
      <c r="C9" s="4" t="s">
        <v>2038</v>
      </c>
      <c r="D9" s="4">
        <v>41700</v>
      </c>
      <c r="E9" s="4">
        <v>48</v>
      </c>
      <c r="F9" s="4" t="s">
        <v>756</v>
      </c>
      <c r="G9" s="4" t="s">
        <v>25</v>
      </c>
      <c r="H9" s="5">
        <v>2400</v>
      </c>
      <c r="I9" s="4"/>
    </row>
    <row r="10" spans="1:9" ht="15.9" x14ac:dyDescent="0.4">
      <c r="A10" s="3">
        <v>45965</v>
      </c>
      <c r="B10" s="4" t="s">
        <v>141</v>
      </c>
      <c r="C10" s="4" t="s">
        <v>2039</v>
      </c>
      <c r="D10" s="4">
        <v>41700</v>
      </c>
      <c r="E10" s="4">
        <v>48</v>
      </c>
      <c r="F10" s="4" t="s">
        <v>756</v>
      </c>
      <c r="G10" s="4" t="s">
        <v>25</v>
      </c>
      <c r="H10" s="5">
        <v>2400</v>
      </c>
      <c r="I10" s="4"/>
    </row>
    <row r="11" spans="1:9" ht="15.9" x14ac:dyDescent="0.4">
      <c r="A11" s="3">
        <v>45965</v>
      </c>
      <c r="B11" s="4" t="s">
        <v>2040</v>
      </c>
      <c r="C11" s="4" t="s">
        <v>2041</v>
      </c>
      <c r="D11" s="4">
        <v>28873</v>
      </c>
      <c r="E11" s="4">
        <v>39</v>
      </c>
      <c r="F11" s="4" t="s">
        <v>11</v>
      </c>
      <c r="G11" s="4" t="s">
        <v>19</v>
      </c>
      <c r="H11" s="5">
        <v>1650</v>
      </c>
      <c r="I11" s="4"/>
    </row>
    <row r="12" spans="1:9" ht="15.9" x14ac:dyDescent="0.4">
      <c r="A12" s="3">
        <v>45965</v>
      </c>
      <c r="B12" s="4" t="s">
        <v>141</v>
      </c>
      <c r="C12" s="4" t="s">
        <v>2042</v>
      </c>
      <c r="D12" s="4">
        <v>41760</v>
      </c>
      <c r="E12" s="4">
        <v>48</v>
      </c>
      <c r="F12" s="4" t="s">
        <v>756</v>
      </c>
      <c r="G12" s="4" t="s">
        <v>25</v>
      </c>
      <c r="H12" s="5">
        <v>2400</v>
      </c>
      <c r="I12" s="4"/>
    </row>
    <row r="13" spans="1:9" ht="15.9" x14ac:dyDescent="0.4">
      <c r="A13" s="3">
        <v>45965</v>
      </c>
      <c r="B13" s="4" t="s">
        <v>141</v>
      </c>
      <c r="C13" s="4" t="s">
        <v>2043</v>
      </c>
      <c r="D13" s="4">
        <v>41760</v>
      </c>
      <c r="E13" s="4">
        <v>48</v>
      </c>
      <c r="F13" s="4" t="s">
        <v>756</v>
      </c>
      <c r="G13" s="4" t="s">
        <v>25</v>
      </c>
      <c r="H13" s="5">
        <v>2400</v>
      </c>
      <c r="I13" s="4"/>
    </row>
    <row r="14" spans="1:9" ht="15.9" x14ac:dyDescent="0.4">
      <c r="A14" s="3">
        <v>45965</v>
      </c>
      <c r="B14" s="4" t="s">
        <v>64</v>
      </c>
      <c r="C14" s="4" t="s">
        <v>2044</v>
      </c>
      <c r="D14" s="4">
        <v>735</v>
      </c>
      <c r="E14" s="4">
        <v>1</v>
      </c>
      <c r="F14" s="4" t="s">
        <v>35</v>
      </c>
      <c r="G14" s="4" t="s">
        <v>161</v>
      </c>
      <c r="H14" s="5">
        <v>274.77</v>
      </c>
      <c r="I14" s="4"/>
    </row>
    <row r="15" spans="1:9" ht="15.9" x14ac:dyDescent="0.4">
      <c r="A15" s="3">
        <v>45965</v>
      </c>
      <c r="B15" s="4" t="s">
        <v>486</v>
      </c>
      <c r="C15" s="4" t="s">
        <v>2045</v>
      </c>
      <c r="D15" s="4">
        <v>3680</v>
      </c>
      <c r="E15" s="4">
        <v>4</v>
      </c>
      <c r="F15" s="4" t="s">
        <v>35</v>
      </c>
      <c r="G15" s="4" t="s">
        <v>12</v>
      </c>
      <c r="H15" s="5"/>
      <c r="I15" s="4"/>
    </row>
    <row r="16" spans="1:9" ht="15.9" x14ac:dyDescent="0.4">
      <c r="A16" s="3">
        <v>45966</v>
      </c>
      <c r="B16" s="4" t="s">
        <v>207</v>
      </c>
      <c r="C16" s="4" t="s">
        <v>2046</v>
      </c>
      <c r="D16" s="4">
        <v>33810</v>
      </c>
      <c r="E16" s="4">
        <v>46</v>
      </c>
      <c r="F16" s="4" t="s">
        <v>11</v>
      </c>
      <c r="G16" s="4" t="s">
        <v>19</v>
      </c>
      <c r="H16" s="5">
        <v>1250</v>
      </c>
      <c r="I16" s="4"/>
    </row>
    <row r="17" spans="1:9" ht="15.9" x14ac:dyDescent="0.4">
      <c r="A17" s="3">
        <v>45966</v>
      </c>
      <c r="B17" s="4" t="s">
        <v>1068</v>
      </c>
      <c r="C17" s="4" t="s">
        <v>2047</v>
      </c>
      <c r="D17" s="4">
        <v>39424</v>
      </c>
      <c r="E17" s="4">
        <v>32</v>
      </c>
      <c r="F17" s="4" t="s">
        <v>756</v>
      </c>
      <c r="G17" s="4" t="s">
        <v>19</v>
      </c>
      <c r="H17" s="5">
        <v>2700</v>
      </c>
      <c r="I17" s="4"/>
    </row>
    <row r="18" spans="1:9" ht="15.9" x14ac:dyDescent="0.4">
      <c r="A18" s="3">
        <v>45966</v>
      </c>
      <c r="B18" s="4" t="s">
        <v>141</v>
      </c>
      <c r="C18" s="4" t="s">
        <v>2048</v>
      </c>
      <c r="D18" s="4">
        <v>41760</v>
      </c>
      <c r="E18" s="4">
        <v>48</v>
      </c>
      <c r="F18" s="4" t="s">
        <v>756</v>
      </c>
      <c r="G18" s="4" t="s">
        <v>25</v>
      </c>
      <c r="H18" s="5">
        <v>2400</v>
      </c>
      <c r="I18" s="4"/>
    </row>
    <row r="19" spans="1:9" ht="15.9" x14ac:dyDescent="0.4">
      <c r="A19" s="3">
        <v>45966</v>
      </c>
      <c r="B19" s="4" t="s">
        <v>2049</v>
      </c>
      <c r="C19" s="4" t="s">
        <v>2050</v>
      </c>
      <c r="D19" s="4">
        <v>38720</v>
      </c>
      <c r="E19" s="4">
        <v>44</v>
      </c>
      <c r="F19" s="4" t="s">
        <v>11</v>
      </c>
      <c r="G19" s="4" t="s">
        <v>19</v>
      </c>
      <c r="H19" s="5">
        <v>2750</v>
      </c>
      <c r="I19" s="4"/>
    </row>
    <row r="20" spans="1:9" ht="15.9" x14ac:dyDescent="0.4">
      <c r="A20" s="3">
        <v>45966</v>
      </c>
      <c r="B20" s="4" t="s">
        <v>141</v>
      </c>
      <c r="C20" s="4" t="s">
        <v>2051</v>
      </c>
      <c r="D20" s="4">
        <v>41760</v>
      </c>
      <c r="E20" s="4">
        <v>48</v>
      </c>
      <c r="F20" s="4" t="s">
        <v>756</v>
      </c>
      <c r="G20" s="4" t="s">
        <v>25</v>
      </c>
      <c r="H20" s="5">
        <v>2400</v>
      </c>
      <c r="I20" s="4"/>
    </row>
    <row r="21" spans="1:9" ht="15.9" x14ac:dyDescent="0.4">
      <c r="A21" s="3">
        <v>45966</v>
      </c>
      <c r="B21" s="4" t="s">
        <v>141</v>
      </c>
      <c r="C21" s="4" t="s">
        <v>2055</v>
      </c>
      <c r="D21" s="4">
        <v>42025</v>
      </c>
      <c r="E21" s="4">
        <v>49</v>
      </c>
      <c r="F21" s="4" t="s">
        <v>756</v>
      </c>
      <c r="G21" s="4" t="s">
        <v>25</v>
      </c>
      <c r="H21" s="5">
        <v>2400</v>
      </c>
      <c r="I21" s="4"/>
    </row>
    <row r="22" spans="1:9" ht="15.9" x14ac:dyDescent="0.4">
      <c r="A22" s="3">
        <v>45967</v>
      </c>
      <c r="B22" s="4" t="s">
        <v>2049</v>
      </c>
      <c r="C22" s="4" t="s">
        <v>2052</v>
      </c>
      <c r="D22" s="4">
        <v>36080</v>
      </c>
      <c r="E22" s="4">
        <v>41</v>
      </c>
      <c r="F22" s="4" t="s">
        <v>11</v>
      </c>
      <c r="G22" s="4" t="s">
        <v>19</v>
      </c>
      <c r="H22" s="5">
        <v>2750</v>
      </c>
      <c r="I22" s="4"/>
    </row>
    <row r="23" spans="1:9" ht="15.9" x14ac:dyDescent="0.4">
      <c r="A23" s="3">
        <v>45967</v>
      </c>
      <c r="B23" s="4" t="s">
        <v>2036</v>
      </c>
      <c r="C23" s="4" t="s">
        <v>2053</v>
      </c>
      <c r="D23" s="4">
        <v>38550</v>
      </c>
      <c r="E23" s="4">
        <v>50</v>
      </c>
      <c r="F23" s="4" t="s">
        <v>756</v>
      </c>
      <c r="G23" s="4" t="s">
        <v>832</v>
      </c>
      <c r="H23" s="5">
        <v>4200</v>
      </c>
      <c r="I23" s="4"/>
    </row>
    <row r="24" spans="1:9" ht="15.9" x14ac:dyDescent="0.4">
      <c r="A24" s="3">
        <v>45967</v>
      </c>
      <c r="B24" s="4" t="s">
        <v>2036</v>
      </c>
      <c r="C24" s="4" t="s">
        <v>2054</v>
      </c>
      <c r="D24" s="4">
        <v>38550</v>
      </c>
      <c r="E24" s="4">
        <v>50</v>
      </c>
      <c r="F24" s="4" t="s">
        <v>756</v>
      </c>
      <c r="G24" s="4" t="s">
        <v>832</v>
      </c>
      <c r="H24" s="5">
        <v>4200</v>
      </c>
      <c r="I24" s="4"/>
    </row>
    <row r="25" spans="1:9" ht="15.9" x14ac:dyDescent="0.4">
      <c r="A25" s="3">
        <v>45967</v>
      </c>
      <c r="B25" s="4" t="s">
        <v>2040</v>
      </c>
      <c r="C25" s="6" t="s">
        <v>2056</v>
      </c>
      <c r="D25" s="4">
        <v>4950</v>
      </c>
      <c r="E25" s="4">
        <v>6</v>
      </c>
      <c r="F25" s="4" t="s">
        <v>35</v>
      </c>
      <c r="G25" s="4" t="s">
        <v>161</v>
      </c>
      <c r="H25" s="5">
        <v>566.35</v>
      </c>
      <c r="I25" s="4"/>
    </row>
    <row r="26" spans="1:9" ht="15.9" x14ac:dyDescent="0.4">
      <c r="A26" s="3">
        <v>45967</v>
      </c>
      <c r="B26" s="4" t="s">
        <v>255</v>
      </c>
      <c r="C26" s="4" t="s">
        <v>1696</v>
      </c>
      <c r="D26" s="4">
        <v>831</v>
      </c>
      <c r="E26" s="4">
        <v>1</v>
      </c>
      <c r="F26" s="4" t="s">
        <v>35</v>
      </c>
      <c r="G26" s="4" t="s">
        <v>161</v>
      </c>
      <c r="H26" s="5">
        <v>276.33999999999997</v>
      </c>
      <c r="I26" s="4"/>
    </row>
    <row r="27" spans="1:9" ht="15.9" x14ac:dyDescent="0.4">
      <c r="A27" s="3">
        <v>45967</v>
      </c>
      <c r="B27" s="4" t="s">
        <v>927</v>
      </c>
      <c r="C27" s="4" t="s">
        <v>2057</v>
      </c>
      <c r="D27" s="4">
        <v>7495</v>
      </c>
      <c r="E27" s="4">
        <v>10</v>
      </c>
      <c r="F27" s="4" t="s">
        <v>35</v>
      </c>
      <c r="G27" s="4" t="s">
        <v>161</v>
      </c>
      <c r="H27" s="5">
        <v>1355.43</v>
      </c>
      <c r="I27" s="4"/>
    </row>
    <row r="28" spans="1:9" ht="15.9" x14ac:dyDescent="0.4">
      <c r="A28" s="3">
        <v>45967</v>
      </c>
      <c r="B28" s="4" t="s">
        <v>1068</v>
      </c>
      <c r="C28" s="4" t="s">
        <v>2058</v>
      </c>
      <c r="D28" s="4">
        <v>40020</v>
      </c>
      <c r="E28" s="4">
        <v>46</v>
      </c>
      <c r="F28" s="4" t="s">
        <v>756</v>
      </c>
      <c r="G28" s="4" t="s">
        <v>19</v>
      </c>
      <c r="H28" s="5">
        <v>2700</v>
      </c>
      <c r="I28" s="4"/>
    </row>
    <row r="29" spans="1:9" ht="15.9" x14ac:dyDescent="0.4">
      <c r="A29" s="3">
        <v>45968</v>
      </c>
      <c r="B29" s="4" t="s">
        <v>2059</v>
      </c>
      <c r="C29" s="4" t="s">
        <v>2060</v>
      </c>
      <c r="D29" s="4">
        <v>4350</v>
      </c>
      <c r="E29" s="4">
        <v>5</v>
      </c>
      <c r="F29" s="4" t="s">
        <v>2061</v>
      </c>
      <c r="G29" s="4" t="s">
        <v>19</v>
      </c>
      <c r="H29" s="5">
        <v>1350</v>
      </c>
      <c r="I29" s="4"/>
    </row>
    <row r="30" spans="1:9" ht="15.9" x14ac:dyDescent="0.4">
      <c r="A30" s="3">
        <v>45968</v>
      </c>
      <c r="B30" s="4" t="s">
        <v>17</v>
      </c>
      <c r="C30" s="4" t="s">
        <v>2062</v>
      </c>
      <c r="D30" s="4">
        <v>34800</v>
      </c>
      <c r="E30" s="4">
        <v>40</v>
      </c>
      <c r="F30" s="4" t="s">
        <v>756</v>
      </c>
      <c r="G30" s="4" t="s">
        <v>25</v>
      </c>
      <c r="H30" s="5">
        <v>1850</v>
      </c>
      <c r="I30" s="4"/>
    </row>
    <row r="31" spans="1:9" ht="15.9" x14ac:dyDescent="0.4">
      <c r="A31" s="3">
        <v>45968</v>
      </c>
      <c r="B31" s="4" t="s">
        <v>1934</v>
      </c>
      <c r="C31" s="4" t="s">
        <v>2063</v>
      </c>
      <c r="D31" s="4">
        <v>14572</v>
      </c>
      <c r="E31" s="4">
        <v>18</v>
      </c>
      <c r="F31" s="4" t="s">
        <v>11</v>
      </c>
      <c r="G31" s="4" t="s">
        <v>19</v>
      </c>
      <c r="H31" s="5">
        <v>2300</v>
      </c>
      <c r="I31" s="4"/>
    </row>
    <row r="32" spans="1:9" ht="15.9" x14ac:dyDescent="0.4">
      <c r="A32" s="3">
        <v>45971</v>
      </c>
      <c r="B32" s="4" t="s">
        <v>2036</v>
      </c>
      <c r="C32" s="4" t="s">
        <v>2064</v>
      </c>
      <c r="D32" s="4">
        <v>38550</v>
      </c>
      <c r="E32" s="4">
        <v>50</v>
      </c>
      <c r="F32" s="4" t="s">
        <v>756</v>
      </c>
      <c r="G32" s="4" t="s">
        <v>832</v>
      </c>
      <c r="H32" s="5">
        <v>4200</v>
      </c>
      <c r="I32" s="4"/>
    </row>
    <row r="33" spans="1:9" ht="15.9" x14ac:dyDescent="0.4">
      <c r="A33" s="3">
        <v>45971</v>
      </c>
      <c r="B33" s="4" t="s">
        <v>66</v>
      </c>
      <c r="C33" s="4" t="s">
        <v>2011</v>
      </c>
      <c r="D33" s="4">
        <v>38720</v>
      </c>
      <c r="E33" s="4">
        <v>44</v>
      </c>
      <c r="F33" s="4" t="s">
        <v>11</v>
      </c>
      <c r="G33" s="4" t="s">
        <v>19</v>
      </c>
      <c r="H33" s="5">
        <v>3350</v>
      </c>
      <c r="I33" s="4"/>
    </row>
    <row r="34" spans="1:9" ht="15.9" x14ac:dyDescent="0.4">
      <c r="A34" s="3">
        <v>45971</v>
      </c>
      <c r="B34" s="4" t="s">
        <v>66</v>
      </c>
      <c r="C34" s="4" t="s">
        <v>1998</v>
      </c>
      <c r="D34" s="4">
        <v>27280</v>
      </c>
      <c r="E34" s="4">
        <v>31</v>
      </c>
      <c r="F34" s="4" t="s">
        <v>11</v>
      </c>
      <c r="G34" s="4" t="s">
        <v>19</v>
      </c>
      <c r="H34" s="5">
        <v>3350</v>
      </c>
      <c r="I34" s="4"/>
    </row>
    <row r="35" spans="1:9" ht="15.9" x14ac:dyDescent="0.4">
      <c r="A35" s="3">
        <v>45973</v>
      </c>
      <c r="B35" s="4" t="s">
        <v>150</v>
      </c>
      <c r="C35" s="4" t="s">
        <v>2065</v>
      </c>
      <c r="D35" s="4">
        <v>41760</v>
      </c>
      <c r="E35" s="4">
        <v>48</v>
      </c>
      <c r="F35" s="4" t="s">
        <v>756</v>
      </c>
      <c r="G35" s="4" t="s">
        <v>25</v>
      </c>
      <c r="H35" s="5">
        <v>3600</v>
      </c>
      <c r="I35" s="4"/>
    </row>
    <row r="36" spans="1:9" ht="15.9" x14ac:dyDescent="0.4">
      <c r="A36" s="3">
        <v>45973</v>
      </c>
      <c r="B36" s="4" t="s">
        <v>150</v>
      </c>
      <c r="C36" s="4" t="s">
        <v>2066</v>
      </c>
      <c r="D36" s="4">
        <v>3480</v>
      </c>
      <c r="E36" s="4">
        <v>4</v>
      </c>
      <c r="F36" s="4" t="s">
        <v>35</v>
      </c>
      <c r="G36" s="4" t="s">
        <v>161</v>
      </c>
      <c r="H36" s="5">
        <v>589.69000000000005</v>
      </c>
      <c r="I36" s="4"/>
    </row>
    <row r="37" spans="1:9" ht="15.9" x14ac:dyDescent="0.4">
      <c r="A37" s="3">
        <v>45974</v>
      </c>
      <c r="B37" s="4" t="s">
        <v>2067</v>
      </c>
      <c r="C37" s="4" t="s">
        <v>2068</v>
      </c>
      <c r="D37" s="4">
        <v>220</v>
      </c>
      <c r="E37" s="4">
        <v>1</v>
      </c>
      <c r="F37" s="4" t="s">
        <v>2061</v>
      </c>
      <c r="G37" s="4" t="s">
        <v>19</v>
      </c>
      <c r="H37" s="5">
        <v>1250</v>
      </c>
      <c r="I37" s="4"/>
    </row>
    <row r="38" spans="1:9" ht="15.9" x14ac:dyDescent="0.4">
      <c r="A38" s="3">
        <v>45978</v>
      </c>
      <c r="B38" s="4" t="s">
        <v>120</v>
      </c>
      <c r="C38" s="4" t="s">
        <v>2069</v>
      </c>
      <c r="D38" s="4">
        <v>41760</v>
      </c>
      <c r="E38" s="4">
        <v>48</v>
      </c>
      <c r="F38" s="4" t="s">
        <v>756</v>
      </c>
      <c r="G38" s="4" t="s">
        <v>25</v>
      </c>
      <c r="H38" s="5">
        <v>2800</v>
      </c>
      <c r="I38" s="4"/>
    </row>
    <row r="39" spans="1:9" ht="15.9" x14ac:dyDescent="0.4">
      <c r="A39" s="3">
        <v>45978</v>
      </c>
      <c r="B39" s="4" t="s">
        <v>1503</v>
      </c>
      <c r="C39" s="4" t="s">
        <v>2070</v>
      </c>
      <c r="D39" s="4">
        <v>860</v>
      </c>
      <c r="E39" s="4">
        <v>1</v>
      </c>
      <c r="F39" s="4" t="s">
        <v>35</v>
      </c>
      <c r="G39" s="4" t="s">
        <v>12</v>
      </c>
      <c r="H39" s="5"/>
      <c r="I39" s="4"/>
    </row>
    <row r="40" spans="1:9" ht="15.9" x14ac:dyDescent="0.4">
      <c r="A40" s="3">
        <v>45978</v>
      </c>
      <c r="B40" s="4" t="s">
        <v>150</v>
      </c>
      <c r="C40" s="4" t="s">
        <v>2071</v>
      </c>
      <c r="D40" s="4">
        <v>8630</v>
      </c>
      <c r="E40" s="4">
        <v>7</v>
      </c>
      <c r="F40" s="4" t="s">
        <v>35</v>
      </c>
      <c r="G40" s="4" t="s">
        <v>161</v>
      </c>
      <c r="H40" s="5">
        <v>1028.46</v>
      </c>
      <c r="I40" s="4"/>
    </row>
    <row r="41" spans="1:9" ht="15.9" x14ac:dyDescent="0.4">
      <c r="A41" s="3">
        <v>45978</v>
      </c>
      <c r="B41" s="4" t="s">
        <v>120</v>
      </c>
      <c r="C41" s="4" t="s">
        <v>2072</v>
      </c>
      <c r="D41" s="4">
        <v>33060</v>
      </c>
      <c r="E41" s="4">
        <v>38</v>
      </c>
      <c r="F41" s="4" t="s">
        <v>756</v>
      </c>
      <c r="G41" s="4" t="s">
        <v>25</v>
      </c>
      <c r="H41" s="5">
        <v>2800</v>
      </c>
      <c r="I41" s="4"/>
    </row>
    <row r="42" spans="1:9" ht="15.9" x14ac:dyDescent="0.4">
      <c r="A42" s="3">
        <v>45978</v>
      </c>
      <c r="B42" s="4" t="s">
        <v>2073</v>
      </c>
      <c r="C42" s="4" t="s">
        <v>2074</v>
      </c>
      <c r="D42" s="4">
        <v>41800</v>
      </c>
      <c r="E42" s="4">
        <v>44</v>
      </c>
      <c r="F42" s="4" t="s">
        <v>11</v>
      </c>
      <c r="G42" s="4" t="s">
        <v>19</v>
      </c>
      <c r="H42" s="5">
        <v>5000</v>
      </c>
      <c r="I42" s="4"/>
    </row>
    <row r="43" spans="1:9" ht="15.9" x14ac:dyDescent="0.4">
      <c r="A43" s="3">
        <v>45978</v>
      </c>
      <c r="B43" s="4" t="s">
        <v>120</v>
      </c>
      <c r="C43" s="4" t="s">
        <v>2075</v>
      </c>
      <c r="D43" s="4">
        <v>16500</v>
      </c>
      <c r="E43" s="4">
        <v>19</v>
      </c>
      <c r="F43" s="4" t="s">
        <v>756</v>
      </c>
      <c r="G43" s="4" t="s">
        <v>25</v>
      </c>
      <c r="H43" s="5">
        <v>2800</v>
      </c>
      <c r="I43" s="4"/>
    </row>
    <row r="44" spans="1:9" ht="15.9" x14ac:dyDescent="0.4">
      <c r="A44" s="3">
        <v>45978</v>
      </c>
      <c r="B44" s="4" t="s">
        <v>81</v>
      </c>
      <c r="C44" s="4" t="s">
        <v>2076</v>
      </c>
      <c r="D44" s="4">
        <v>3268</v>
      </c>
      <c r="E44" s="4">
        <v>4</v>
      </c>
      <c r="F44" s="4" t="s">
        <v>35</v>
      </c>
      <c r="G44" s="4" t="s">
        <v>12</v>
      </c>
      <c r="H44" s="5"/>
      <c r="I44" s="4"/>
    </row>
    <row r="45" spans="1:9" ht="15.9" x14ac:dyDescent="0.4">
      <c r="A45" s="3">
        <v>45978</v>
      </c>
      <c r="B45" s="4" t="s">
        <v>2077</v>
      </c>
      <c r="C45" s="4" t="s">
        <v>2078</v>
      </c>
      <c r="D45" s="4">
        <v>15420</v>
      </c>
      <c r="E45" s="4">
        <v>20</v>
      </c>
      <c r="F45" s="4" t="s">
        <v>2061</v>
      </c>
      <c r="G45" s="4" t="s">
        <v>19</v>
      </c>
      <c r="H45" s="5">
        <v>4050</v>
      </c>
      <c r="I45" s="4"/>
    </row>
    <row r="46" spans="1:9" ht="15.9" x14ac:dyDescent="0.4">
      <c r="A46" s="3">
        <v>45978</v>
      </c>
      <c r="B46" s="4" t="s">
        <v>2073</v>
      </c>
      <c r="C46" s="4" t="s">
        <v>2079</v>
      </c>
      <c r="D46" s="4">
        <v>41800</v>
      </c>
      <c r="E46" s="4">
        <v>44</v>
      </c>
      <c r="F46" s="4" t="s">
        <v>11</v>
      </c>
      <c r="G46" s="4" t="s">
        <v>19</v>
      </c>
      <c r="H46" s="5">
        <v>5000</v>
      </c>
      <c r="I46" s="4"/>
    </row>
    <row r="47" spans="1:9" ht="15.9" x14ac:dyDescent="0.4">
      <c r="A47" s="3">
        <v>45978</v>
      </c>
      <c r="B47" s="4" t="s">
        <v>129</v>
      </c>
      <c r="C47" s="4" t="s">
        <v>2080</v>
      </c>
      <c r="D47" s="4">
        <v>29580</v>
      </c>
      <c r="E47" s="4">
        <v>34</v>
      </c>
      <c r="F47" s="4" t="s">
        <v>756</v>
      </c>
      <c r="G47" s="4" t="s">
        <v>25</v>
      </c>
      <c r="H47" s="5">
        <v>2900</v>
      </c>
      <c r="I47" s="4"/>
    </row>
    <row r="48" spans="1:9" ht="15.9" x14ac:dyDescent="0.4">
      <c r="A48" s="3">
        <v>45978</v>
      </c>
      <c r="B48" s="4" t="s">
        <v>2081</v>
      </c>
      <c r="C48" s="4" t="s">
        <v>2082</v>
      </c>
      <c r="D48" s="4">
        <v>16560</v>
      </c>
      <c r="E48" s="4">
        <v>18</v>
      </c>
      <c r="F48" s="4" t="s">
        <v>756</v>
      </c>
      <c r="G48" s="4" t="s">
        <v>832</v>
      </c>
      <c r="H48" s="5">
        <v>2600</v>
      </c>
      <c r="I48" s="4"/>
    </row>
    <row r="49" spans="1:9" ht="15.9" x14ac:dyDescent="0.4">
      <c r="A49" s="3">
        <v>45978</v>
      </c>
      <c r="B49" s="4" t="s">
        <v>2073</v>
      </c>
      <c r="C49" s="4" t="s">
        <v>2083</v>
      </c>
      <c r="D49" s="4">
        <v>41800</v>
      </c>
      <c r="E49" s="4">
        <v>44</v>
      </c>
      <c r="F49" s="4" t="s">
        <v>11</v>
      </c>
      <c r="G49" s="4" t="s">
        <v>19</v>
      </c>
      <c r="H49" s="5">
        <v>5000</v>
      </c>
      <c r="I49" s="4"/>
    </row>
    <row r="50" spans="1:9" ht="15.9" x14ac:dyDescent="0.4">
      <c r="A50" s="3">
        <v>45979</v>
      </c>
      <c r="B50" s="4" t="s">
        <v>2084</v>
      </c>
      <c r="C50" s="4" t="s">
        <v>2085</v>
      </c>
      <c r="D50" s="4">
        <v>41760</v>
      </c>
      <c r="E50" s="4">
        <v>48</v>
      </c>
      <c r="F50" s="4" t="s">
        <v>11</v>
      </c>
      <c r="G50" s="4" t="s">
        <v>19</v>
      </c>
      <c r="H50" s="5">
        <v>1750</v>
      </c>
      <c r="I50" s="4"/>
    </row>
    <row r="51" spans="1:9" ht="15.9" x14ac:dyDescent="0.4">
      <c r="A51" s="3">
        <v>45979</v>
      </c>
      <c r="B51" s="4" t="s">
        <v>2073</v>
      </c>
      <c r="C51" s="4" t="s">
        <v>2086</v>
      </c>
      <c r="D51" s="4">
        <v>20900</v>
      </c>
      <c r="E51" s="4">
        <v>22</v>
      </c>
      <c r="F51" s="4" t="s">
        <v>11</v>
      </c>
      <c r="G51" s="4" t="s">
        <v>19</v>
      </c>
      <c r="H51" s="5">
        <v>5000</v>
      </c>
      <c r="I51" s="4"/>
    </row>
    <row r="52" spans="1:9" ht="15.9" x14ac:dyDescent="0.4">
      <c r="A52" s="3">
        <v>45979</v>
      </c>
      <c r="B52" s="4" t="s">
        <v>17</v>
      </c>
      <c r="C52" s="4" t="s">
        <v>2087</v>
      </c>
      <c r="D52" s="4">
        <v>16905</v>
      </c>
      <c r="E52" s="4">
        <v>23</v>
      </c>
      <c r="F52" s="4" t="s">
        <v>756</v>
      </c>
      <c r="G52" s="4" t="s">
        <v>832</v>
      </c>
      <c r="H52" s="5">
        <v>1600</v>
      </c>
      <c r="I52" s="4"/>
    </row>
    <row r="53" spans="1:9" ht="15.9" x14ac:dyDescent="0.4">
      <c r="A53" s="3">
        <v>45979</v>
      </c>
      <c r="B53" s="4" t="s">
        <v>268</v>
      </c>
      <c r="C53" s="4" t="s">
        <v>2088</v>
      </c>
      <c r="D53" s="4">
        <v>16440</v>
      </c>
      <c r="E53" s="4">
        <v>20</v>
      </c>
      <c r="F53" s="4" t="s">
        <v>756</v>
      </c>
      <c r="G53" s="4" t="s">
        <v>25</v>
      </c>
      <c r="H53" s="5">
        <v>2500</v>
      </c>
      <c r="I53" s="4"/>
    </row>
    <row r="54" spans="1:9" ht="15.9" x14ac:dyDescent="0.4">
      <c r="A54" s="3">
        <v>45979</v>
      </c>
      <c r="B54" s="4" t="s">
        <v>191</v>
      </c>
      <c r="C54" s="4" t="s">
        <v>2089</v>
      </c>
      <c r="D54" s="4">
        <v>14790</v>
      </c>
      <c r="E54" s="4">
        <v>17</v>
      </c>
      <c r="F54" s="4" t="s">
        <v>756</v>
      </c>
      <c r="G54" s="4" t="s">
        <v>25</v>
      </c>
      <c r="H54" s="5">
        <v>2400</v>
      </c>
      <c r="I54" s="4"/>
    </row>
    <row r="55" spans="1:9" ht="15.9" x14ac:dyDescent="0.4">
      <c r="A55" s="3">
        <v>45979</v>
      </c>
      <c r="B55" s="4" t="s">
        <v>2084</v>
      </c>
      <c r="C55" s="4" t="s">
        <v>2090</v>
      </c>
      <c r="D55" s="4">
        <v>41280</v>
      </c>
      <c r="E55" s="4">
        <v>48</v>
      </c>
      <c r="F55" s="4" t="s">
        <v>11</v>
      </c>
      <c r="G55" s="4" t="s">
        <v>19</v>
      </c>
      <c r="H55" s="5">
        <v>1750</v>
      </c>
      <c r="I55" s="4"/>
    </row>
    <row r="56" spans="1:9" ht="15.9" x14ac:dyDescent="0.4">
      <c r="A56" s="3">
        <v>45980</v>
      </c>
      <c r="B56" s="4" t="s">
        <v>146</v>
      </c>
      <c r="C56" s="4" t="s">
        <v>2091</v>
      </c>
      <c r="D56" s="4">
        <v>34800</v>
      </c>
      <c r="E56" s="4">
        <v>40</v>
      </c>
      <c r="F56" s="4" t="s">
        <v>756</v>
      </c>
      <c r="G56" s="4" t="s">
        <v>12</v>
      </c>
      <c r="H56" s="5"/>
      <c r="I56" s="4"/>
    </row>
    <row r="57" spans="1:9" ht="15.9" x14ac:dyDescent="0.4">
      <c r="A57" s="3">
        <v>45980</v>
      </c>
      <c r="B57" s="4" t="s">
        <v>967</v>
      </c>
      <c r="C57" s="4" t="s">
        <v>1992</v>
      </c>
      <c r="D57" s="4">
        <v>41760</v>
      </c>
      <c r="E57" s="4">
        <v>48</v>
      </c>
      <c r="F57" s="4" t="s">
        <v>11</v>
      </c>
      <c r="G57" s="4" t="s">
        <v>12</v>
      </c>
      <c r="H57" s="5"/>
      <c r="I57" s="4"/>
    </row>
    <row r="58" spans="1:9" ht="15.9" x14ac:dyDescent="0.4">
      <c r="A58" s="3">
        <v>45980</v>
      </c>
      <c r="B58" s="4" t="s">
        <v>967</v>
      </c>
      <c r="C58" s="4" t="s">
        <v>1989</v>
      </c>
      <c r="D58" s="4">
        <v>41280</v>
      </c>
      <c r="E58" s="4">
        <v>48</v>
      </c>
      <c r="F58" s="4" t="s">
        <v>11</v>
      </c>
      <c r="G58" s="4" t="s">
        <v>12</v>
      </c>
      <c r="H58" s="5"/>
      <c r="I58" s="4"/>
    </row>
    <row r="59" spans="1:9" ht="15.9" x14ac:dyDescent="0.4">
      <c r="A59" s="3">
        <v>45980</v>
      </c>
      <c r="B59" s="4" t="s">
        <v>967</v>
      </c>
      <c r="C59" s="4" t="s">
        <v>1957</v>
      </c>
      <c r="D59" s="4">
        <v>41760</v>
      </c>
      <c r="E59" s="4">
        <v>48</v>
      </c>
      <c r="F59" s="4" t="s">
        <v>11</v>
      </c>
      <c r="G59" s="4" t="s">
        <v>12</v>
      </c>
      <c r="H59" s="5"/>
      <c r="I59" s="4"/>
    </row>
    <row r="60" spans="1:9" ht="15.9" x14ac:dyDescent="0.4">
      <c r="A60" s="3">
        <v>45980</v>
      </c>
      <c r="B60" s="4" t="s">
        <v>967</v>
      </c>
      <c r="C60" s="4" t="s">
        <v>2092</v>
      </c>
      <c r="D60" s="4">
        <v>41760</v>
      </c>
      <c r="E60" s="4">
        <v>48</v>
      </c>
      <c r="F60" s="4" t="s">
        <v>11</v>
      </c>
      <c r="G60" s="4" t="s">
        <v>12</v>
      </c>
      <c r="H60" s="5"/>
      <c r="I60" s="4"/>
    </row>
    <row r="61" spans="1:9" ht="15.9" x14ac:dyDescent="0.4">
      <c r="A61" s="3">
        <v>45980</v>
      </c>
      <c r="B61" s="4" t="s">
        <v>967</v>
      </c>
      <c r="C61" s="4" t="s">
        <v>2093</v>
      </c>
      <c r="D61" s="4">
        <v>41760</v>
      </c>
      <c r="E61" s="4">
        <v>48</v>
      </c>
      <c r="F61" s="4" t="s">
        <v>11</v>
      </c>
      <c r="G61" s="4" t="s">
        <v>12</v>
      </c>
      <c r="H61" s="5"/>
      <c r="I61" s="4"/>
    </row>
    <row r="62" spans="1:9" ht="15.9" x14ac:dyDescent="0.4">
      <c r="A62" s="3">
        <v>45980</v>
      </c>
      <c r="B62" s="4" t="s">
        <v>2084</v>
      </c>
      <c r="C62" s="4" t="s">
        <v>2094</v>
      </c>
      <c r="D62" s="4">
        <v>41760</v>
      </c>
      <c r="E62" s="4">
        <v>48</v>
      </c>
      <c r="F62" s="4" t="s">
        <v>11</v>
      </c>
      <c r="G62" s="4" t="s">
        <v>19</v>
      </c>
      <c r="H62" s="5">
        <v>1750</v>
      </c>
      <c r="I62" s="4"/>
    </row>
    <row r="63" spans="1:9" ht="15.9" x14ac:dyDescent="0.4">
      <c r="A63" s="3">
        <v>45980</v>
      </c>
      <c r="B63" s="4" t="s">
        <v>2084</v>
      </c>
      <c r="C63" s="4" t="s">
        <v>2095</v>
      </c>
      <c r="D63" s="4">
        <v>37410</v>
      </c>
      <c r="E63" s="4">
        <v>43</v>
      </c>
      <c r="F63" s="4" t="s">
        <v>11</v>
      </c>
      <c r="G63" s="4" t="s">
        <v>19</v>
      </c>
      <c r="H63" s="5">
        <v>1750</v>
      </c>
      <c r="I63" s="4"/>
    </row>
    <row r="64" spans="1:9" ht="15.9" x14ac:dyDescent="0.4">
      <c r="A64" s="3">
        <v>45980</v>
      </c>
      <c r="B64" s="4" t="s">
        <v>2040</v>
      </c>
      <c r="C64" s="4" t="s">
        <v>2096</v>
      </c>
      <c r="D64" s="4">
        <v>26460</v>
      </c>
      <c r="E64" s="4">
        <v>36</v>
      </c>
      <c r="F64" s="4" t="s">
        <v>11</v>
      </c>
      <c r="G64" s="4" t="s">
        <v>19</v>
      </c>
      <c r="H64" s="5">
        <v>1650</v>
      </c>
      <c r="I64" s="4"/>
    </row>
    <row r="65" spans="1:9" ht="15.9" x14ac:dyDescent="0.4">
      <c r="A65" s="3">
        <v>45980</v>
      </c>
      <c r="B65" s="4" t="s">
        <v>781</v>
      </c>
      <c r="C65" s="4" t="s">
        <v>2097</v>
      </c>
      <c r="D65" s="4">
        <v>3675</v>
      </c>
      <c r="E65" s="4">
        <v>5</v>
      </c>
      <c r="F65" s="4" t="s">
        <v>35</v>
      </c>
      <c r="G65" s="4" t="s">
        <v>161</v>
      </c>
      <c r="H65" s="5">
        <v>920.41</v>
      </c>
      <c r="I65" s="4"/>
    </row>
    <row r="66" spans="1:9" ht="15.9" x14ac:dyDescent="0.4">
      <c r="A66" s="3">
        <v>45980</v>
      </c>
      <c r="B66" s="4" t="s">
        <v>1267</v>
      </c>
      <c r="C66" s="4" t="s">
        <v>2098</v>
      </c>
      <c r="D66" s="4">
        <v>17640</v>
      </c>
      <c r="E66" s="4">
        <v>24</v>
      </c>
      <c r="F66" s="4" t="s">
        <v>11</v>
      </c>
      <c r="G66" s="4" t="s">
        <v>19</v>
      </c>
      <c r="H66" s="5">
        <v>3400</v>
      </c>
      <c r="I66" s="4"/>
    </row>
    <row r="67" spans="1:9" ht="15.9" x14ac:dyDescent="0.4">
      <c r="A67" s="3">
        <v>45980</v>
      </c>
      <c r="B67" s="4" t="s">
        <v>2099</v>
      </c>
      <c r="C67" s="4" t="s">
        <v>2100</v>
      </c>
      <c r="D67" s="4">
        <v>3548</v>
      </c>
      <c r="E67" s="4">
        <v>4</v>
      </c>
      <c r="F67" s="4" t="s">
        <v>11</v>
      </c>
      <c r="G67" s="4" t="s">
        <v>19</v>
      </c>
      <c r="H67" s="5">
        <v>1300</v>
      </c>
      <c r="I67" s="4"/>
    </row>
    <row r="68" spans="1:9" ht="15.9" x14ac:dyDescent="0.4">
      <c r="A68" s="3">
        <v>45981</v>
      </c>
      <c r="B68" s="4" t="s">
        <v>207</v>
      </c>
      <c r="C68" s="4" t="s">
        <v>2101</v>
      </c>
      <c r="D68" s="4">
        <v>37008</v>
      </c>
      <c r="E68" s="4">
        <v>48</v>
      </c>
      <c r="F68" s="4" t="s">
        <v>11</v>
      </c>
      <c r="G68" s="4" t="s">
        <v>19</v>
      </c>
      <c r="H68" s="5">
        <v>1250</v>
      </c>
      <c r="I68" s="4"/>
    </row>
    <row r="69" spans="1:9" ht="15.9" x14ac:dyDescent="0.4">
      <c r="A69" s="3">
        <v>45981</v>
      </c>
      <c r="B69" s="4" t="s">
        <v>967</v>
      </c>
      <c r="C69" s="4" t="s">
        <v>2092</v>
      </c>
      <c r="D69" s="4">
        <v>41760</v>
      </c>
      <c r="E69" s="4">
        <v>48</v>
      </c>
      <c r="F69" s="4" t="s">
        <v>756</v>
      </c>
      <c r="G69" s="4" t="s">
        <v>12</v>
      </c>
      <c r="H69" s="5"/>
      <c r="I69" s="4"/>
    </row>
    <row r="70" spans="1:9" ht="15.9" x14ac:dyDescent="0.4">
      <c r="A70" s="3">
        <v>45981</v>
      </c>
      <c r="B70" s="4" t="s">
        <v>967</v>
      </c>
      <c r="C70" s="4" t="s">
        <v>1992</v>
      </c>
      <c r="D70" s="4">
        <v>41760</v>
      </c>
      <c r="E70" s="4">
        <v>48</v>
      </c>
      <c r="F70" s="4" t="s">
        <v>756</v>
      </c>
      <c r="G70" s="4" t="s">
        <v>12</v>
      </c>
      <c r="H70" s="5"/>
      <c r="I70" s="4"/>
    </row>
    <row r="71" spans="1:9" ht="15.9" x14ac:dyDescent="0.4">
      <c r="A71" s="3">
        <v>45981</v>
      </c>
      <c r="B71" s="4" t="s">
        <v>967</v>
      </c>
      <c r="C71" s="4" t="s">
        <v>1989</v>
      </c>
      <c r="D71" s="4">
        <v>41280</v>
      </c>
      <c r="E71" s="4">
        <v>48</v>
      </c>
      <c r="F71" s="4" t="s">
        <v>756</v>
      </c>
      <c r="G71" s="4" t="s">
        <v>12</v>
      </c>
      <c r="H71" s="5"/>
      <c r="I71" s="4"/>
    </row>
    <row r="72" spans="1:9" ht="15.9" x14ac:dyDescent="0.4">
      <c r="A72" s="3">
        <v>45981</v>
      </c>
      <c r="B72" s="4" t="s">
        <v>967</v>
      </c>
      <c r="C72" s="4" t="s">
        <v>1957</v>
      </c>
      <c r="D72" s="4">
        <v>41760</v>
      </c>
      <c r="E72" s="4">
        <v>48</v>
      </c>
      <c r="F72" s="4" t="s">
        <v>756</v>
      </c>
      <c r="G72" s="4" t="s">
        <v>12</v>
      </c>
      <c r="H72" s="5"/>
      <c r="I72" s="4"/>
    </row>
    <row r="73" spans="1:9" ht="15.9" x14ac:dyDescent="0.4">
      <c r="A73" s="3">
        <v>45982</v>
      </c>
      <c r="B73" s="4" t="s">
        <v>375</v>
      </c>
      <c r="C73" s="4" t="s">
        <v>2102</v>
      </c>
      <c r="D73" s="4">
        <v>20580</v>
      </c>
      <c r="E73" s="4">
        <v>28</v>
      </c>
      <c r="F73" s="4" t="s">
        <v>756</v>
      </c>
      <c r="G73" s="4" t="s">
        <v>12</v>
      </c>
      <c r="H73" s="5"/>
      <c r="I73" s="4"/>
    </row>
    <row r="74" spans="1:9" ht="15.9" x14ac:dyDescent="0.4">
      <c r="A74" s="3">
        <v>45985</v>
      </c>
      <c r="B74" s="4" t="s">
        <v>38</v>
      </c>
      <c r="C74" s="4" t="s">
        <v>2103</v>
      </c>
      <c r="D74" s="4">
        <v>10450</v>
      </c>
      <c r="E74" s="4">
        <v>11</v>
      </c>
      <c r="F74" s="4" t="s">
        <v>35</v>
      </c>
      <c r="G74" s="4" t="s">
        <v>832</v>
      </c>
      <c r="H74" s="5">
        <v>1318.96</v>
      </c>
      <c r="I74" s="4"/>
    </row>
    <row r="75" spans="1:9" ht="15.9" x14ac:dyDescent="0.4">
      <c r="A75" s="3">
        <v>45985</v>
      </c>
      <c r="B75" s="4" t="s">
        <v>967</v>
      </c>
      <c r="C75" s="4" t="s">
        <v>2104</v>
      </c>
      <c r="D75" s="4">
        <v>38170</v>
      </c>
      <c r="E75" s="4">
        <v>44</v>
      </c>
      <c r="F75" s="4" t="s">
        <v>756</v>
      </c>
      <c r="G75" s="4" t="s">
        <v>12</v>
      </c>
      <c r="H75" s="5"/>
      <c r="I75" s="4"/>
    </row>
    <row r="76" spans="1:9" ht="15.9" x14ac:dyDescent="0.4">
      <c r="A76" s="3">
        <v>45985</v>
      </c>
      <c r="B76" s="4" t="s">
        <v>875</v>
      </c>
      <c r="C76" s="4" t="s">
        <v>2105</v>
      </c>
      <c r="D76" s="4">
        <v>37410</v>
      </c>
      <c r="E76" s="4">
        <v>43</v>
      </c>
      <c r="F76" s="4" t="s">
        <v>11</v>
      </c>
      <c r="G76" s="4" t="s">
        <v>19</v>
      </c>
      <c r="H76" s="5">
        <v>2400</v>
      </c>
      <c r="I76" s="4"/>
    </row>
    <row r="77" spans="1:9" ht="15.9" x14ac:dyDescent="0.4">
      <c r="A77" s="3">
        <v>45985</v>
      </c>
      <c r="B77" s="4" t="s">
        <v>967</v>
      </c>
      <c r="C77" s="4" t="s">
        <v>2106</v>
      </c>
      <c r="D77" s="4">
        <v>41760</v>
      </c>
      <c r="E77" s="4">
        <v>48</v>
      </c>
      <c r="F77" s="4" t="s">
        <v>756</v>
      </c>
      <c r="G77" s="4" t="s">
        <v>12</v>
      </c>
      <c r="H77" s="5"/>
      <c r="I77" s="4"/>
    </row>
    <row r="78" spans="1:9" ht="15.9" x14ac:dyDescent="0.4">
      <c r="A78" s="3">
        <v>45985</v>
      </c>
      <c r="B78" s="4" t="s">
        <v>836</v>
      </c>
      <c r="C78" s="4" t="s">
        <v>2107</v>
      </c>
      <c r="D78" s="4">
        <v>26600</v>
      </c>
      <c r="E78" s="4">
        <v>28</v>
      </c>
      <c r="F78" s="4" t="s">
        <v>756</v>
      </c>
      <c r="G78" s="4" t="s">
        <v>25</v>
      </c>
      <c r="H78" s="5">
        <v>4500</v>
      </c>
      <c r="I78" s="4"/>
    </row>
    <row r="79" spans="1:9" ht="15.9" x14ac:dyDescent="0.4">
      <c r="A79" s="3">
        <v>45987</v>
      </c>
      <c r="B79" s="4" t="s">
        <v>875</v>
      </c>
      <c r="C79" s="4" t="s">
        <v>2108</v>
      </c>
      <c r="D79" s="4">
        <v>41760</v>
      </c>
      <c r="E79" s="4">
        <v>48</v>
      </c>
      <c r="F79" s="4" t="s">
        <v>11</v>
      </c>
      <c r="G79" s="4" t="s">
        <v>19</v>
      </c>
      <c r="H79" s="5">
        <v>2400</v>
      </c>
      <c r="I79" s="4"/>
    </row>
    <row r="80" spans="1:9" ht="15.9" x14ac:dyDescent="0.4">
      <c r="A80" s="3">
        <v>45987</v>
      </c>
      <c r="B80" s="4" t="s">
        <v>2109</v>
      </c>
      <c r="C80" s="4" t="s">
        <v>2110</v>
      </c>
      <c r="D80" s="4">
        <v>2167</v>
      </c>
      <c r="E80" s="4">
        <v>3</v>
      </c>
      <c r="F80" s="4" t="s">
        <v>35</v>
      </c>
      <c r="G80" s="4" t="s">
        <v>161</v>
      </c>
      <c r="H80" s="5">
        <v>388.41</v>
      </c>
      <c r="I80" s="4"/>
    </row>
    <row r="81" spans="1:9" ht="15.9" x14ac:dyDescent="0.4">
      <c r="A81" s="3">
        <v>45987</v>
      </c>
      <c r="B81" s="4" t="s">
        <v>836</v>
      </c>
      <c r="C81" s="4" t="s">
        <v>2111</v>
      </c>
      <c r="D81" s="4">
        <v>28500</v>
      </c>
      <c r="E81" s="4">
        <v>30</v>
      </c>
      <c r="F81" s="4" t="s">
        <v>756</v>
      </c>
      <c r="G81" s="4" t="s">
        <v>25</v>
      </c>
      <c r="H81" s="5">
        <v>4500</v>
      </c>
      <c r="I81" s="4"/>
    </row>
    <row r="82" spans="1:9" ht="15.9" x14ac:dyDescent="0.4">
      <c r="A82" s="3">
        <v>45987</v>
      </c>
      <c r="B82" s="4" t="s">
        <v>2112</v>
      </c>
      <c r="C82" s="4" t="s">
        <v>2113</v>
      </c>
      <c r="D82" s="4">
        <v>4410</v>
      </c>
      <c r="E82" s="4">
        <v>6</v>
      </c>
      <c r="F82" s="4" t="s">
        <v>35</v>
      </c>
      <c r="G82" s="4" t="s">
        <v>161</v>
      </c>
      <c r="H82" s="5">
        <v>483.33</v>
      </c>
      <c r="I82" s="4"/>
    </row>
    <row r="83" spans="1:9" ht="15.9" x14ac:dyDescent="0.4">
      <c r="A83" s="3">
        <v>45987</v>
      </c>
      <c r="B83" s="4" t="s">
        <v>96</v>
      </c>
      <c r="C83" s="4" t="s">
        <v>2114</v>
      </c>
      <c r="D83" s="4">
        <v>27550</v>
      </c>
      <c r="E83" s="4">
        <v>29</v>
      </c>
      <c r="F83" s="4" t="s">
        <v>756</v>
      </c>
      <c r="G83" s="4" t="s">
        <v>25</v>
      </c>
      <c r="H83" s="5">
        <v>3500</v>
      </c>
      <c r="I83" s="4"/>
    </row>
    <row r="84" spans="1:9" ht="15.9" x14ac:dyDescent="0.4">
      <c r="A84" s="3">
        <v>45987</v>
      </c>
      <c r="B84" s="4" t="s">
        <v>2115</v>
      </c>
      <c r="C84" s="4" t="s">
        <v>2116</v>
      </c>
      <c r="D84" s="4">
        <v>2205</v>
      </c>
      <c r="E84" s="4">
        <v>3</v>
      </c>
      <c r="F84" s="4" t="s">
        <v>35</v>
      </c>
      <c r="G84" s="4" t="s">
        <v>161</v>
      </c>
      <c r="H84" s="5">
        <v>270.5</v>
      </c>
      <c r="I84" s="4"/>
    </row>
    <row r="85" spans="1:9" ht="15.9" x14ac:dyDescent="0.4">
      <c r="A85" s="3">
        <v>45987</v>
      </c>
      <c r="B85" s="4" t="s">
        <v>38</v>
      </c>
      <c r="C85" s="4" t="s">
        <v>2117</v>
      </c>
      <c r="D85" s="4">
        <v>10890</v>
      </c>
      <c r="E85" s="4">
        <v>11</v>
      </c>
      <c r="F85" s="4" t="s">
        <v>35</v>
      </c>
      <c r="G85" s="4" t="s">
        <v>832</v>
      </c>
      <c r="H85" s="5">
        <v>1374.51</v>
      </c>
      <c r="I85" s="4"/>
    </row>
    <row r="86" spans="1:9" ht="15.9" x14ac:dyDescent="0.4">
      <c r="A86" s="3">
        <v>45987</v>
      </c>
      <c r="B86" s="4" t="s">
        <v>13</v>
      </c>
      <c r="C86" s="4" t="s">
        <v>2118</v>
      </c>
      <c r="D86" s="4">
        <v>1470</v>
      </c>
      <c r="E86" s="4">
        <v>2</v>
      </c>
      <c r="F86" s="4" t="s">
        <v>35</v>
      </c>
      <c r="G86" s="4" t="s">
        <v>161</v>
      </c>
      <c r="H86" s="5">
        <v>317.23</v>
      </c>
      <c r="I86" s="4"/>
    </row>
    <row r="87" spans="1:9" ht="15.9" x14ac:dyDescent="0.4">
      <c r="A87" s="3">
        <v>45987</v>
      </c>
      <c r="B87" s="4" t="s">
        <v>2119</v>
      </c>
      <c r="C87" s="4" t="s">
        <v>2120</v>
      </c>
      <c r="D87" s="4">
        <v>41760</v>
      </c>
      <c r="E87" s="4">
        <v>48</v>
      </c>
      <c r="F87" s="4" t="s">
        <v>756</v>
      </c>
      <c r="G87" s="4" t="s">
        <v>19</v>
      </c>
      <c r="H87" s="5">
        <v>1650</v>
      </c>
      <c r="I87" s="4"/>
    </row>
    <row r="88" spans="1:9" ht="15.9" x14ac:dyDescent="0.4">
      <c r="A88" s="3">
        <v>45987</v>
      </c>
      <c r="B88" s="4" t="s">
        <v>96</v>
      </c>
      <c r="C88" s="4" t="s">
        <v>2121</v>
      </c>
      <c r="D88" s="4">
        <v>41800</v>
      </c>
      <c r="E88" s="4">
        <v>44</v>
      </c>
      <c r="F88" s="4" t="s">
        <v>756</v>
      </c>
      <c r="G88" s="4" t="s">
        <v>25</v>
      </c>
      <c r="H88" s="5">
        <v>3500</v>
      </c>
      <c r="I88" s="4"/>
    </row>
    <row r="89" spans="1:9" ht="15.9" x14ac:dyDescent="0.4">
      <c r="A89" s="3">
        <v>45987</v>
      </c>
      <c r="B89" s="4" t="s">
        <v>96</v>
      </c>
      <c r="C89" s="4" t="s">
        <v>2122</v>
      </c>
      <c r="D89" s="4">
        <v>41800</v>
      </c>
      <c r="E89" s="4">
        <v>44</v>
      </c>
      <c r="F89" s="4" t="s">
        <v>756</v>
      </c>
      <c r="G89" s="4" t="s">
        <v>25</v>
      </c>
      <c r="H89" s="5">
        <v>3500</v>
      </c>
      <c r="I89" s="4"/>
    </row>
    <row r="90" spans="1:9" ht="15.9" x14ac:dyDescent="0.4">
      <c r="A90" s="3">
        <v>45987</v>
      </c>
      <c r="B90" s="4" t="s">
        <v>96</v>
      </c>
      <c r="C90" s="4" t="s">
        <v>2123</v>
      </c>
      <c r="D90" s="4">
        <v>41800</v>
      </c>
      <c r="E90" s="4">
        <v>44</v>
      </c>
      <c r="F90" s="4" t="s">
        <v>756</v>
      </c>
      <c r="G90" s="4" t="s">
        <v>25</v>
      </c>
      <c r="H90" s="5">
        <v>3500</v>
      </c>
      <c r="I90" s="4"/>
    </row>
    <row r="91" spans="1:9" ht="15.9" x14ac:dyDescent="0.4">
      <c r="A91" s="3">
        <v>45987</v>
      </c>
      <c r="B91" s="4" t="s">
        <v>2119</v>
      </c>
      <c r="C91" s="4" t="s">
        <v>2124</v>
      </c>
      <c r="D91" s="4">
        <v>41760</v>
      </c>
      <c r="E91" s="4">
        <v>48</v>
      </c>
      <c r="F91" s="4" t="s">
        <v>756</v>
      </c>
      <c r="G91" s="4" t="s">
        <v>19</v>
      </c>
      <c r="H91" s="5">
        <v>1650</v>
      </c>
      <c r="I91" s="4"/>
    </row>
    <row r="92" spans="1:9" ht="15.9" x14ac:dyDescent="0.4">
      <c r="A92" s="3"/>
      <c r="B92" s="4"/>
      <c r="C92" s="4"/>
      <c r="D92" s="4"/>
      <c r="E92" s="4"/>
      <c r="F92" s="4"/>
      <c r="G92" s="4"/>
      <c r="H92" s="5"/>
      <c r="I92" s="4"/>
    </row>
    <row r="93" spans="1:9" ht="15.9" x14ac:dyDescent="0.4">
      <c r="A93" s="3"/>
      <c r="B93" s="4"/>
      <c r="C93" s="4"/>
      <c r="D93" s="4"/>
      <c r="E93" s="4"/>
      <c r="F93" s="4"/>
      <c r="G93" s="4"/>
      <c r="H93" s="5"/>
      <c r="I93" s="4"/>
    </row>
    <row r="94" spans="1:9" ht="15.9" x14ac:dyDescent="0.4">
      <c r="A94" s="3"/>
      <c r="B94" s="4"/>
      <c r="C94" s="4"/>
      <c r="D94" s="4"/>
      <c r="E94" s="4"/>
      <c r="F94" s="4"/>
      <c r="G94" s="4"/>
      <c r="H94" s="5"/>
      <c r="I94" s="4"/>
    </row>
    <row r="95" spans="1:9" ht="15.9" x14ac:dyDescent="0.4">
      <c r="A95" s="3"/>
      <c r="B95" s="4"/>
      <c r="C95" s="4"/>
      <c r="D95" s="4"/>
      <c r="E95" s="4"/>
      <c r="F95" s="4"/>
      <c r="G95" s="4"/>
      <c r="H95" s="5"/>
      <c r="I95" s="4"/>
    </row>
    <row r="96" spans="1:9" ht="15.9" x14ac:dyDescent="0.4">
      <c r="A96" s="3"/>
      <c r="B96" s="4"/>
      <c r="C96" s="4"/>
      <c r="D96" s="4"/>
      <c r="E96" s="4"/>
      <c r="F96" s="4"/>
      <c r="G96" s="4"/>
      <c r="H96" s="5"/>
      <c r="I96" s="4"/>
    </row>
    <row r="97" spans="1:9" ht="15.9" x14ac:dyDescent="0.4">
      <c r="A97" s="3"/>
      <c r="B97" s="4"/>
      <c r="C97" s="4"/>
      <c r="D97" s="4"/>
      <c r="E97" s="4"/>
      <c r="F97" s="4"/>
      <c r="G97" s="4"/>
      <c r="H97" s="5"/>
      <c r="I97" s="4"/>
    </row>
    <row r="98" spans="1:9" ht="15.9" x14ac:dyDescent="0.4">
      <c r="A98" s="3"/>
      <c r="B98" s="4"/>
      <c r="C98" s="4"/>
      <c r="D98" s="4"/>
      <c r="E98" s="4"/>
      <c r="F98" s="4"/>
      <c r="G98" s="4"/>
      <c r="H98" s="4"/>
      <c r="I98" s="4"/>
    </row>
    <row r="99" spans="1:9" ht="15.9" x14ac:dyDescent="0.4">
      <c r="A99" s="3"/>
      <c r="B99" s="4"/>
      <c r="C99" s="4"/>
      <c r="D99" s="4"/>
      <c r="E99" s="4"/>
      <c r="F99" s="4"/>
      <c r="G99" s="4"/>
      <c r="H99" s="5"/>
      <c r="I99" s="4"/>
    </row>
    <row r="100" spans="1:9" ht="15.9" x14ac:dyDescent="0.4">
      <c r="A100" s="3"/>
      <c r="B100" s="4"/>
      <c r="C100" s="4"/>
      <c r="D100" s="4"/>
      <c r="E100" s="4"/>
      <c r="F100" s="4"/>
      <c r="G100" s="4"/>
      <c r="H100" s="5"/>
      <c r="I100" s="4"/>
    </row>
    <row r="101" spans="1:9" ht="15.9" x14ac:dyDescent="0.4">
      <c r="A101" s="3"/>
      <c r="B101" s="4"/>
      <c r="C101" s="4"/>
      <c r="D101" s="4"/>
      <c r="E101" s="4"/>
      <c r="F101" s="4"/>
      <c r="G101" s="4"/>
      <c r="H101" s="5"/>
      <c r="I101" s="4"/>
    </row>
    <row r="102" spans="1:9" ht="15.9" x14ac:dyDescent="0.4">
      <c r="A102" s="3"/>
      <c r="B102" s="4"/>
      <c r="C102" s="4"/>
      <c r="D102" s="4"/>
      <c r="E102" s="4"/>
      <c r="F102" s="4"/>
      <c r="G102" s="4"/>
      <c r="H102" s="4"/>
      <c r="I102" s="4"/>
    </row>
    <row r="103" spans="1:9" ht="15.9" x14ac:dyDescent="0.4">
      <c r="A103" s="3"/>
      <c r="B103" s="4"/>
      <c r="C103" s="4"/>
      <c r="D103" s="4"/>
      <c r="E103" s="4"/>
      <c r="F103" s="4"/>
      <c r="G103" s="4"/>
      <c r="H103" s="4"/>
      <c r="I103" s="4"/>
    </row>
    <row r="104" spans="1:9" ht="15.9" x14ac:dyDescent="0.4">
      <c r="A104" s="3"/>
      <c r="B104" s="4"/>
      <c r="C104" s="4"/>
      <c r="D104" s="4"/>
      <c r="E104" s="4"/>
      <c r="F104" s="4"/>
      <c r="G104" s="4"/>
      <c r="H104" s="4"/>
      <c r="I104" s="4"/>
    </row>
    <row r="105" spans="1:9" ht="15.9" x14ac:dyDescent="0.4">
      <c r="A105" s="3"/>
      <c r="B105" s="4"/>
      <c r="C105" s="4"/>
      <c r="D105" s="4"/>
      <c r="E105" s="4"/>
      <c r="F105" s="4"/>
      <c r="G105" s="4"/>
      <c r="H105" s="4"/>
      <c r="I105" s="4"/>
    </row>
    <row r="106" spans="1:9" ht="15.9" x14ac:dyDescent="0.4">
      <c r="A106" s="3"/>
      <c r="B106" s="4"/>
      <c r="C106" s="4"/>
      <c r="D106" s="4"/>
      <c r="E106" s="4"/>
      <c r="F106" s="4"/>
      <c r="G106" s="4"/>
      <c r="H106" s="4"/>
      <c r="I106" s="4"/>
    </row>
    <row r="107" spans="1:9" ht="15.9" x14ac:dyDescent="0.4">
      <c r="A107" s="3"/>
      <c r="B107" s="4"/>
      <c r="C107" s="4"/>
      <c r="D107" s="4"/>
      <c r="E107" s="4"/>
      <c r="F107" s="4"/>
      <c r="G107" s="4"/>
      <c r="H107" s="4"/>
      <c r="I107" s="4"/>
    </row>
    <row r="108" spans="1:9" ht="15.9" x14ac:dyDescent="0.4">
      <c r="A108" s="3"/>
      <c r="B108" s="4"/>
      <c r="C108" s="4"/>
      <c r="D108" s="4"/>
      <c r="E108" s="4"/>
      <c r="F108" s="4"/>
      <c r="G108" s="4"/>
      <c r="H108" s="5"/>
      <c r="I108" s="4"/>
    </row>
    <row r="109" spans="1:9" ht="15.9" x14ac:dyDescent="0.4">
      <c r="A109" s="3"/>
      <c r="B109" s="4"/>
      <c r="C109" s="4"/>
      <c r="D109" s="4"/>
      <c r="E109" s="4"/>
      <c r="F109" s="4"/>
      <c r="G109" s="4"/>
      <c r="H109" s="5"/>
      <c r="I109" s="4"/>
    </row>
    <row r="110" spans="1:9" ht="15.9" x14ac:dyDescent="0.4">
      <c r="A110" s="3"/>
      <c r="B110" s="4"/>
      <c r="C110" s="4"/>
      <c r="D110" s="4"/>
      <c r="E110" s="4"/>
      <c r="F110" s="4"/>
      <c r="G110" s="4"/>
      <c r="H110" s="5"/>
      <c r="I110" s="4"/>
    </row>
    <row r="111" spans="1:9" ht="15.9" x14ac:dyDescent="0.4">
      <c r="A111" s="3"/>
      <c r="B111" s="4"/>
      <c r="C111" s="4"/>
      <c r="D111" s="4"/>
      <c r="E111" s="4"/>
      <c r="F111" s="4"/>
      <c r="G111" s="4"/>
      <c r="H111" s="5"/>
      <c r="I111" s="4"/>
    </row>
    <row r="112" spans="1:9" ht="15.9" x14ac:dyDescent="0.4">
      <c r="A112" s="3"/>
      <c r="B112" s="4"/>
      <c r="C112" s="4"/>
      <c r="D112" s="4"/>
      <c r="E112" s="4"/>
      <c r="F112" s="4"/>
      <c r="G112" s="4"/>
      <c r="H112" s="5"/>
      <c r="I112" s="4"/>
    </row>
    <row r="113" spans="1:9" ht="15.9" x14ac:dyDescent="0.4">
      <c r="A113" s="3"/>
      <c r="B113" s="4"/>
      <c r="C113" s="4"/>
      <c r="D113" s="4"/>
      <c r="E113" s="4"/>
      <c r="F113" s="4"/>
      <c r="G113" s="4"/>
      <c r="H113" s="5"/>
      <c r="I113" s="4"/>
    </row>
    <row r="114" spans="1:9" ht="15.9" x14ac:dyDescent="0.4">
      <c r="A114" s="3"/>
      <c r="B114" s="4"/>
      <c r="C114" s="4"/>
      <c r="D114" s="4"/>
      <c r="E114" s="4"/>
      <c r="F114" s="4"/>
      <c r="G114" s="4"/>
      <c r="H114" s="4"/>
      <c r="I114" s="4"/>
    </row>
    <row r="115" spans="1:9" ht="15.9" x14ac:dyDescent="0.4">
      <c r="A115" s="3"/>
      <c r="B115" s="4"/>
      <c r="C115" s="4"/>
      <c r="D115" s="4"/>
      <c r="E115" s="4"/>
      <c r="F115" s="4"/>
      <c r="G115" s="4"/>
      <c r="H115" s="5"/>
      <c r="I115" s="4"/>
    </row>
    <row r="116" spans="1:9" ht="15.9" x14ac:dyDescent="0.4">
      <c r="A116" s="3"/>
      <c r="B116" s="4"/>
      <c r="C116" s="4"/>
      <c r="D116" s="4"/>
      <c r="E116" s="4"/>
      <c r="F116" s="4"/>
      <c r="G116" s="4"/>
      <c r="H116" s="5"/>
      <c r="I116" s="4"/>
    </row>
    <row r="117" spans="1:9" ht="15.9" x14ac:dyDescent="0.4">
      <c r="A117" s="3"/>
      <c r="B117" s="4"/>
      <c r="C117" s="4"/>
      <c r="D117" s="4"/>
      <c r="E117" s="4"/>
      <c r="F117" s="4"/>
      <c r="G117" s="4"/>
      <c r="H117" s="5"/>
      <c r="I117" s="4"/>
    </row>
    <row r="118" spans="1:9" ht="15.9" x14ac:dyDescent="0.4">
      <c r="A118" s="3"/>
      <c r="B118" s="4"/>
      <c r="C118" s="4"/>
      <c r="D118" s="4"/>
      <c r="E118" s="4"/>
      <c r="F118" s="4"/>
      <c r="G118" s="4"/>
      <c r="H118" s="5"/>
      <c r="I118" s="4"/>
    </row>
    <row r="119" spans="1:9" ht="15.9" x14ac:dyDescent="0.4">
      <c r="A119" s="4"/>
      <c r="B119" s="4"/>
      <c r="C119" s="4"/>
      <c r="D119" s="4"/>
      <c r="E119" s="4"/>
      <c r="F119" s="4"/>
      <c r="G119" s="4"/>
      <c r="H119" s="4"/>
      <c r="I119" s="4"/>
    </row>
    <row r="120" spans="1:9" ht="15.9" x14ac:dyDescent="0.4">
      <c r="A120" s="4"/>
      <c r="B120" s="4"/>
      <c r="C120" s="4"/>
      <c r="D120" s="4"/>
      <c r="E120" s="4"/>
      <c r="F120" s="4"/>
      <c r="G120" s="4"/>
      <c r="H120" s="4"/>
      <c r="I120" s="4"/>
    </row>
    <row r="121" spans="1:9" ht="15.9" x14ac:dyDescent="0.4">
      <c r="A121" s="4"/>
      <c r="B121" s="4"/>
      <c r="C121" s="4"/>
      <c r="D121" s="4"/>
      <c r="E121" s="4"/>
      <c r="F121" s="4"/>
      <c r="G121" s="4"/>
      <c r="H121" s="4"/>
      <c r="I121" s="4"/>
    </row>
    <row r="122" spans="1:9" ht="15.9" x14ac:dyDescent="0.4">
      <c r="A122" s="4"/>
      <c r="B122" s="4"/>
      <c r="C122" s="4"/>
      <c r="D122" s="4"/>
      <c r="E122" s="4"/>
      <c r="F122" s="4"/>
      <c r="G122" s="4"/>
      <c r="H122" s="4"/>
      <c r="I122" s="4"/>
    </row>
    <row r="123" spans="1:9" ht="15.9" x14ac:dyDescent="0.4">
      <c r="A123" s="4"/>
      <c r="B123" s="4"/>
      <c r="C123" s="4"/>
      <c r="D123" s="4"/>
      <c r="E123" s="4"/>
      <c r="F123" s="4"/>
      <c r="G123" s="4"/>
      <c r="H123" s="4"/>
      <c r="I123" s="4"/>
    </row>
    <row r="124" spans="1:9" ht="15.9" x14ac:dyDescent="0.4">
      <c r="A124" s="4"/>
      <c r="B124" s="4"/>
      <c r="C124" s="4"/>
      <c r="D124" s="4"/>
      <c r="E124" s="4"/>
      <c r="F124" s="4"/>
      <c r="G124" s="4"/>
      <c r="H124" s="4"/>
      <c r="I124" s="4"/>
    </row>
    <row r="125" spans="1:9" ht="15.9" x14ac:dyDescent="0.4">
      <c r="A125" s="4"/>
      <c r="B125" s="4"/>
      <c r="C125" s="4"/>
      <c r="D125" s="4"/>
      <c r="E125" s="4"/>
      <c r="F125" s="4"/>
      <c r="G125" s="4"/>
      <c r="H125" s="4"/>
      <c r="I125" s="4"/>
    </row>
    <row r="126" spans="1:9" ht="15.9" x14ac:dyDescent="0.4">
      <c r="A126" s="4"/>
      <c r="B126" s="4"/>
      <c r="C126" s="4"/>
      <c r="D126" s="4"/>
      <c r="E126" s="4"/>
      <c r="F126" s="4"/>
      <c r="G126" s="4"/>
      <c r="H126" s="4"/>
      <c r="I126" s="4"/>
    </row>
    <row r="127" spans="1:9" ht="15.9" x14ac:dyDescent="0.4">
      <c r="A127" s="4"/>
      <c r="B127" s="4"/>
      <c r="C127" s="4"/>
      <c r="D127" s="4"/>
      <c r="E127" s="4"/>
      <c r="F127" s="4"/>
      <c r="G127" s="4"/>
      <c r="H127" s="4"/>
      <c r="I127" s="4"/>
    </row>
    <row r="128" spans="1:9" ht="15.9" x14ac:dyDescent="0.4">
      <c r="A128" s="4"/>
      <c r="B128" s="4"/>
      <c r="C128" s="4"/>
      <c r="D128" s="4"/>
      <c r="E128" s="4"/>
      <c r="F128" s="4"/>
      <c r="G128" s="4"/>
      <c r="H128" s="4"/>
      <c r="I128" s="4"/>
    </row>
    <row r="129" spans="1:9" ht="15.9" x14ac:dyDescent="0.4">
      <c r="A129" s="4"/>
      <c r="B129" s="4"/>
      <c r="C129" s="4"/>
      <c r="D129" s="4"/>
      <c r="E129" s="4"/>
      <c r="F129" s="4"/>
      <c r="G129" s="4"/>
      <c r="H129" s="4"/>
      <c r="I129" s="4"/>
    </row>
    <row r="130" spans="1:9" ht="15.9" x14ac:dyDescent="0.4">
      <c r="A130" s="4"/>
      <c r="B130" s="4"/>
      <c r="C130" s="4"/>
      <c r="D130" s="4"/>
      <c r="E130" s="4"/>
      <c r="F130" s="4"/>
      <c r="G130" s="4"/>
      <c r="H130" s="4"/>
      <c r="I130" s="4"/>
    </row>
    <row r="131" spans="1:9" ht="15.9" x14ac:dyDescent="0.4">
      <c r="A131" s="4"/>
      <c r="B131" s="4"/>
      <c r="C131" s="4"/>
      <c r="D131" s="4"/>
      <c r="E131" s="4"/>
      <c r="F131" s="4"/>
      <c r="G131" s="4"/>
      <c r="H131" s="4"/>
      <c r="I131" s="4"/>
    </row>
    <row r="132" spans="1:9" ht="15.9" x14ac:dyDescent="0.4">
      <c r="A132" s="4"/>
      <c r="B132" s="4"/>
      <c r="C132" s="4"/>
      <c r="D132" s="4"/>
      <c r="E132" s="4"/>
      <c r="F132" s="4"/>
      <c r="G132" s="4"/>
      <c r="H132" s="4"/>
      <c r="I132" s="4"/>
    </row>
    <row r="133" spans="1:9" ht="15.9" x14ac:dyDescent="0.4">
      <c r="A133" s="4"/>
      <c r="B133" s="4"/>
      <c r="C133" s="4"/>
      <c r="D133" s="4"/>
      <c r="E133" s="4"/>
      <c r="F133" s="4"/>
      <c r="G133" s="4"/>
      <c r="H133" s="4"/>
      <c r="I133" s="4"/>
    </row>
    <row r="134" spans="1:9" ht="15.9" x14ac:dyDescent="0.4">
      <c r="A134" s="4"/>
      <c r="B134" s="4"/>
      <c r="C134" s="4"/>
      <c r="D134" s="4"/>
      <c r="E134" s="4"/>
      <c r="F134" s="4"/>
      <c r="G134" s="4"/>
      <c r="H134" s="4"/>
      <c r="I134" s="4"/>
    </row>
    <row r="135" spans="1:9" ht="15.9" x14ac:dyDescent="0.4">
      <c r="A135" s="4"/>
      <c r="B135" s="4"/>
      <c r="C135" s="4"/>
      <c r="D135" s="4"/>
      <c r="E135" s="4"/>
      <c r="F135" s="4"/>
      <c r="G135" s="4"/>
      <c r="H135" s="4"/>
      <c r="I135" s="4"/>
    </row>
    <row r="136" spans="1:9" ht="15.9" x14ac:dyDescent="0.4">
      <c r="A136" s="4"/>
      <c r="B136" s="4"/>
      <c r="C136" s="4"/>
      <c r="D136" s="4"/>
      <c r="E136" s="4"/>
      <c r="F136" s="4"/>
      <c r="G136" s="4"/>
      <c r="H136" s="4"/>
      <c r="I136" s="4"/>
    </row>
    <row r="137" spans="1:9" ht="15.9" x14ac:dyDescent="0.4">
      <c r="A137" s="4"/>
      <c r="B137" s="4"/>
      <c r="C137" s="4"/>
      <c r="D137" s="4"/>
      <c r="E137" s="4"/>
      <c r="F137" s="4"/>
      <c r="G137" s="4"/>
      <c r="H137" s="4"/>
      <c r="I137" s="4"/>
    </row>
    <row r="138" spans="1:9" ht="15.9" x14ac:dyDescent="0.4">
      <c r="A138" s="4"/>
      <c r="B138" s="4"/>
      <c r="C138" s="4"/>
      <c r="D138" s="4"/>
      <c r="E138" s="4"/>
      <c r="F138" s="4"/>
      <c r="G138" s="4"/>
      <c r="H138" s="4"/>
      <c r="I138" s="4"/>
    </row>
    <row r="139" spans="1:9" ht="15.9" x14ac:dyDescent="0.4">
      <c r="A139" s="4"/>
      <c r="B139" s="4"/>
      <c r="C139" s="4"/>
      <c r="D139" s="4"/>
      <c r="E139" s="4"/>
      <c r="F139" s="4"/>
      <c r="G139" s="4"/>
      <c r="H139" s="4"/>
      <c r="I139" s="4"/>
    </row>
    <row r="140" spans="1:9" ht="15.9" x14ac:dyDescent="0.4">
      <c r="A140" s="4"/>
      <c r="B140" s="4"/>
      <c r="C140" s="4"/>
      <c r="D140" s="4"/>
      <c r="E140" s="4"/>
      <c r="F140" s="4"/>
      <c r="G140" s="4"/>
      <c r="H140" s="4"/>
      <c r="I140" s="4"/>
    </row>
    <row r="141" spans="1:9" ht="15.9" x14ac:dyDescent="0.4">
      <c r="A141" s="4"/>
      <c r="B141" s="4"/>
      <c r="C141" s="4"/>
      <c r="D141" s="4"/>
      <c r="E141" s="4"/>
      <c r="F141" s="4"/>
      <c r="G141" s="4"/>
      <c r="H141" s="4"/>
      <c r="I141" s="4"/>
    </row>
    <row r="142" spans="1:9" ht="15.9" x14ac:dyDescent="0.4">
      <c r="A142" s="4"/>
      <c r="B142" s="4"/>
      <c r="C142" s="4"/>
      <c r="D142" s="4"/>
      <c r="E142" s="4"/>
      <c r="F142" s="4"/>
      <c r="G142" s="4"/>
      <c r="H142" s="4"/>
      <c r="I142" s="4"/>
    </row>
    <row r="143" spans="1:9" ht="15.9" x14ac:dyDescent="0.4">
      <c r="A143" s="4"/>
      <c r="B143" s="4"/>
      <c r="C143" s="4"/>
      <c r="D143" s="4"/>
      <c r="E143" s="4"/>
      <c r="F143" s="4"/>
      <c r="G143" s="4"/>
      <c r="H143" s="4"/>
      <c r="I143" s="4"/>
    </row>
    <row r="144" spans="1:9" ht="15.9" x14ac:dyDescent="0.4">
      <c r="A144" s="4"/>
      <c r="B144" s="4"/>
      <c r="C144" s="4"/>
      <c r="D144" s="4"/>
      <c r="E144" s="4"/>
      <c r="F144" s="4"/>
      <c r="G144" s="4"/>
      <c r="H144" s="4"/>
      <c r="I144" s="4"/>
    </row>
    <row r="145" spans="1:9" ht="15.9" x14ac:dyDescent="0.4">
      <c r="A145" s="4"/>
      <c r="B145" s="4"/>
      <c r="C145" s="4"/>
      <c r="D145" s="4"/>
      <c r="E145" s="4"/>
      <c r="F145" s="4"/>
      <c r="G145" s="4"/>
      <c r="H145" s="4"/>
      <c r="I145" s="4"/>
    </row>
    <row r="146" spans="1:9" ht="15.9" x14ac:dyDescent="0.4">
      <c r="A146" s="4"/>
      <c r="B146" s="4"/>
      <c r="C146" s="4"/>
      <c r="D146" s="4"/>
      <c r="E146" s="4"/>
      <c r="F146" s="4"/>
      <c r="G146" s="4"/>
      <c r="H146" s="4"/>
      <c r="I146" s="4"/>
    </row>
    <row r="147" spans="1:9" ht="15.9" x14ac:dyDescent="0.4">
      <c r="A147" s="4"/>
      <c r="B147" s="4"/>
      <c r="C147" s="4"/>
      <c r="D147" s="4"/>
      <c r="E147" s="4"/>
      <c r="F147" s="4"/>
      <c r="G147" s="4"/>
      <c r="H147" s="4"/>
      <c r="I147" s="4"/>
    </row>
    <row r="148" spans="1:9" ht="15.9" x14ac:dyDescent="0.4">
      <c r="A148" s="4"/>
      <c r="B148" s="4"/>
      <c r="C148" s="4"/>
      <c r="D148" s="4"/>
      <c r="E148" s="4"/>
      <c r="F148" s="4"/>
      <c r="G148" s="4"/>
      <c r="H148" s="4"/>
      <c r="I148" s="4"/>
    </row>
    <row r="149" spans="1:9" ht="15.9" x14ac:dyDescent="0.4">
      <c r="A149" s="4"/>
      <c r="B149" s="4"/>
      <c r="C149" s="4"/>
      <c r="D149" s="4"/>
      <c r="E149" s="4"/>
      <c r="F149" s="4"/>
      <c r="G149" s="4"/>
      <c r="H149" s="4"/>
      <c r="I149" s="4"/>
    </row>
    <row r="150" spans="1:9" ht="15.9" x14ac:dyDescent="0.4">
      <c r="A150" s="4"/>
      <c r="B150" s="4"/>
      <c r="C150" s="4"/>
      <c r="D150" s="4"/>
      <c r="E150" s="4"/>
      <c r="F150" s="4"/>
      <c r="G150" s="4"/>
      <c r="H150" s="4"/>
      <c r="I150" s="4"/>
    </row>
    <row r="151" spans="1:9" ht="15.9" x14ac:dyDescent="0.4">
      <c r="A151" s="4"/>
      <c r="B151" s="4"/>
      <c r="C151" s="4"/>
      <c r="D151" s="4"/>
      <c r="E151" s="4"/>
      <c r="F151" s="4"/>
      <c r="G151" s="4"/>
      <c r="H151" s="4"/>
      <c r="I151" s="4"/>
    </row>
    <row r="152" spans="1:9" ht="15.9" x14ac:dyDescent="0.4">
      <c r="A152" s="4"/>
      <c r="B152" s="4"/>
      <c r="C152" s="4"/>
      <c r="D152" s="4"/>
      <c r="E152" s="4"/>
      <c r="F152" s="4"/>
      <c r="G152" s="4"/>
      <c r="H152" s="4"/>
      <c r="I152" s="4"/>
    </row>
    <row r="153" spans="1:9" ht="15.9" x14ac:dyDescent="0.4">
      <c r="A153" s="4"/>
      <c r="B153" s="4"/>
      <c r="C153" s="4"/>
      <c r="D153" s="4"/>
      <c r="E153" s="4"/>
      <c r="F153" s="4"/>
      <c r="G153" s="4"/>
      <c r="H153" s="4"/>
      <c r="I153" s="4"/>
    </row>
    <row r="154" spans="1:9" ht="15.9" x14ac:dyDescent="0.4">
      <c r="A154" s="4"/>
      <c r="B154" s="4"/>
      <c r="C154" s="4"/>
      <c r="D154" s="4"/>
      <c r="E154" s="4"/>
      <c r="F154" s="4"/>
      <c r="G154" s="4"/>
      <c r="H154" s="4"/>
      <c r="I154" s="4"/>
    </row>
    <row r="155" spans="1:9" ht="15.9" x14ac:dyDescent="0.4">
      <c r="A155" s="4"/>
      <c r="B155" s="4"/>
      <c r="C155" s="4"/>
      <c r="D155" s="4"/>
      <c r="E155" s="4"/>
      <c r="F155" s="4"/>
      <c r="G155" s="4"/>
      <c r="H155" s="4"/>
      <c r="I155" s="4"/>
    </row>
    <row r="156" spans="1:9" ht="15.9" x14ac:dyDescent="0.4">
      <c r="A156" s="4"/>
      <c r="B156" s="4"/>
      <c r="C156" s="4"/>
      <c r="D156" s="4"/>
      <c r="E156" s="4"/>
      <c r="F156" s="4"/>
      <c r="G156" s="4"/>
      <c r="H156" s="4"/>
      <c r="I156" s="4"/>
    </row>
    <row r="157" spans="1:9" ht="15.9" x14ac:dyDescent="0.4">
      <c r="A157" s="4"/>
      <c r="B157" s="4"/>
      <c r="C157" s="4"/>
      <c r="D157" s="4"/>
      <c r="E157" s="4"/>
      <c r="F157" s="4"/>
      <c r="G157" s="4"/>
      <c r="H157" s="4"/>
      <c r="I157" s="4"/>
    </row>
    <row r="158" spans="1:9" ht="15.9" x14ac:dyDescent="0.4">
      <c r="A158" s="4"/>
      <c r="B158" s="4"/>
      <c r="C158" s="4"/>
      <c r="D158" s="4"/>
      <c r="E158" s="4"/>
      <c r="F158" s="4"/>
      <c r="G158" s="4"/>
      <c r="H158" s="4"/>
      <c r="I158" s="4"/>
    </row>
    <row r="159" spans="1:9" ht="15.9" x14ac:dyDescent="0.4">
      <c r="A159" s="4"/>
      <c r="B159" s="4"/>
      <c r="C159" s="4"/>
      <c r="D159" s="4"/>
      <c r="E159" s="4"/>
      <c r="F159" s="4"/>
      <c r="G159" s="4"/>
      <c r="H159" s="4"/>
      <c r="I159" s="4"/>
    </row>
    <row r="160" spans="1:9" ht="15.9" x14ac:dyDescent="0.4">
      <c r="A160" s="4"/>
      <c r="B160" s="4"/>
      <c r="C160" s="4"/>
      <c r="D160" s="4"/>
      <c r="E160" s="4"/>
      <c r="F160" s="4"/>
      <c r="G160" s="4"/>
      <c r="H160" s="4"/>
      <c r="I160" s="4"/>
    </row>
    <row r="161" spans="1:9" ht="15.9" x14ac:dyDescent="0.4">
      <c r="A161" s="4"/>
      <c r="B161" s="4"/>
      <c r="C161" s="4"/>
      <c r="D161" s="4"/>
      <c r="E161" s="4"/>
      <c r="F161" s="4"/>
      <c r="G161" s="4"/>
      <c r="H161" s="4"/>
      <c r="I161" s="4"/>
    </row>
    <row r="162" spans="1:9" ht="15.9" x14ac:dyDescent="0.4">
      <c r="A162" s="4"/>
      <c r="B162" s="4"/>
      <c r="C162" s="4"/>
      <c r="D162" s="4"/>
      <c r="E162" s="4"/>
      <c r="F162" s="4"/>
      <c r="G162" s="4"/>
      <c r="H162" s="4"/>
      <c r="I162" s="4"/>
    </row>
    <row r="163" spans="1:9" ht="15.9" x14ac:dyDescent="0.4">
      <c r="A163" s="4"/>
      <c r="B163" s="4"/>
      <c r="C163" s="4"/>
      <c r="D163" s="4"/>
      <c r="E163" s="4"/>
      <c r="F163" s="4"/>
      <c r="G163" s="4"/>
      <c r="H163" s="4"/>
      <c r="I163" s="4"/>
    </row>
    <row r="164" spans="1:9" ht="15.9" x14ac:dyDescent="0.4">
      <c r="A164" s="4"/>
      <c r="B164" s="4"/>
      <c r="C164" s="4"/>
      <c r="D164" s="4"/>
      <c r="E164" s="4"/>
      <c r="F164" s="4"/>
      <c r="G164" s="4"/>
      <c r="H164" s="4"/>
      <c r="I164" s="4"/>
    </row>
    <row r="165" spans="1:9" ht="15.9" x14ac:dyDescent="0.4">
      <c r="A165" s="4"/>
      <c r="B165" s="4"/>
      <c r="C165" s="4"/>
      <c r="D165" s="4"/>
      <c r="E165" s="4"/>
      <c r="F165" s="4"/>
      <c r="G165" s="4"/>
      <c r="H165" s="4"/>
      <c r="I165" s="4"/>
    </row>
    <row r="166" spans="1:9" ht="15.9" x14ac:dyDescent="0.4">
      <c r="A166" s="4"/>
      <c r="B166" s="4"/>
      <c r="C166" s="4"/>
      <c r="D166" s="4"/>
      <c r="E166" s="4"/>
      <c r="F166" s="4"/>
      <c r="G166" s="4"/>
      <c r="H166" s="4"/>
      <c r="I166" s="4"/>
    </row>
    <row r="167" spans="1:9" ht="15.9" x14ac:dyDescent="0.4">
      <c r="A167" s="4"/>
      <c r="B167" s="4"/>
      <c r="C167" s="4"/>
      <c r="D167" s="4"/>
      <c r="E167" s="4"/>
      <c r="F167" s="4"/>
      <c r="G167" s="4"/>
      <c r="H167" s="4"/>
      <c r="I167" s="4"/>
    </row>
    <row r="168" spans="1:9" ht="15.9" x14ac:dyDescent="0.4">
      <c r="A168" s="4"/>
      <c r="B168" s="4"/>
      <c r="C168" s="4"/>
      <c r="D168" s="4"/>
      <c r="E168" s="4"/>
      <c r="F168" s="4"/>
      <c r="G168" s="4"/>
      <c r="H168" s="4"/>
      <c r="I168" s="4"/>
    </row>
    <row r="169" spans="1:9" ht="15.9" x14ac:dyDescent="0.4">
      <c r="A169" s="4"/>
      <c r="B169" s="4"/>
      <c r="C169" s="4"/>
      <c r="D169" s="4"/>
      <c r="E169" s="4"/>
      <c r="F169" s="4"/>
      <c r="G169" s="4"/>
      <c r="H169" s="4"/>
      <c r="I169" s="4"/>
    </row>
    <row r="170" spans="1:9" ht="15.9" x14ac:dyDescent="0.4">
      <c r="A170" s="4"/>
      <c r="B170" s="4"/>
      <c r="C170" s="4"/>
      <c r="D170" s="4"/>
      <c r="E170" s="4"/>
      <c r="F170" s="4"/>
      <c r="G170" s="4"/>
      <c r="H170" s="4"/>
      <c r="I170" s="4"/>
    </row>
    <row r="171" spans="1:9" ht="15.9" x14ac:dyDescent="0.4">
      <c r="A171" s="4"/>
      <c r="B171" s="4"/>
      <c r="C171" s="4"/>
      <c r="D171" s="4"/>
      <c r="E171" s="4"/>
      <c r="F171" s="4"/>
      <c r="G171" s="4"/>
      <c r="H171" s="4"/>
      <c r="I171" s="4"/>
    </row>
    <row r="172" spans="1:9" ht="15.9" x14ac:dyDescent="0.4">
      <c r="A172" s="4"/>
      <c r="B172" s="4"/>
      <c r="C172" s="4"/>
      <c r="D172" s="4"/>
      <c r="E172" s="4"/>
      <c r="F172" s="4"/>
      <c r="G172" s="4"/>
      <c r="H172" s="4"/>
      <c r="I172" s="4"/>
    </row>
    <row r="173" spans="1:9" ht="15.9" x14ac:dyDescent="0.4">
      <c r="A173" s="4"/>
      <c r="B173" s="4"/>
      <c r="C173" s="4"/>
      <c r="D173" s="4"/>
      <c r="E173" s="4"/>
      <c r="F173" s="4"/>
      <c r="G173" s="4"/>
      <c r="H173" s="4"/>
      <c r="I173" s="4"/>
    </row>
    <row r="174" spans="1:9" ht="15.9" x14ac:dyDescent="0.4">
      <c r="A174" s="4"/>
      <c r="B174" s="4"/>
      <c r="C174" s="4"/>
      <c r="D174" s="4"/>
      <c r="E174" s="4"/>
      <c r="F174" s="4"/>
      <c r="G174" s="4"/>
      <c r="H174" s="4"/>
      <c r="I174" s="4"/>
    </row>
    <row r="175" spans="1:9" ht="15.9" x14ac:dyDescent="0.4">
      <c r="A175" s="4"/>
      <c r="B175" s="4"/>
      <c r="C175" s="4"/>
      <c r="D175" s="4"/>
      <c r="E175" s="4"/>
      <c r="F175" s="4"/>
      <c r="G175" s="4"/>
      <c r="H175" s="4"/>
      <c r="I175" s="4"/>
    </row>
    <row r="176" spans="1:9" ht="15.9" x14ac:dyDescent="0.4">
      <c r="A176" s="4"/>
      <c r="B176" s="4"/>
      <c r="C176" s="4"/>
      <c r="D176" s="4"/>
      <c r="E176" s="4"/>
      <c r="F176" s="4"/>
      <c r="G176" s="4"/>
      <c r="H176" s="4"/>
      <c r="I176" s="4"/>
    </row>
    <row r="177" spans="1:9" ht="15.9" x14ac:dyDescent="0.4">
      <c r="A177" s="4"/>
      <c r="B177" s="4"/>
      <c r="C177" s="4"/>
      <c r="D177" s="4"/>
      <c r="E177" s="4"/>
      <c r="F177" s="4"/>
      <c r="G177" s="4"/>
      <c r="H177" s="4"/>
      <c r="I177" s="4"/>
    </row>
    <row r="178" spans="1:9" ht="15.9" x14ac:dyDescent="0.4">
      <c r="A178" s="4"/>
      <c r="B178" s="4"/>
      <c r="C178" s="4"/>
      <c r="D178" s="4"/>
      <c r="E178" s="4"/>
      <c r="F178" s="4"/>
      <c r="G178" s="4"/>
      <c r="H178" s="4"/>
      <c r="I178" s="4"/>
    </row>
    <row r="179" spans="1:9" ht="15.9" x14ac:dyDescent="0.4">
      <c r="A179" s="4"/>
      <c r="B179" s="4"/>
      <c r="C179" s="4"/>
      <c r="D179" s="4"/>
      <c r="E179" s="4"/>
      <c r="F179" s="4"/>
      <c r="G179" s="4"/>
      <c r="H179" s="4"/>
      <c r="I179" s="4"/>
    </row>
    <row r="180" spans="1:9" ht="15.9" x14ac:dyDescent="0.4">
      <c r="A180" s="4"/>
      <c r="B180" s="4"/>
      <c r="C180" s="4"/>
      <c r="D180" s="4"/>
      <c r="E180" s="4"/>
      <c r="F180" s="4"/>
      <c r="G180" s="4"/>
      <c r="H180" s="4"/>
      <c r="I180" s="4"/>
    </row>
    <row r="181" spans="1:9" ht="15.9" x14ac:dyDescent="0.4">
      <c r="A181" s="4"/>
      <c r="B181" s="4"/>
      <c r="C181" s="4"/>
      <c r="D181" s="4"/>
      <c r="E181" s="4"/>
      <c r="F181" s="4"/>
      <c r="G181" s="4"/>
      <c r="H181" s="4"/>
      <c r="I181" s="4"/>
    </row>
    <row r="182" spans="1:9" ht="15.9" x14ac:dyDescent="0.4">
      <c r="A182" s="4"/>
      <c r="B182" s="4"/>
      <c r="C182" s="4"/>
      <c r="D182" s="4"/>
      <c r="E182" s="4"/>
      <c r="F182" s="4"/>
      <c r="G182" s="4"/>
      <c r="H182" s="4"/>
      <c r="I182" s="4"/>
    </row>
    <row r="183" spans="1:9" ht="15.9" x14ac:dyDescent="0.4">
      <c r="A183" s="4"/>
      <c r="B183" s="4"/>
      <c r="C183" s="4"/>
      <c r="D183" s="4"/>
      <c r="E183" s="4"/>
      <c r="F183" s="4"/>
      <c r="G183" s="4"/>
      <c r="H183" s="4"/>
      <c r="I183" s="4"/>
    </row>
    <row r="184" spans="1:9" ht="15.9" x14ac:dyDescent="0.4">
      <c r="A184" s="4"/>
      <c r="B184" s="4"/>
      <c r="C184" s="4"/>
      <c r="D184" s="4"/>
      <c r="E184" s="4"/>
      <c r="F184" s="4"/>
      <c r="G184" s="4"/>
      <c r="H184" s="4"/>
      <c r="I184" s="4"/>
    </row>
    <row r="185" spans="1:9" ht="15.9" x14ac:dyDescent="0.4">
      <c r="A185" s="4"/>
      <c r="B185" s="4"/>
      <c r="C185" s="4"/>
      <c r="D185" s="4"/>
      <c r="E185" s="4"/>
      <c r="F185" s="4"/>
      <c r="G185" s="4"/>
      <c r="H185" s="4"/>
      <c r="I185" s="4"/>
    </row>
    <row r="186" spans="1:9" ht="15.9" x14ac:dyDescent="0.4">
      <c r="A186" s="4"/>
      <c r="B186" s="4"/>
      <c r="C186" s="4"/>
      <c r="D186" s="4"/>
      <c r="E186" s="4"/>
      <c r="F186" s="4"/>
      <c r="G186" s="4"/>
      <c r="H186" s="4"/>
      <c r="I186" s="4"/>
    </row>
    <row r="187" spans="1:9" ht="15.9" x14ac:dyDescent="0.4">
      <c r="A187" s="4"/>
      <c r="B187" s="4"/>
      <c r="C187" s="4"/>
      <c r="D187" s="4"/>
      <c r="E187" s="4"/>
      <c r="F187" s="4"/>
      <c r="G187" s="4"/>
      <c r="H187" s="4"/>
      <c r="I187" s="4"/>
    </row>
    <row r="188" spans="1:9" ht="15.9" x14ac:dyDescent="0.4">
      <c r="A188" s="4"/>
      <c r="B188" s="4"/>
      <c r="C188" s="4"/>
      <c r="D188" s="4"/>
      <c r="E188" s="4"/>
      <c r="F188" s="4"/>
      <c r="G188" s="4"/>
      <c r="H188" s="4"/>
      <c r="I188" s="4"/>
    </row>
    <row r="189" spans="1:9" ht="15.9" x14ac:dyDescent="0.4">
      <c r="A189" s="4"/>
      <c r="B189" s="4"/>
      <c r="C189" s="4"/>
      <c r="D189" s="4"/>
      <c r="E189" s="4"/>
      <c r="F189" s="4"/>
      <c r="G189" s="4"/>
      <c r="H189" s="4"/>
      <c r="I189" s="4"/>
    </row>
    <row r="190" spans="1:9" ht="15.9" x14ac:dyDescent="0.4">
      <c r="A190" s="4"/>
      <c r="B190" s="4"/>
      <c r="C190" s="4"/>
      <c r="D190" s="4"/>
      <c r="E190" s="4"/>
      <c r="F190" s="4"/>
      <c r="G190" s="4"/>
      <c r="H190" s="4"/>
      <c r="I190" s="4"/>
    </row>
    <row r="191" spans="1:9" ht="15.9" x14ac:dyDescent="0.4">
      <c r="A191" s="4"/>
      <c r="B191" s="4"/>
      <c r="C191" s="4"/>
      <c r="D191" s="4"/>
      <c r="E191" s="4"/>
      <c r="F191" s="4"/>
      <c r="G191" s="4"/>
      <c r="H191" s="4"/>
      <c r="I191" s="4"/>
    </row>
    <row r="192" spans="1:9" ht="15.9" x14ac:dyDescent="0.4">
      <c r="A192" s="4"/>
      <c r="B192" s="4"/>
      <c r="C192" s="4"/>
      <c r="D192" s="4"/>
      <c r="E192" s="4"/>
      <c r="F192" s="4"/>
      <c r="G192" s="4"/>
      <c r="H192" s="4"/>
      <c r="I192" s="4"/>
    </row>
    <row r="193" spans="1:9" ht="15.9" x14ac:dyDescent="0.4">
      <c r="A193" s="4"/>
      <c r="B193" s="4"/>
      <c r="C193" s="4"/>
      <c r="D193" s="4"/>
      <c r="E193" s="4"/>
      <c r="F193" s="4"/>
      <c r="G193" s="4"/>
      <c r="H193" s="4"/>
      <c r="I193" s="4"/>
    </row>
    <row r="194" spans="1:9" ht="15.9" x14ac:dyDescent="0.4">
      <c r="A194" s="4"/>
      <c r="B194" s="4"/>
      <c r="C194" s="4"/>
      <c r="D194" s="4"/>
      <c r="E194" s="4"/>
      <c r="F194" s="4"/>
      <c r="G194" s="4"/>
      <c r="H194" s="4"/>
      <c r="I194" s="4"/>
    </row>
    <row r="195" spans="1:9" ht="15.9" x14ac:dyDescent="0.4">
      <c r="A195" s="4"/>
      <c r="B195" s="4"/>
      <c r="C195" s="4"/>
      <c r="D195" s="4"/>
      <c r="E195" s="4"/>
      <c r="F195" s="4"/>
      <c r="G195" s="4"/>
      <c r="H195" s="4"/>
      <c r="I195" s="4"/>
    </row>
    <row r="196" spans="1:9" ht="15.9" x14ac:dyDescent="0.4">
      <c r="A196" s="4"/>
      <c r="B196" s="4"/>
      <c r="C196" s="4"/>
      <c r="D196" s="4"/>
      <c r="E196" s="4"/>
      <c r="F196" s="4"/>
      <c r="G196" s="4"/>
      <c r="H196" s="4"/>
      <c r="I196" s="4"/>
    </row>
    <row r="197" spans="1:9" ht="15.9" x14ac:dyDescent="0.4">
      <c r="A197" s="4"/>
      <c r="B197" s="4"/>
      <c r="C197" s="4"/>
      <c r="D197" s="4"/>
      <c r="E197" s="4"/>
      <c r="F197" s="4"/>
      <c r="G197" s="4"/>
      <c r="H197" s="4"/>
      <c r="I197" s="4"/>
    </row>
    <row r="198" spans="1:9" ht="15.9" x14ac:dyDescent="0.4">
      <c r="A198" s="4"/>
      <c r="B198" s="4"/>
      <c r="C198" s="4"/>
      <c r="D198" s="4"/>
      <c r="E198" s="4"/>
      <c r="F198" s="4"/>
      <c r="G198" s="4"/>
      <c r="H198" s="4"/>
      <c r="I198" s="4"/>
    </row>
    <row r="199" spans="1:9" ht="15.9" x14ac:dyDescent="0.4">
      <c r="A199" s="4"/>
      <c r="B199" s="4"/>
      <c r="C199" s="4"/>
      <c r="D199" s="4"/>
      <c r="E199" s="4"/>
      <c r="F199" s="4"/>
      <c r="G199" s="4"/>
      <c r="H199" s="4"/>
      <c r="I199" s="4"/>
    </row>
    <row r="200" spans="1:9" ht="15.9" x14ac:dyDescent="0.4">
      <c r="A200" s="4"/>
      <c r="B200" s="4"/>
      <c r="C200" s="4"/>
      <c r="D200" s="4"/>
      <c r="E200" s="4"/>
      <c r="F200" s="4"/>
      <c r="G200" s="4"/>
      <c r="H200" s="4"/>
      <c r="I200" s="4"/>
    </row>
    <row r="201" spans="1:9" ht="15.9" x14ac:dyDescent="0.4">
      <c r="A201" s="4"/>
      <c r="B201" s="4"/>
      <c r="C201" s="4"/>
      <c r="D201" s="4"/>
      <c r="E201" s="4"/>
      <c r="F201" s="4"/>
      <c r="G201" s="4"/>
      <c r="H201" s="4"/>
      <c r="I201" s="4"/>
    </row>
    <row r="202" spans="1:9" ht="15.9" x14ac:dyDescent="0.4">
      <c r="A202" s="4"/>
      <c r="B202" s="4"/>
      <c r="C202" s="4"/>
      <c r="D202" s="4"/>
      <c r="E202" s="4"/>
      <c r="F202" s="4"/>
      <c r="G202" s="4"/>
      <c r="H202" s="4"/>
      <c r="I202" s="4"/>
    </row>
    <row r="203" spans="1:9" ht="15.9" x14ac:dyDescent="0.4">
      <c r="A203" s="4"/>
      <c r="B203" s="4"/>
      <c r="C203" s="4"/>
      <c r="D203" s="4"/>
      <c r="E203" s="4"/>
      <c r="F203" s="4"/>
      <c r="G203" s="4"/>
      <c r="H203" s="4"/>
      <c r="I203" s="4"/>
    </row>
    <row r="204" spans="1:9" ht="15.9" x14ac:dyDescent="0.4">
      <c r="A204" s="4"/>
      <c r="B204" s="4"/>
      <c r="C204" s="4"/>
      <c r="D204" s="4"/>
      <c r="E204" s="4"/>
      <c r="F204" s="4"/>
      <c r="G204" s="4"/>
      <c r="H204" s="4"/>
      <c r="I204" s="4"/>
    </row>
    <row r="205" spans="1:9" ht="15.9" x14ac:dyDescent="0.4">
      <c r="A205" s="4"/>
      <c r="B205" s="4"/>
      <c r="C205" s="4"/>
      <c r="D205" s="4"/>
      <c r="E205" s="4"/>
      <c r="F205" s="4"/>
      <c r="G205" s="4"/>
      <c r="H205" s="4"/>
      <c r="I205" s="4"/>
    </row>
    <row r="206" spans="1:9" ht="15.9" x14ac:dyDescent="0.4">
      <c r="A206" s="4"/>
      <c r="B206" s="4"/>
      <c r="C206" s="4"/>
      <c r="D206" s="4"/>
      <c r="E206" s="4"/>
      <c r="F206" s="4"/>
      <c r="G206" s="4"/>
      <c r="H206" s="4"/>
      <c r="I206" s="4"/>
    </row>
    <row r="207" spans="1:9" ht="15.9" x14ac:dyDescent="0.4">
      <c r="A207" s="4"/>
      <c r="B207" s="4"/>
      <c r="C207" s="4"/>
      <c r="D207" s="4"/>
      <c r="E207" s="4"/>
      <c r="F207" s="4"/>
      <c r="G207" s="4"/>
      <c r="H207" s="4"/>
      <c r="I207" s="4"/>
    </row>
    <row r="208" spans="1:9" ht="15.9" x14ac:dyDescent="0.4">
      <c r="A208" s="4"/>
      <c r="B208" s="4"/>
      <c r="C208" s="4"/>
      <c r="D208" s="4"/>
      <c r="E208" s="4"/>
      <c r="F208" s="4"/>
      <c r="G208" s="4"/>
      <c r="H208" s="4"/>
      <c r="I208" s="4"/>
    </row>
    <row r="209" spans="1:9" ht="15.9" x14ac:dyDescent="0.4">
      <c r="A209" s="4"/>
      <c r="B209" s="4"/>
      <c r="C209" s="4"/>
      <c r="D209" s="4"/>
      <c r="E209" s="4"/>
      <c r="F209" s="4"/>
      <c r="G209" s="4"/>
      <c r="H209" s="4"/>
      <c r="I209" s="4"/>
    </row>
    <row r="210" spans="1:9" ht="15.9" x14ac:dyDescent="0.4">
      <c r="A210" s="4"/>
      <c r="B210" s="4"/>
      <c r="C210" s="4"/>
      <c r="D210" s="4"/>
      <c r="E210" s="4"/>
      <c r="F210" s="4"/>
      <c r="G210" s="4"/>
      <c r="H210" s="4"/>
      <c r="I210" s="4"/>
    </row>
    <row r="211" spans="1:9" ht="15.9" x14ac:dyDescent="0.4">
      <c r="A211" s="4"/>
      <c r="B211" s="4"/>
      <c r="C211" s="4"/>
      <c r="D211" s="4"/>
      <c r="E211" s="4"/>
      <c r="F211" s="4"/>
      <c r="G211" s="4"/>
      <c r="H211" s="4"/>
      <c r="I211" s="4"/>
    </row>
    <row r="212" spans="1:9" ht="15.9" x14ac:dyDescent="0.4">
      <c r="A212" s="4"/>
      <c r="B212" s="4"/>
      <c r="C212" s="4"/>
      <c r="D212" s="4"/>
      <c r="E212" s="4"/>
      <c r="F212" s="4"/>
      <c r="G212" s="4"/>
      <c r="H212" s="4"/>
      <c r="I212" s="4"/>
    </row>
    <row r="213" spans="1:9" ht="15.9" x14ac:dyDescent="0.4">
      <c r="A213" s="4"/>
      <c r="B213" s="4"/>
      <c r="C213" s="4"/>
      <c r="D213" s="4"/>
      <c r="E213" s="4"/>
      <c r="F213" s="4"/>
      <c r="G213" s="4"/>
      <c r="H213" s="4"/>
      <c r="I213" s="4"/>
    </row>
    <row r="214" spans="1:9" ht="15.9" x14ac:dyDescent="0.4">
      <c r="A214" s="4"/>
      <c r="B214" s="4"/>
      <c r="C214" s="4"/>
      <c r="D214" s="4"/>
      <c r="E214" s="4"/>
      <c r="F214" s="4"/>
      <c r="G214" s="4"/>
      <c r="H214" s="4"/>
      <c r="I214" s="4"/>
    </row>
    <row r="215" spans="1:9" ht="15.9" x14ac:dyDescent="0.4">
      <c r="A215" s="4"/>
      <c r="B215" s="4"/>
      <c r="C215" s="4"/>
      <c r="D215" s="4"/>
      <c r="E215" s="4"/>
      <c r="F215" s="4"/>
      <c r="G215" s="4"/>
      <c r="H215" s="4"/>
      <c r="I215" s="4"/>
    </row>
    <row r="216" spans="1:9" ht="15.9" x14ac:dyDescent="0.4">
      <c r="A216" s="4"/>
      <c r="B216" s="4"/>
      <c r="C216" s="4"/>
      <c r="D216" s="4"/>
      <c r="E216" s="4"/>
      <c r="F216" s="4"/>
      <c r="G216" s="4"/>
      <c r="H216" s="4"/>
      <c r="I216" s="4"/>
    </row>
    <row r="217" spans="1:9" ht="15.9" x14ac:dyDescent="0.4">
      <c r="A217" s="4"/>
      <c r="B217" s="4"/>
      <c r="C217" s="4"/>
      <c r="D217" s="4"/>
      <c r="E217" s="4"/>
      <c r="F217" s="4"/>
      <c r="G217" s="4"/>
      <c r="H217" s="4"/>
      <c r="I217" s="4"/>
    </row>
    <row r="218" spans="1:9" ht="15.9" x14ac:dyDescent="0.4">
      <c r="A218" s="4"/>
      <c r="B218" s="4"/>
      <c r="C218" s="4"/>
      <c r="D218" s="4"/>
      <c r="E218" s="4"/>
      <c r="F218" s="4"/>
      <c r="G218" s="4"/>
      <c r="H218" s="4"/>
      <c r="I218" s="4"/>
    </row>
    <row r="219" spans="1:9" ht="15.9" x14ac:dyDescent="0.4">
      <c r="A219" s="4"/>
      <c r="B219" s="4"/>
      <c r="C219" s="4"/>
      <c r="D219" s="4"/>
      <c r="E219" s="4"/>
      <c r="F219" s="4"/>
      <c r="G219" s="4"/>
      <c r="H219" s="4"/>
      <c r="I219" s="4"/>
    </row>
    <row r="220" spans="1:9" ht="15.9" x14ac:dyDescent="0.4">
      <c r="A220" s="4"/>
      <c r="B220" s="4"/>
      <c r="C220" s="4"/>
      <c r="D220" s="4"/>
      <c r="E220" s="4"/>
      <c r="F220" s="4"/>
      <c r="G220" s="4"/>
      <c r="H220" s="4"/>
      <c r="I220" s="4"/>
    </row>
    <row r="221" spans="1:9" ht="15.9" x14ac:dyDescent="0.4">
      <c r="A221" s="4"/>
      <c r="B221" s="4"/>
      <c r="C221" s="4"/>
      <c r="D221" s="4"/>
      <c r="E221" s="4"/>
      <c r="F221" s="4"/>
      <c r="G221" s="4"/>
      <c r="H221" s="4"/>
      <c r="I221" s="4"/>
    </row>
    <row r="222" spans="1:9" ht="15.9" x14ac:dyDescent="0.4">
      <c r="A222" s="4"/>
      <c r="B222" s="4"/>
      <c r="C222" s="4"/>
      <c r="D222" s="4"/>
      <c r="E222" s="4"/>
      <c r="F222" s="4"/>
      <c r="G222" s="4"/>
      <c r="H222" s="4"/>
      <c r="I222" s="4"/>
    </row>
    <row r="223" spans="1:9" ht="15.9" x14ac:dyDescent="0.4">
      <c r="A223" s="4"/>
      <c r="B223" s="4"/>
      <c r="C223" s="4"/>
      <c r="D223" s="4"/>
      <c r="E223" s="4"/>
      <c r="F223" s="4"/>
      <c r="G223" s="4"/>
      <c r="H223" s="4"/>
      <c r="I223" s="4"/>
    </row>
    <row r="224" spans="1:9" ht="15.9" x14ac:dyDescent="0.4">
      <c r="A224" s="4"/>
      <c r="B224" s="4"/>
      <c r="C224" s="4"/>
      <c r="D224" s="4"/>
      <c r="E224" s="4"/>
      <c r="F224" s="4"/>
      <c r="G224" s="4"/>
      <c r="H224" s="4"/>
      <c r="I224" s="4"/>
    </row>
    <row r="225" spans="1:9" ht="15.9" x14ac:dyDescent="0.4">
      <c r="A225" s="4"/>
      <c r="B225" s="4"/>
      <c r="C225" s="4"/>
      <c r="D225" s="4"/>
      <c r="E225" s="4"/>
      <c r="F225" s="4"/>
      <c r="G225" s="4"/>
      <c r="H225" s="4"/>
      <c r="I225" s="4"/>
    </row>
    <row r="226" spans="1:9" ht="15.9" x14ac:dyDescent="0.4">
      <c r="A226" s="4"/>
      <c r="B226" s="4"/>
      <c r="C226" s="4"/>
      <c r="D226" s="4"/>
      <c r="E226" s="4"/>
      <c r="F226" s="4"/>
      <c r="G226" s="4"/>
      <c r="H226" s="4"/>
      <c r="I226" s="4"/>
    </row>
    <row r="227" spans="1:9" ht="15.9" x14ac:dyDescent="0.4">
      <c r="A227" s="4"/>
      <c r="B227" s="4"/>
      <c r="C227" s="4"/>
      <c r="D227" s="4"/>
      <c r="E227" s="4"/>
      <c r="F227" s="4"/>
      <c r="G227" s="4"/>
      <c r="H227" s="4"/>
      <c r="I227" s="4"/>
    </row>
    <row r="228" spans="1:9" ht="15.9" x14ac:dyDescent="0.4">
      <c r="A228" s="4"/>
      <c r="B228" s="4"/>
      <c r="C228" s="4"/>
      <c r="D228" s="4"/>
      <c r="E228" s="4"/>
      <c r="F228" s="4"/>
      <c r="G228" s="4"/>
      <c r="H228" s="4"/>
      <c r="I228" s="4"/>
    </row>
    <row r="229" spans="1:9" ht="15.9" x14ac:dyDescent="0.4">
      <c r="A229" s="4"/>
      <c r="B229" s="4"/>
      <c r="C229" s="4"/>
      <c r="D229" s="4"/>
      <c r="E229" s="4"/>
      <c r="F229" s="4"/>
      <c r="G229" s="4"/>
      <c r="H229" s="4"/>
      <c r="I229" s="4"/>
    </row>
    <row r="230" spans="1:9" ht="15.9" x14ac:dyDescent="0.4">
      <c r="A230" s="4"/>
      <c r="B230" s="4"/>
      <c r="C230" s="4"/>
      <c r="D230" s="4"/>
      <c r="E230" s="4"/>
      <c r="F230" s="4"/>
      <c r="G230" s="4"/>
      <c r="H230" s="4"/>
      <c r="I230" s="4"/>
    </row>
    <row r="231" spans="1:9" ht="15.9" x14ac:dyDescent="0.4">
      <c r="A231" s="4"/>
      <c r="B231" s="4"/>
      <c r="C231" s="4"/>
      <c r="D231" s="4"/>
      <c r="E231" s="4"/>
      <c r="F231" s="4"/>
      <c r="G231" s="4"/>
      <c r="H231" s="4"/>
      <c r="I231" s="4"/>
    </row>
    <row r="232" spans="1:9" ht="15.9" x14ac:dyDescent="0.4">
      <c r="A232" s="4"/>
      <c r="B232" s="4"/>
      <c r="C232" s="4"/>
      <c r="D232" s="4"/>
      <c r="E232" s="4"/>
      <c r="F232" s="4"/>
      <c r="G232" s="4"/>
      <c r="H232" s="4"/>
      <c r="I232" s="4"/>
    </row>
    <row r="233" spans="1:9" ht="15.9" x14ac:dyDescent="0.4">
      <c r="A233" s="4"/>
      <c r="B233" s="4"/>
      <c r="C233" s="4"/>
      <c r="D233" s="4"/>
      <c r="E233" s="4"/>
      <c r="F233" s="4"/>
      <c r="G233" s="4"/>
      <c r="H233" s="4"/>
      <c r="I233" s="4"/>
    </row>
    <row r="234" spans="1:9" ht="15.9" x14ac:dyDescent="0.4">
      <c r="A234" s="4"/>
      <c r="B234" s="4"/>
      <c r="C234" s="4"/>
      <c r="D234" s="4"/>
      <c r="E234" s="4"/>
      <c r="F234" s="4"/>
      <c r="G234" s="4"/>
      <c r="H234" s="4"/>
      <c r="I234" s="4"/>
    </row>
    <row r="235" spans="1:9" ht="15.9" x14ac:dyDescent="0.4">
      <c r="A235" s="4"/>
      <c r="B235" s="4"/>
      <c r="C235" s="4"/>
      <c r="D235" s="4"/>
      <c r="E235" s="4"/>
      <c r="F235" s="4"/>
      <c r="G235" s="4"/>
      <c r="H235" s="4"/>
      <c r="I235" s="4"/>
    </row>
    <row r="236" spans="1:9" ht="15.9" x14ac:dyDescent="0.4">
      <c r="A236" s="4"/>
      <c r="B236" s="4"/>
      <c r="C236" s="4"/>
      <c r="D236" s="4"/>
      <c r="E236" s="4"/>
      <c r="F236" s="4"/>
      <c r="G236" s="4"/>
      <c r="H236" s="4"/>
      <c r="I236" s="4"/>
    </row>
    <row r="237" spans="1:9" ht="15.9" x14ac:dyDescent="0.4">
      <c r="A237" s="4"/>
      <c r="B237" s="4"/>
      <c r="C237" s="4"/>
      <c r="D237" s="4"/>
      <c r="E237" s="4"/>
      <c r="F237" s="4"/>
      <c r="G237" s="4"/>
      <c r="H237" s="4"/>
      <c r="I237" s="4"/>
    </row>
    <row r="238" spans="1:9" ht="15.9" x14ac:dyDescent="0.4">
      <c r="A238" s="4"/>
      <c r="B238" s="4"/>
      <c r="C238" s="4"/>
      <c r="D238" s="4"/>
      <c r="E238" s="4"/>
      <c r="F238" s="4"/>
      <c r="G238" s="4"/>
      <c r="H238" s="4"/>
      <c r="I238" s="4"/>
    </row>
    <row r="239" spans="1:9" ht="15.9" x14ac:dyDescent="0.4">
      <c r="A239" s="4"/>
      <c r="B239" s="4"/>
      <c r="C239" s="4"/>
      <c r="D239" s="4"/>
      <c r="E239" s="4"/>
      <c r="F239" s="4"/>
      <c r="G239" s="4"/>
      <c r="H239" s="4"/>
      <c r="I239" s="4"/>
    </row>
    <row r="240" spans="1:9" ht="15.9" x14ac:dyDescent="0.4">
      <c r="A240" s="4"/>
      <c r="B240" s="4"/>
      <c r="C240" s="4"/>
      <c r="D240" s="4"/>
      <c r="E240" s="4"/>
      <c r="F240" s="4"/>
      <c r="G240" s="4"/>
      <c r="H240" s="4"/>
      <c r="I240" s="4"/>
    </row>
    <row r="241" spans="1:9" ht="15.9" x14ac:dyDescent="0.4">
      <c r="A241" s="4"/>
      <c r="B241" s="4"/>
      <c r="C241" s="4"/>
      <c r="D241" s="4"/>
      <c r="E241" s="4"/>
      <c r="F241" s="4"/>
      <c r="G241" s="4"/>
      <c r="H241" s="4"/>
      <c r="I241" s="4"/>
    </row>
    <row r="242" spans="1:9" ht="15.9" x14ac:dyDescent="0.4">
      <c r="A242" s="4"/>
      <c r="B242" s="4"/>
      <c r="C242" s="4"/>
      <c r="D242" s="4"/>
      <c r="E242" s="4"/>
      <c r="F242" s="4"/>
      <c r="G242" s="4"/>
      <c r="H242" s="4"/>
      <c r="I242" s="4"/>
    </row>
    <row r="243" spans="1:9" ht="15.9" x14ac:dyDescent="0.4">
      <c r="A243" s="4"/>
      <c r="B243" s="4"/>
      <c r="C243" s="4"/>
      <c r="D243" s="4"/>
      <c r="E243" s="4"/>
      <c r="F243" s="4"/>
      <c r="G243" s="4"/>
      <c r="H243" s="4"/>
      <c r="I243" s="4"/>
    </row>
    <row r="244" spans="1:9" ht="15.9" x14ac:dyDescent="0.4">
      <c r="A244" s="4"/>
      <c r="B244" s="4"/>
      <c r="C244" s="4"/>
      <c r="D244" s="4"/>
      <c r="E244" s="4"/>
      <c r="F244" s="4"/>
      <c r="G244" s="4"/>
      <c r="H244" s="4"/>
      <c r="I244" s="4"/>
    </row>
    <row r="245" spans="1:9" ht="15.9" x14ac:dyDescent="0.4">
      <c r="A245" s="4"/>
      <c r="B245" s="4"/>
      <c r="C245" s="4"/>
      <c r="D245" s="4"/>
      <c r="E245" s="4"/>
      <c r="F245" s="4"/>
      <c r="G245" s="4"/>
      <c r="H245" s="4"/>
      <c r="I245" s="4"/>
    </row>
    <row r="246" spans="1:9" ht="15.9" x14ac:dyDescent="0.4">
      <c r="A246" s="4"/>
      <c r="B246" s="4"/>
      <c r="C246" s="4"/>
      <c r="D246" s="4"/>
      <c r="E246" s="4"/>
      <c r="F246" s="4"/>
      <c r="G246" s="4"/>
      <c r="H246" s="4"/>
      <c r="I246" s="4"/>
    </row>
    <row r="247" spans="1:9" ht="15.9" x14ac:dyDescent="0.4">
      <c r="A247" s="4"/>
      <c r="B247" s="4"/>
      <c r="C247" s="4"/>
      <c r="D247" s="4"/>
      <c r="E247" s="4"/>
      <c r="F247" s="4"/>
      <c r="G247" s="4"/>
      <c r="H247" s="4"/>
      <c r="I247" s="4"/>
    </row>
    <row r="248" spans="1:9" ht="15.9" x14ac:dyDescent="0.4">
      <c r="A248" s="4"/>
      <c r="B248" s="4"/>
      <c r="C248" s="4"/>
      <c r="D248" s="4"/>
      <c r="E248" s="4"/>
      <c r="F248" s="4"/>
      <c r="G248" s="4"/>
      <c r="H248" s="4"/>
      <c r="I248" s="4"/>
    </row>
    <row r="249" spans="1:9" ht="15.9" x14ac:dyDescent="0.4">
      <c r="A249" s="4"/>
      <c r="B249" s="4"/>
      <c r="C249" s="4"/>
      <c r="D249" s="4"/>
      <c r="E249" s="4"/>
      <c r="F249" s="4"/>
      <c r="G249" s="4"/>
      <c r="H249" s="4"/>
      <c r="I249" s="4"/>
    </row>
    <row r="250" spans="1:9" ht="15.9" x14ac:dyDescent="0.4">
      <c r="A250" s="4"/>
      <c r="B250" s="4"/>
      <c r="C250" s="4"/>
      <c r="D250" s="4"/>
      <c r="E250" s="4"/>
      <c r="F250" s="4"/>
      <c r="G250" s="4"/>
      <c r="H250" s="4"/>
      <c r="I250" s="4"/>
    </row>
    <row r="251" spans="1:9" ht="15.9" x14ac:dyDescent="0.4">
      <c r="A251" s="4"/>
      <c r="B251" s="4"/>
      <c r="C251" s="4"/>
      <c r="D251" s="4"/>
      <c r="E251" s="4"/>
      <c r="F251" s="4"/>
      <c r="G251" s="4"/>
      <c r="H251" s="4"/>
      <c r="I251" s="4"/>
    </row>
    <row r="252" spans="1:9" ht="15.9" x14ac:dyDescent="0.4">
      <c r="A252" s="4"/>
      <c r="B252" s="4"/>
      <c r="C252" s="4"/>
      <c r="D252" s="4"/>
      <c r="E252" s="4"/>
      <c r="F252" s="4"/>
      <c r="G252" s="4"/>
      <c r="H252" s="4"/>
      <c r="I252" s="4"/>
    </row>
    <row r="253" spans="1:9" ht="15.9" x14ac:dyDescent="0.4">
      <c r="A253" s="4"/>
      <c r="B253" s="4"/>
      <c r="C253" s="4"/>
      <c r="D253" s="4"/>
      <c r="E253" s="4"/>
      <c r="F253" s="4"/>
      <c r="G253" s="4"/>
      <c r="H253" s="4"/>
      <c r="I253" s="4"/>
    </row>
    <row r="254" spans="1:9" ht="15.9" x14ac:dyDescent="0.4">
      <c r="A254" s="4"/>
      <c r="B254" s="4"/>
      <c r="C254" s="4"/>
      <c r="D254" s="4"/>
      <c r="E254" s="4"/>
      <c r="F254" s="4"/>
      <c r="G254" s="4"/>
      <c r="H254" s="4"/>
      <c r="I254" s="4"/>
    </row>
    <row r="255" spans="1:9" ht="15.9" x14ac:dyDescent="0.4">
      <c r="A255" s="4"/>
      <c r="B255" s="4"/>
      <c r="C255" s="4"/>
      <c r="D255" s="4"/>
      <c r="E255" s="4"/>
      <c r="F255" s="4"/>
      <c r="G255" s="4"/>
      <c r="H255" s="4"/>
      <c r="I255" s="4"/>
    </row>
    <row r="256" spans="1:9" ht="15.9" x14ac:dyDescent="0.4">
      <c r="A256" s="4"/>
      <c r="B256" s="4"/>
      <c r="C256" s="4"/>
      <c r="D256" s="4"/>
      <c r="E256" s="4"/>
      <c r="F256" s="4"/>
      <c r="G256" s="4"/>
      <c r="H256" s="4"/>
      <c r="I256" s="4"/>
    </row>
    <row r="257" spans="1:9" ht="15.9" x14ac:dyDescent="0.4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5.9" x14ac:dyDescent="0.4">
      <c r="A258" s="4"/>
      <c r="B258" s="4"/>
      <c r="C258" s="4"/>
      <c r="D258" s="4"/>
      <c r="E258" s="4"/>
      <c r="F258" s="4"/>
      <c r="G258" s="4"/>
      <c r="H258" s="4"/>
      <c r="I258" s="4"/>
    </row>
    <row r="259" spans="1:9" ht="15.9" x14ac:dyDescent="0.4">
      <c r="A259" s="4"/>
      <c r="B259" s="4"/>
      <c r="C259" s="4"/>
      <c r="D259" s="4"/>
      <c r="E259" s="4"/>
      <c r="F259" s="4"/>
      <c r="G259" s="4"/>
      <c r="H259" s="4"/>
      <c r="I259" s="4"/>
    </row>
    <row r="260" spans="1:9" ht="15.9" x14ac:dyDescent="0.4">
      <c r="A260" s="4"/>
      <c r="B260" s="4"/>
      <c r="C260" s="4"/>
      <c r="D260" s="4"/>
      <c r="E260" s="4"/>
      <c r="F260" s="4"/>
      <c r="G260" s="4"/>
      <c r="H260" s="4"/>
      <c r="I260" s="4"/>
    </row>
    <row r="261" spans="1:9" ht="15.9" x14ac:dyDescent="0.4">
      <c r="A261" s="4"/>
      <c r="B261" s="4"/>
      <c r="C261" s="4"/>
      <c r="D261" s="4"/>
      <c r="E261" s="4"/>
      <c r="F261" s="4"/>
      <c r="G261" s="4"/>
      <c r="H261" s="4"/>
      <c r="I261" s="4"/>
    </row>
    <row r="262" spans="1:9" ht="15.9" x14ac:dyDescent="0.4">
      <c r="A262" s="4"/>
      <c r="B262" s="4"/>
      <c r="C262" s="4"/>
      <c r="D262" s="4"/>
      <c r="E262" s="4"/>
      <c r="F262" s="4"/>
      <c r="G262" s="4"/>
      <c r="H262" s="4"/>
      <c r="I262" s="4"/>
    </row>
    <row r="263" spans="1:9" ht="15.9" x14ac:dyDescent="0.4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5.9" x14ac:dyDescent="0.4">
      <c r="A264" s="4"/>
      <c r="B264" s="4"/>
      <c r="C264" s="4"/>
      <c r="D264" s="4"/>
      <c r="E264" s="4"/>
      <c r="F264" s="4"/>
      <c r="G264" s="4"/>
      <c r="H264" s="4"/>
      <c r="I264" s="4"/>
    </row>
    <row r="265" spans="1:9" ht="15.9" x14ac:dyDescent="0.4">
      <c r="A265" s="4"/>
      <c r="B265" s="4"/>
      <c r="C265" s="4"/>
      <c r="D265" s="4"/>
      <c r="E265" s="4"/>
      <c r="F265" s="4"/>
      <c r="G265" s="4"/>
      <c r="H265" s="4"/>
      <c r="I265" s="4"/>
    </row>
    <row r="266" spans="1:9" ht="15.9" x14ac:dyDescent="0.4">
      <c r="A266" s="4"/>
      <c r="B266" s="4"/>
      <c r="C266" s="4"/>
      <c r="D266" s="4"/>
      <c r="E266" s="4"/>
      <c r="F266" s="4"/>
      <c r="G266" s="4"/>
      <c r="H266" s="4"/>
      <c r="I266" s="4"/>
    </row>
    <row r="267" spans="1:9" ht="15.9" x14ac:dyDescent="0.4">
      <c r="A267" s="4"/>
      <c r="B267" s="4"/>
      <c r="C267" s="4"/>
      <c r="D267" s="4"/>
      <c r="E267" s="4"/>
      <c r="F267" s="4"/>
      <c r="G267" s="4"/>
      <c r="H267" s="4"/>
      <c r="I267" s="4"/>
    </row>
    <row r="268" spans="1:9" ht="15.9" x14ac:dyDescent="0.4">
      <c r="A268" s="4"/>
      <c r="B268" s="4"/>
      <c r="C268" s="4"/>
      <c r="D268" s="4"/>
      <c r="E268" s="4"/>
      <c r="F268" s="4"/>
      <c r="G268" s="4"/>
      <c r="H268" s="4"/>
      <c r="I268" s="4"/>
    </row>
    <row r="269" spans="1:9" ht="15.9" x14ac:dyDescent="0.4">
      <c r="A269" s="4"/>
      <c r="B269" s="4"/>
      <c r="C269" s="4"/>
      <c r="D269" s="4"/>
      <c r="E269" s="4"/>
      <c r="F269" s="4"/>
      <c r="G269" s="4"/>
      <c r="H269" s="4"/>
      <c r="I269" s="4"/>
    </row>
    <row r="270" spans="1:9" ht="15.9" x14ac:dyDescent="0.4">
      <c r="A270" s="4"/>
      <c r="B270" s="4"/>
      <c r="C270" s="4"/>
      <c r="D270" s="4"/>
      <c r="E270" s="4"/>
      <c r="F270" s="4"/>
      <c r="G270" s="4"/>
      <c r="H270" s="4"/>
      <c r="I270" s="4"/>
    </row>
    <row r="271" spans="1:9" ht="15.9" x14ac:dyDescent="0.4">
      <c r="A271" s="4"/>
      <c r="B271" s="4"/>
      <c r="C271" s="4"/>
      <c r="D271" s="4"/>
      <c r="E271" s="4"/>
      <c r="F271" s="4"/>
      <c r="G271" s="4"/>
      <c r="H271" s="4"/>
      <c r="I271" s="4"/>
    </row>
    <row r="272" spans="1:9" ht="15.9" x14ac:dyDescent="0.4">
      <c r="A272" s="4"/>
      <c r="B272" s="4"/>
      <c r="C272" s="4"/>
      <c r="D272" s="4"/>
      <c r="E272" s="4"/>
      <c r="F272" s="4"/>
      <c r="G272" s="4"/>
      <c r="H272" s="4"/>
      <c r="I272" s="4"/>
    </row>
    <row r="273" spans="1:9" ht="15.9" x14ac:dyDescent="0.4">
      <c r="A273" s="4"/>
      <c r="B273" s="4"/>
      <c r="C273" s="4"/>
      <c r="D273" s="4"/>
      <c r="E273" s="4"/>
      <c r="F273" s="4"/>
      <c r="G273" s="4"/>
      <c r="H273" s="4"/>
      <c r="I273" s="4"/>
    </row>
    <row r="274" spans="1:9" ht="15.9" x14ac:dyDescent="0.4">
      <c r="A274" s="4"/>
      <c r="B274" s="4"/>
      <c r="C274" s="4"/>
      <c r="D274" s="4"/>
      <c r="E274" s="4"/>
      <c r="F274" s="4"/>
      <c r="G274" s="4"/>
      <c r="H274" s="4"/>
      <c r="I274" s="4"/>
    </row>
    <row r="275" spans="1:9" ht="15.9" x14ac:dyDescent="0.4">
      <c r="A275" s="4"/>
      <c r="B275" s="4"/>
      <c r="C275" s="4"/>
      <c r="D275" s="4"/>
      <c r="E275" s="4"/>
      <c r="F275" s="4"/>
      <c r="G275" s="4"/>
      <c r="H275" s="4"/>
      <c r="I275" s="4"/>
    </row>
    <row r="276" spans="1:9" ht="15.9" x14ac:dyDescent="0.4">
      <c r="A276" s="4"/>
      <c r="B276" s="4"/>
      <c r="C276" s="4"/>
      <c r="D276" s="4"/>
      <c r="E276" s="4"/>
      <c r="F276" s="4"/>
      <c r="G276" s="4"/>
      <c r="H276" s="4"/>
      <c r="I276" s="4"/>
    </row>
    <row r="277" spans="1:9" ht="15.9" x14ac:dyDescent="0.4">
      <c r="A277" s="4"/>
      <c r="B277" s="4"/>
      <c r="C277" s="4"/>
      <c r="D277" s="4"/>
      <c r="E277" s="4"/>
      <c r="F277" s="4"/>
      <c r="G277" s="4"/>
      <c r="H277" s="4"/>
      <c r="I277" s="4"/>
    </row>
    <row r="278" spans="1:9" ht="15.9" x14ac:dyDescent="0.4">
      <c r="A278" s="4"/>
      <c r="B278" s="4"/>
      <c r="C278" s="4"/>
      <c r="D278" s="4"/>
      <c r="E278" s="4"/>
      <c r="F278" s="4"/>
      <c r="G278" s="4"/>
      <c r="H278" s="4"/>
      <c r="I278" s="4"/>
    </row>
    <row r="279" spans="1:9" ht="15.9" x14ac:dyDescent="0.4">
      <c r="A279" s="4"/>
      <c r="B279" s="4"/>
      <c r="C279" s="4"/>
      <c r="D279" s="4"/>
      <c r="E279" s="4"/>
      <c r="F279" s="4"/>
      <c r="G279" s="4"/>
      <c r="H279" s="4"/>
      <c r="I279" s="4"/>
    </row>
    <row r="280" spans="1:9" ht="15.9" x14ac:dyDescent="0.4">
      <c r="A280" s="4"/>
      <c r="B280" s="4"/>
      <c r="C280" s="4"/>
      <c r="D280" s="4"/>
      <c r="E280" s="4"/>
      <c r="F280" s="4"/>
      <c r="G280" s="4"/>
      <c r="H280" s="4"/>
      <c r="I280" s="4"/>
    </row>
    <row r="281" spans="1:9" ht="15.9" x14ac:dyDescent="0.4">
      <c r="A281" s="4"/>
      <c r="B281" s="4"/>
      <c r="C281" s="4"/>
      <c r="D281" s="4"/>
      <c r="E281" s="4"/>
      <c r="F281" s="4"/>
      <c r="G281" s="4"/>
      <c r="H281" s="4"/>
      <c r="I281" s="4"/>
    </row>
    <row r="282" spans="1:9" ht="15.9" x14ac:dyDescent="0.4">
      <c r="A282" s="4"/>
      <c r="B282" s="4"/>
      <c r="C282" s="4"/>
      <c r="D282" s="4"/>
      <c r="E282" s="4"/>
      <c r="F282" s="4"/>
      <c r="G282" s="4"/>
      <c r="H282" s="4"/>
      <c r="I282" s="4"/>
    </row>
    <row r="283" spans="1:9" ht="15.9" x14ac:dyDescent="0.4">
      <c r="A283" s="4"/>
      <c r="B283" s="4"/>
      <c r="C283" s="4"/>
      <c r="D283" s="4"/>
      <c r="E283" s="4"/>
      <c r="F283" s="4"/>
      <c r="G283" s="4"/>
      <c r="H283" s="4"/>
      <c r="I283" s="4"/>
    </row>
    <row r="284" spans="1:9" ht="15.9" x14ac:dyDescent="0.4">
      <c r="A284" s="4"/>
      <c r="B284" s="4"/>
      <c r="C284" s="4"/>
      <c r="D284" s="4"/>
      <c r="E284" s="4"/>
      <c r="F284" s="4"/>
      <c r="G284" s="4"/>
      <c r="H284" s="4"/>
      <c r="I284" s="4"/>
    </row>
    <row r="285" spans="1:9" ht="15.9" x14ac:dyDescent="0.4">
      <c r="A285" s="4"/>
      <c r="B285" s="4"/>
      <c r="C285" s="4"/>
      <c r="D285" s="4"/>
      <c r="E285" s="4"/>
      <c r="F285" s="4"/>
      <c r="G285" s="4"/>
      <c r="H285" s="4"/>
      <c r="I285" s="4"/>
    </row>
    <row r="286" spans="1:9" ht="15.9" x14ac:dyDescent="0.4">
      <c r="A286" s="4"/>
      <c r="B286" s="4"/>
      <c r="C286" s="4"/>
      <c r="D286" s="4"/>
      <c r="E286" s="4"/>
      <c r="F286" s="4"/>
      <c r="G286" s="4"/>
      <c r="H286" s="4"/>
      <c r="I286" s="4"/>
    </row>
    <row r="287" spans="1:9" ht="15.9" x14ac:dyDescent="0.4">
      <c r="A287" s="4"/>
      <c r="B287" s="4"/>
      <c r="C287" s="4"/>
      <c r="D287" s="4"/>
      <c r="E287" s="4"/>
      <c r="F287" s="4"/>
      <c r="G287" s="4"/>
      <c r="H287" s="4"/>
      <c r="I287" s="4"/>
    </row>
    <row r="288" spans="1:9" ht="15.9" x14ac:dyDescent="0.4">
      <c r="A288" s="4"/>
      <c r="B288" s="4"/>
      <c r="C288" s="4"/>
      <c r="D288" s="4"/>
      <c r="E288" s="4"/>
      <c r="F288" s="4"/>
      <c r="G288" s="4"/>
      <c r="H288" s="4"/>
      <c r="I288" s="4"/>
    </row>
    <row r="289" spans="1:9" ht="15.9" x14ac:dyDescent="0.4">
      <c r="A289" s="4"/>
      <c r="B289" s="4"/>
      <c r="C289" s="4"/>
      <c r="D289" s="4"/>
      <c r="E289" s="4"/>
      <c r="F289" s="4"/>
      <c r="G289" s="4"/>
      <c r="H289" s="4"/>
      <c r="I289" s="4"/>
    </row>
    <row r="290" spans="1:9" ht="15.9" x14ac:dyDescent="0.4">
      <c r="A290" s="4"/>
      <c r="B290" s="4"/>
      <c r="C290" s="4"/>
      <c r="D290" s="4"/>
      <c r="E290" s="4"/>
      <c r="F290" s="4"/>
      <c r="G290" s="4"/>
      <c r="H290" s="4"/>
      <c r="I290" s="4"/>
    </row>
    <row r="291" spans="1:9" ht="15.9" x14ac:dyDescent="0.4">
      <c r="A291" s="4"/>
      <c r="B291" s="4"/>
      <c r="C291" s="4"/>
      <c r="D291" s="4"/>
      <c r="E291" s="4"/>
      <c r="F291" s="4"/>
      <c r="G291" s="4"/>
      <c r="H291" s="4"/>
      <c r="I291" s="4"/>
    </row>
    <row r="292" spans="1:9" ht="15.9" x14ac:dyDescent="0.4">
      <c r="A292" s="4"/>
      <c r="B292" s="4"/>
      <c r="C292" s="4"/>
      <c r="D292" s="4"/>
      <c r="E292" s="4"/>
      <c r="F292" s="4"/>
      <c r="G292" s="4"/>
      <c r="H292" s="4"/>
      <c r="I292" s="4"/>
    </row>
    <row r="293" spans="1:9" ht="15.9" x14ac:dyDescent="0.4">
      <c r="A293" s="4"/>
      <c r="B293" s="4"/>
      <c r="C293" s="4"/>
      <c r="D293" s="4"/>
      <c r="E293" s="4"/>
      <c r="F293" s="4"/>
      <c r="G293" s="4"/>
      <c r="H293" s="4"/>
      <c r="I293" s="4"/>
    </row>
    <row r="294" spans="1:9" ht="15.9" x14ac:dyDescent="0.4">
      <c r="A294" s="4"/>
      <c r="B294" s="4"/>
      <c r="C294" s="4"/>
      <c r="D294" s="4"/>
      <c r="E294" s="4"/>
      <c r="F294" s="4"/>
      <c r="G294" s="4"/>
      <c r="H294" s="4"/>
      <c r="I294" s="4"/>
    </row>
    <row r="295" spans="1:9" ht="15.9" x14ac:dyDescent="0.4">
      <c r="A295" s="4"/>
      <c r="B295" s="4"/>
      <c r="C295" s="4"/>
      <c r="D295" s="4"/>
      <c r="E295" s="4"/>
      <c r="F295" s="4"/>
      <c r="G295" s="4"/>
      <c r="H295" s="4"/>
      <c r="I295" s="4"/>
    </row>
    <row r="296" spans="1:9" ht="15.9" x14ac:dyDescent="0.4">
      <c r="A296" s="4"/>
      <c r="B296" s="4"/>
      <c r="C296" s="4"/>
      <c r="D296" s="4"/>
      <c r="E296" s="4"/>
      <c r="F296" s="4"/>
      <c r="G296" s="4"/>
      <c r="H296" s="4"/>
      <c r="I296" s="4"/>
    </row>
    <row r="297" spans="1:9" ht="15.9" x14ac:dyDescent="0.4">
      <c r="A297" s="4"/>
      <c r="B297" s="4"/>
      <c r="C297" s="4"/>
      <c r="D297" s="4"/>
      <c r="E297" s="4"/>
      <c r="F297" s="4"/>
      <c r="G297" s="4"/>
      <c r="H297" s="4"/>
      <c r="I297" s="4"/>
    </row>
    <row r="298" spans="1:9" ht="15.9" x14ac:dyDescent="0.4">
      <c r="A298" s="4"/>
      <c r="B298" s="4"/>
      <c r="C298" s="4"/>
      <c r="D298" s="4"/>
      <c r="E298" s="4"/>
      <c r="F298" s="4"/>
      <c r="G298" s="4"/>
      <c r="H298" s="4"/>
      <c r="I298" s="4"/>
    </row>
    <row r="299" spans="1:9" ht="15.9" x14ac:dyDescent="0.4">
      <c r="A299" s="4"/>
      <c r="B299" s="4"/>
      <c r="C299" s="4"/>
      <c r="D299" s="4"/>
      <c r="E299" s="4"/>
      <c r="F299" s="4"/>
      <c r="G299" s="4"/>
      <c r="H299" s="4"/>
      <c r="I299" s="4"/>
    </row>
    <row r="300" spans="1:9" ht="15.9" x14ac:dyDescent="0.4">
      <c r="A300" s="4"/>
      <c r="B300" s="4"/>
      <c r="C300" s="4"/>
      <c r="D300" s="4"/>
      <c r="E300" s="4"/>
      <c r="F300" s="4"/>
      <c r="G300" s="4"/>
      <c r="H300" s="4"/>
      <c r="I300" s="4"/>
    </row>
    <row r="301" spans="1:9" ht="15.9" x14ac:dyDescent="0.4">
      <c r="A301" s="4"/>
      <c r="B301" s="4"/>
      <c r="C301" s="4"/>
      <c r="D301" s="4"/>
      <c r="E301" s="4"/>
      <c r="F301" s="4"/>
      <c r="G301" s="4"/>
      <c r="H301" s="4"/>
      <c r="I301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CB39-D952-4291-AB7D-BAFC968260E6}">
  <dimension ref="A1:I301"/>
  <sheetViews>
    <sheetView tabSelected="1" topLeftCell="A142" workbookViewId="0">
      <selection activeCell="A156" sqref="A156:A157"/>
    </sheetView>
  </sheetViews>
  <sheetFormatPr defaultRowHeight="14.6" x14ac:dyDescent="0.4"/>
  <cols>
    <col min="1" max="1" width="16.53515625" customWidth="1"/>
    <col min="2" max="2" width="46" customWidth="1"/>
    <col min="3" max="3" width="39.3828125" bestFit="1" customWidth="1"/>
    <col min="4" max="4" width="14" customWidth="1"/>
    <col min="5" max="5" width="17.15234375" customWidth="1"/>
    <col min="6" max="6" width="26" customWidth="1"/>
    <col min="7" max="7" width="31.53515625" customWidth="1"/>
    <col min="8" max="8" width="13.53515625" customWidth="1"/>
    <col min="9" max="9" width="37.3828125" customWidth="1"/>
  </cols>
  <sheetData>
    <row r="1" spans="1:9" s="2" customFormat="1" ht="18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9" x14ac:dyDescent="0.4">
      <c r="A2" s="3">
        <v>45993</v>
      </c>
      <c r="B2" s="4" t="s">
        <v>191</v>
      </c>
      <c r="C2" s="4" t="s">
        <v>2125</v>
      </c>
      <c r="D2" s="12">
        <v>25230</v>
      </c>
      <c r="E2" s="4">
        <v>29</v>
      </c>
      <c r="F2" s="4" t="s">
        <v>15</v>
      </c>
      <c r="G2" s="4" t="s">
        <v>832</v>
      </c>
      <c r="H2" s="5">
        <v>2000</v>
      </c>
      <c r="I2" s="4"/>
    </row>
    <row r="3" spans="1:9" ht="15.9" x14ac:dyDescent="0.4">
      <c r="A3" s="3">
        <v>45993</v>
      </c>
      <c r="B3" s="4" t="s">
        <v>2126</v>
      </c>
      <c r="C3" s="4" t="s">
        <v>2127</v>
      </c>
      <c r="D3" s="12">
        <v>35280</v>
      </c>
      <c r="E3" s="4">
        <v>48</v>
      </c>
      <c r="F3" s="4" t="s">
        <v>15</v>
      </c>
      <c r="G3" s="4" t="s">
        <v>25</v>
      </c>
      <c r="H3" s="5">
        <v>3400</v>
      </c>
      <c r="I3" s="4"/>
    </row>
    <row r="4" spans="1:9" ht="15.9" x14ac:dyDescent="0.4">
      <c r="A4" s="3">
        <v>45993</v>
      </c>
      <c r="B4" s="4" t="s">
        <v>2157</v>
      </c>
      <c r="C4" s="4" t="s">
        <v>2128</v>
      </c>
      <c r="D4" s="12">
        <v>40480</v>
      </c>
      <c r="E4" s="4">
        <v>44</v>
      </c>
      <c r="F4" s="4" t="s">
        <v>11</v>
      </c>
      <c r="G4" s="4" t="s">
        <v>2129</v>
      </c>
      <c r="H4" s="5">
        <v>3200</v>
      </c>
      <c r="I4" s="4"/>
    </row>
    <row r="5" spans="1:9" ht="15.9" x14ac:dyDescent="0.4">
      <c r="A5" s="3">
        <v>45993</v>
      </c>
      <c r="B5" s="4" t="s">
        <v>2130</v>
      </c>
      <c r="C5" s="4" t="s">
        <v>2088</v>
      </c>
      <c r="D5" s="12">
        <v>42320</v>
      </c>
      <c r="E5" s="4">
        <v>46</v>
      </c>
      <c r="F5" s="4" t="s">
        <v>15</v>
      </c>
      <c r="G5" s="4" t="s">
        <v>25</v>
      </c>
      <c r="H5" s="5">
        <v>2550</v>
      </c>
      <c r="I5" s="4"/>
    </row>
    <row r="6" spans="1:9" ht="15.9" x14ac:dyDescent="0.4">
      <c r="A6" s="3">
        <v>45993</v>
      </c>
      <c r="B6" s="4" t="s">
        <v>2131</v>
      </c>
      <c r="C6" s="4" t="s">
        <v>2132</v>
      </c>
      <c r="D6" s="12">
        <v>38280</v>
      </c>
      <c r="E6" s="4">
        <v>44</v>
      </c>
      <c r="F6" s="4" t="s">
        <v>2133</v>
      </c>
      <c r="G6" s="4" t="s">
        <v>25</v>
      </c>
      <c r="H6" s="5">
        <v>1555.56</v>
      </c>
      <c r="I6" s="4"/>
    </row>
    <row r="7" spans="1:9" ht="15.9" x14ac:dyDescent="0.4">
      <c r="A7" s="3">
        <v>45993</v>
      </c>
      <c r="B7" s="4" t="s">
        <v>2130</v>
      </c>
      <c r="C7" s="4" t="s">
        <v>2134</v>
      </c>
      <c r="D7" s="12">
        <v>36750</v>
      </c>
      <c r="E7" s="4">
        <v>50</v>
      </c>
      <c r="F7" s="4" t="s">
        <v>15</v>
      </c>
      <c r="G7" s="4" t="s">
        <v>25</v>
      </c>
      <c r="H7" s="5">
        <v>2550</v>
      </c>
      <c r="I7" s="4"/>
    </row>
    <row r="8" spans="1:9" ht="15.9" x14ac:dyDescent="0.4">
      <c r="A8" s="3">
        <v>45993</v>
      </c>
      <c r="B8" s="4" t="s">
        <v>2135</v>
      </c>
      <c r="C8" s="4" t="s">
        <v>2136</v>
      </c>
      <c r="D8" s="12">
        <v>28665</v>
      </c>
      <c r="E8" s="4">
        <v>39</v>
      </c>
      <c r="F8" s="4" t="s">
        <v>15</v>
      </c>
      <c r="G8" s="4" t="s">
        <v>25</v>
      </c>
      <c r="H8" s="5">
        <v>4900</v>
      </c>
      <c r="I8" s="4"/>
    </row>
    <row r="9" spans="1:9" ht="15.9" x14ac:dyDescent="0.4">
      <c r="A9" s="3">
        <v>45993</v>
      </c>
      <c r="B9" s="4" t="s">
        <v>2137</v>
      </c>
      <c r="C9" s="4" t="s">
        <v>2138</v>
      </c>
      <c r="D9" s="12">
        <v>28074</v>
      </c>
      <c r="E9" s="4">
        <v>35</v>
      </c>
      <c r="F9" s="4" t="s">
        <v>11</v>
      </c>
      <c r="G9" s="4" t="s">
        <v>2129</v>
      </c>
      <c r="H9" s="5">
        <v>2400</v>
      </c>
      <c r="I9" s="4"/>
    </row>
    <row r="10" spans="1:9" ht="15.9" x14ac:dyDescent="0.4">
      <c r="A10" s="3">
        <v>45993</v>
      </c>
      <c r="B10" s="4" t="s">
        <v>2126</v>
      </c>
      <c r="C10" s="4" t="s">
        <v>2127</v>
      </c>
      <c r="D10" s="12">
        <v>18375</v>
      </c>
      <c r="E10" s="4">
        <v>25</v>
      </c>
      <c r="F10" s="4" t="s">
        <v>15</v>
      </c>
      <c r="G10" s="4" t="s">
        <v>25</v>
      </c>
      <c r="H10" s="5">
        <v>3400</v>
      </c>
      <c r="I10" s="4"/>
    </row>
    <row r="11" spans="1:9" ht="15.9" x14ac:dyDescent="0.4">
      <c r="A11" s="3">
        <v>45993</v>
      </c>
      <c r="B11" s="4" t="s">
        <v>2139</v>
      </c>
      <c r="C11" s="4" t="s">
        <v>2120</v>
      </c>
      <c r="D11" s="12">
        <v>5220</v>
      </c>
      <c r="E11" s="4">
        <v>6</v>
      </c>
      <c r="F11" s="4" t="s">
        <v>35</v>
      </c>
      <c r="G11" s="4" t="s">
        <v>2140</v>
      </c>
      <c r="H11" s="5">
        <v>431.18</v>
      </c>
      <c r="I11" s="4"/>
    </row>
    <row r="12" spans="1:9" ht="15.9" x14ac:dyDescent="0.4">
      <c r="A12" s="3">
        <v>45993</v>
      </c>
      <c r="B12" s="4" t="s">
        <v>2130</v>
      </c>
      <c r="C12" s="4" t="s">
        <v>2134</v>
      </c>
      <c r="D12" s="12">
        <v>36750</v>
      </c>
      <c r="E12" s="4">
        <v>50</v>
      </c>
      <c r="F12" s="4" t="s">
        <v>15</v>
      </c>
      <c r="G12" s="4" t="s">
        <v>25</v>
      </c>
      <c r="H12" s="5">
        <v>2550</v>
      </c>
      <c r="I12" s="6"/>
    </row>
    <row r="13" spans="1:9" ht="15.9" x14ac:dyDescent="0.4">
      <c r="A13" s="3">
        <v>45994</v>
      </c>
      <c r="B13" s="4" t="s">
        <v>2137</v>
      </c>
      <c r="C13" s="4" t="s">
        <v>2141</v>
      </c>
      <c r="D13" s="12">
        <v>41760</v>
      </c>
      <c r="E13" s="4">
        <v>48</v>
      </c>
      <c r="F13" s="4" t="s">
        <v>11</v>
      </c>
      <c r="G13" s="4" t="s">
        <v>2129</v>
      </c>
      <c r="H13" s="5">
        <v>2400</v>
      </c>
      <c r="I13" s="4"/>
    </row>
    <row r="14" spans="1:9" ht="15.9" x14ac:dyDescent="0.4">
      <c r="A14" s="3">
        <v>45994</v>
      </c>
      <c r="B14" s="4" t="s">
        <v>2157</v>
      </c>
      <c r="C14" s="4" t="s">
        <v>2128</v>
      </c>
      <c r="D14" s="12">
        <v>40920</v>
      </c>
      <c r="E14" s="4">
        <v>45</v>
      </c>
      <c r="F14" s="4" t="s">
        <v>11</v>
      </c>
      <c r="G14" s="4" t="s">
        <v>2129</v>
      </c>
      <c r="H14" s="5">
        <v>3200</v>
      </c>
      <c r="I14" s="4"/>
    </row>
    <row r="15" spans="1:9" ht="15.9" x14ac:dyDescent="0.4">
      <c r="A15" s="3">
        <v>45994</v>
      </c>
      <c r="B15" s="4" t="s">
        <v>2142</v>
      </c>
      <c r="C15" s="4" t="s">
        <v>2143</v>
      </c>
      <c r="D15" s="12">
        <v>35280</v>
      </c>
      <c r="E15" s="4">
        <v>48</v>
      </c>
      <c r="F15" s="4" t="s">
        <v>11</v>
      </c>
      <c r="G15" s="4" t="s">
        <v>2129</v>
      </c>
      <c r="H15" s="5">
        <v>4250</v>
      </c>
      <c r="I15" s="4"/>
    </row>
    <row r="16" spans="1:9" ht="15.9" x14ac:dyDescent="0.4">
      <c r="A16" s="3">
        <v>45994</v>
      </c>
      <c r="B16" s="4" t="s">
        <v>2144</v>
      </c>
      <c r="C16" s="4" t="s">
        <v>2145</v>
      </c>
      <c r="D16" s="12">
        <v>33225</v>
      </c>
      <c r="E16" s="4">
        <v>36</v>
      </c>
      <c r="F16" s="4" t="s">
        <v>15</v>
      </c>
      <c r="G16" s="4" t="s">
        <v>25</v>
      </c>
      <c r="H16" s="5">
        <v>2900</v>
      </c>
      <c r="I16" s="4"/>
    </row>
    <row r="17" spans="1:9" ht="15.9" x14ac:dyDescent="0.4">
      <c r="A17" s="3">
        <v>45994</v>
      </c>
      <c r="B17" s="4" t="s">
        <v>2146</v>
      </c>
      <c r="C17" s="4" t="s">
        <v>2147</v>
      </c>
      <c r="D17" s="12">
        <v>9240</v>
      </c>
      <c r="E17" s="4">
        <v>10</v>
      </c>
      <c r="F17" s="4" t="s">
        <v>35</v>
      </c>
      <c r="G17" s="4" t="s">
        <v>832</v>
      </c>
      <c r="H17" s="5">
        <v>359.51</v>
      </c>
      <c r="I17" s="4"/>
    </row>
    <row r="18" spans="1:9" ht="15.9" x14ac:dyDescent="0.4">
      <c r="A18" s="3">
        <v>45994</v>
      </c>
      <c r="B18" s="4" t="s">
        <v>2148</v>
      </c>
      <c r="C18" s="4" t="s">
        <v>2149</v>
      </c>
      <c r="D18" s="12">
        <v>12357</v>
      </c>
      <c r="E18" s="4">
        <v>15</v>
      </c>
      <c r="F18" s="4" t="s">
        <v>15</v>
      </c>
      <c r="G18" s="4" t="s">
        <v>25</v>
      </c>
      <c r="H18" s="5">
        <v>1950</v>
      </c>
      <c r="I18" s="4"/>
    </row>
    <row r="19" spans="1:9" ht="15.9" x14ac:dyDescent="0.4">
      <c r="A19" s="3">
        <v>45994</v>
      </c>
      <c r="B19" s="4" t="s">
        <v>2150</v>
      </c>
      <c r="C19" s="4" t="s">
        <v>2151</v>
      </c>
      <c r="D19" s="12">
        <v>8085</v>
      </c>
      <c r="E19" s="4">
        <v>11</v>
      </c>
      <c r="F19" s="4" t="s">
        <v>15</v>
      </c>
      <c r="G19" s="4" t="s">
        <v>832</v>
      </c>
      <c r="H19" s="5">
        <v>1781.33</v>
      </c>
      <c r="I19" s="4"/>
    </row>
    <row r="20" spans="1:9" ht="15.9" x14ac:dyDescent="0.4">
      <c r="A20" s="3">
        <v>45995</v>
      </c>
      <c r="B20" s="4" t="s">
        <v>2152</v>
      </c>
      <c r="C20" s="4" t="s">
        <v>2153</v>
      </c>
      <c r="D20" s="12">
        <v>24700</v>
      </c>
      <c r="E20" s="4">
        <v>26</v>
      </c>
      <c r="F20" s="4" t="s">
        <v>15</v>
      </c>
      <c r="G20" s="4" t="s">
        <v>25</v>
      </c>
      <c r="H20" s="5">
        <v>3800</v>
      </c>
      <c r="I20" s="4"/>
    </row>
    <row r="21" spans="1:9" ht="15.9" x14ac:dyDescent="0.4">
      <c r="A21" s="3">
        <v>45995</v>
      </c>
      <c r="B21" s="4" t="s">
        <v>2157</v>
      </c>
      <c r="C21" s="4" t="s">
        <v>2154</v>
      </c>
      <c r="D21" s="12">
        <v>40480</v>
      </c>
      <c r="E21" s="4">
        <v>44</v>
      </c>
      <c r="F21" s="4" t="s">
        <v>11</v>
      </c>
      <c r="G21" s="4" t="s">
        <v>2129</v>
      </c>
      <c r="H21" s="5">
        <v>3200</v>
      </c>
      <c r="I21" s="4"/>
    </row>
    <row r="22" spans="1:9" ht="15.9" x14ac:dyDescent="0.4">
      <c r="A22" s="3">
        <v>45995</v>
      </c>
      <c r="B22" s="4" t="s">
        <v>2155</v>
      </c>
      <c r="C22" s="4" t="s">
        <v>2156</v>
      </c>
      <c r="D22" s="4">
        <v>870</v>
      </c>
      <c r="E22" s="4">
        <v>1</v>
      </c>
      <c r="F22" s="4" t="s">
        <v>1378</v>
      </c>
      <c r="G22" s="4" t="s">
        <v>2129</v>
      </c>
      <c r="H22" s="5">
        <v>535</v>
      </c>
      <c r="I22" s="4"/>
    </row>
    <row r="23" spans="1:9" ht="15.9" x14ac:dyDescent="0.4">
      <c r="A23" s="3">
        <v>45995</v>
      </c>
      <c r="B23" s="4" t="s">
        <v>2158</v>
      </c>
      <c r="C23" s="4" t="s">
        <v>2159</v>
      </c>
      <c r="D23" s="12">
        <v>5280</v>
      </c>
      <c r="E23" s="4">
        <v>6</v>
      </c>
      <c r="F23" s="4" t="s">
        <v>11</v>
      </c>
      <c r="G23" s="4" t="s">
        <v>2160</v>
      </c>
      <c r="H23" s="5"/>
      <c r="I23" s="4"/>
    </row>
    <row r="24" spans="1:9" ht="15.9" x14ac:dyDescent="0.4">
      <c r="A24" s="3">
        <v>45995</v>
      </c>
      <c r="B24" s="4" t="s">
        <v>2142</v>
      </c>
      <c r="C24" s="4" t="s">
        <v>2143</v>
      </c>
      <c r="D24" s="12">
        <v>18375</v>
      </c>
      <c r="E24" s="4">
        <v>25</v>
      </c>
      <c r="F24" s="4" t="s">
        <v>11</v>
      </c>
      <c r="G24" s="4" t="s">
        <v>2129</v>
      </c>
      <c r="H24" s="5">
        <v>4250</v>
      </c>
      <c r="I24" s="4"/>
    </row>
    <row r="25" spans="1:9" ht="15.9" x14ac:dyDescent="0.4">
      <c r="A25" s="3">
        <v>45995</v>
      </c>
      <c r="B25" s="4" t="s">
        <v>2161</v>
      </c>
      <c r="C25" s="6" t="s">
        <v>2162</v>
      </c>
      <c r="D25" s="12">
        <v>10450</v>
      </c>
      <c r="E25" s="4">
        <v>11</v>
      </c>
      <c r="F25" s="4" t="s">
        <v>35</v>
      </c>
      <c r="G25" s="4" t="s">
        <v>832</v>
      </c>
      <c r="H25" s="5">
        <v>629.96</v>
      </c>
      <c r="I25" s="4"/>
    </row>
    <row r="26" spans="1:9" ht="15.9" x14ac:dyDescent="0.4">
      <c r="A26" s="3">
        <v>45995</v>
      </c>
      <c r="B26" s="4" t="s">
        <v>2163</v>
      </c>
      <c r="C26" s="4" t="s">
        <v>2164</v>
      </c>
      <c r="D26" s="12">
        <v>6090</v>
      </c>
      <c r="E26" s="4">
        <v>7</v>
      </c>
      <c r="F26" s="4" t="s">
        <v>35</v>
      </c>
      <c r="G26" s="4" t="s">
        <v>2160</v>
      </c>
      <c r="H26" s="5"/>
      <c r="I26" s="4"/>
    </row>
    <row r="27" spans="1:9" ht="15.9" x14ac:dyDescent="0.4">
      <c r="A27" s="3">
        <v>45995</v>
      </c>
      <c r="B27" s="4" t="s">
        <v>2165</v>
      </c>
      <c r="C27" s="4" t="s">
        <v>2166</v>
      </c>
      <c r="D27" s="12">
        <v>20790</v>
      </c>
      <c r="E27" s="4">
        <v>21</v>
      </c>
      <c r="F27" s="4" t="s">
        <v>11</v>
      </c>
      <c r="G27" s="4" t="s">
        <v>2160</v>
      </c>
      <c r="H27" s="5"/>
      <c r="I27" s="4"/>
    </row>
    <row r="28" spans="1:9" ht="15.9" x14ac:dyDescent="0.4">
      <c r="A28" s="3">
        <v>45995</v>
      </c>
      <c r="B28" s="4" t="s">
        <v>2167</v>
      </c>
      <c r="C28" s="4" t="s">
        <v>2168</v>
      </c>
      <c r="D28" s="4">
        <v>849</v>
      </c>
      <c r="E28" s="4">
        <v>1</v>
      </c>
      <c r="F28" s="4" t="s">
        <v>35</v>
      </c>
      <c r="G28" s="4" t="s">
        <v>2160</v>
      </c>
      <c r="H28" s="5"/>
      <c r="I28" s="4"/>
    </row>
    <row r="29" spans="1:9" ht="15.9" x14ac:dyDescent="0.4">
      <c r="A29" s="3">
        <v>45996</v>
      </c>
      <c r="B29" s="4" t="s">
        <v>2169</v>
      </c>
      <c r="C29" s="4" t="s">
        <v>2170</v>
      </c>
      <c r="D29" s="12">
        <v>9680</v>
      </c>
      <c r="E29" s="4">
        <v>11</v>
      </c>
      <c r="F29" s="4" t="s">
        <v>11</v>
      </c>
      <c r="G29" s="4" t="s">
        <v>2160</v>
      </c>
      <c r="H29" s="5"/>
      <c r="I29" s="4"/>
    </row>
    <row r="30" spans="1:9" ht="15.9" x14ac:dyDescent="0.4">
      <c r="A30" s="3">
        <v>45996</v>
      </c>
      <c r="B30" s="4" t="s">
        <v>2171</v>
      </c>
      <c r="C30" s="4" t="s">
        <v>2172</v>
      </c>
      <c r="D30" s="12">
        <v>7920</v>
      </c>
      <c r="E30" s="4">
        <v>9</v>
      </c>
      <c r="F30" s="4" t="s">
        <v>11</v>
      </c>
      <c r="G30" s="4" t="s">
        <v>2160</v>
      </c>
      <c r="H30" s="5"/>
      <c r="I30" s="4"/>
    </row>
    <row r="31" spans="1:9" ht="15.9" x14ac:dyDescent="0.4">
      <c r="A31" s="3">
        <v>45996</v>
      </c>
      <c r="B31" s="4" t="s">
        <v>2173</v>
      </c>
      <c r="C31" s="4" t="s">
        <v>2174</v>
      </c>
      <c r="D31" s="12">
        <v>41760</v>
      </c>
      <c r="E31" s="4">
        <v>48</v>
      </c>
      <c r="F31" s="4" t="s">
        <v>11</v>
      </c>
      <c r="G31" s="4" t="s">
        <v>25</v>
      </c>
      <c r="H31" s="5">
        <v>3850</v>
      </c>
      <c r="I31" s="4"/>
    </row>
    <row r="32" spans="1:9" ht="15.9" x14ac:dyDescent="0.4">
      <c r="A32" s="3">
        <v>45999</v>
      </c>
      <c r="B32" s="4" t="s">
        <v>2175</v>
      </c>
      <c r="C32" s="4" t="s">
        <v>2176</v>
      </c>
      <c r="D32" s="12">
        <v>43560</v>
      </c>
      <c r="E32" s="4">
        <v>44</v>
      </c>
      <c r="F32" s="4" t="s">
        <v>15</v>
      </c>
      <c r="G32" s="4" t="s">
        <v>25</v>
      </c>
      <c r="H32" s="5">
        <v>3600</v>
      </c>
      <c r="I32" s="4"/>
    </row>
    <row r="33" spans="1:9" ht="15.9" x14ac:dyDescent="0.4">
      <c r="A33" s="3">
        <v>45999</v>
      </c>
      <c r="B33" s="4" t="s">
        <v>2177</v>
      </c>
      <c r="C33" s="4" t="s">
        <v>2178</v>
      </c>
      <c r="D33" s="12">
        <v>18084</v>
      </c>
      <c r="E33" s="4">
        <v>22</v>
      </c>
      <c r="F33" s="4" t="s">
        <v>15</v>
      </c>
      <c r="G33" s="4" t="s">
        <v>2129</v>
      </c>
      <c r="H33" s="5">
        <v>2100</v>
      </c>
      <c r="I33" s="4"/>
    </row>
    <row r="34" spans="1:9" ht="15.9" x14ac:dyDescent="0.4">
      <c r="A34" s="3">
        <v>45999</v>
      </c>
      <c r="B34" s="4" t="s">
        <v>2179</v>
      </c>
      <c r="C34" s="4" t="s">
        <v>2180</v>
      </c>
      <c r="D34" s="12">
        <v>34800</v>
      </c>
      <c r="E34" s="4">
        <v>40</v>
      </c>
      <c r="F34" s="4" t="s">
        <v>15</v>
      </c>
      <c r="G34" s="4" t="s">
        <v>832</v>
      </c>
      <c r="H34" s="5">
        <v>1600</v>
      </c>
      <c r="I34" s="4"/>
    </row>
    <row r="35" spans="1:9" ht="15.9" x14ac:dyDescent="0.4">
      <c r="A35" s="3">
        <v>45999</v>
      </c>
      <c r="B35" s="4" t="s">
        <v>2181</v>
      </c>
      <c r="C35" s="4" t="s">
        <v>2182</v>
      </c>
      <c r="D35" s="12">
        <v>33075</v>
      </c>
      <c r="E35" s="4">
        <v>45</v>
      </c>
      <c r="F35" s="4" t="s">
        <v>15</v>
      </c>
      <c r="G35" s="4" t="s">
        <v>2160</v>
      </c>
      <c r="H35" s="5"/>
      <c r="I35" s="4"/>
    </row>
    <row r="36" spans="1:9" ht="15.9" x14ac:dyDescent="0.4">
      <c r="A36" s="3">
        <v>45999</v>
      </c>
      <c r="B36" s="4" t="s">
        <v>2175</v>
      </c>
      <c r="C36" s="4" t="s">
        <v>2176</v>
      </c>
      <c r="D36" s="12">
        <v>43560</v>
      </c>
      <c r="E36" s="4">
        <v>44</v>
      </c>
      <c r="F36" s="4" t="s">
        <v>15</v>
      </c>
      <c r="G36" s="4" t="s">
        <v>25</v>
      </c>
      <c r="H36" s="5">
        <v>3600</v>
      </c>
      <c r="I36" s="4"/>
    </row>
    <row r="37" spans="1:9" ht="15.9" x14ac:dyDescent="0.4">
      <c r="A37" s="3">
        <v>46000</v>
      </c>
      <c r="B37" s="4" t="s">
        <v>2175</v>
      </c>
      <c r="C37" s="4" t="s">
        <v>2183</v>
      </c>
      <c r="D37" s="12">
        <v>43560</v>
      </c>
      <c r="E37" s="4">
        <v>44</v>
      </c>
      <c r="F37" s="4" t="s">
        <v>15</v>
      </c>
      <c r="G37" s="4" t="s">
        <v>25</v>
      </c>
      <c r="H37" s="5">
        <v>3600</v>
      </c>
      <c r="I37" s="4"/>
    </row>
    <row r="38" spans="1:9" ht="15.9" x14ac:dyDescent="0.4">
      <c r="A38" s="3">
        <v>46000</v>
      </c>
      <c r="B38" s="4" t="s">
        <v>2184</v>
      </c>
      <c r="C38" s="4" t="s">
        <v>2098</v>
      </c>
      <c r="D38" s="12">
        <v>40436</v>
      </c>
      <c r="E38" s="4">
        <v>44</v>
      </c>
      <c r="F38" s="4" t="s">
        <v>11</v>
      </c>
      <c r="G38" s="4" t="s">
        <v>25</v>
      </c>
      <c r="H38" s="5">
        <v>5600</v>
      </c>
      <c r="I38" s="4"/>
    </row>
    <row r="39" spans="1:9" ht="15.9" x14ac:dyDescent="0.4">
      <c r="A39" s="3">
        <v>46000</v>
      </c>
      <c r="B39" s="4" t="s">
        <v>2175</v>
      </c>
      <c r="C39" s="4" t="s">
        <v>2176</v>
      </c>
      <c r="D39" s="12">
        <v>43500</v>
      </c>
      <c r="E39" s="4">
        <v>44</v>
      </c>
      <c r="F39" s="4" t="s">
        <v>15</v>
      </c>
      <c r="G39" s="4" t="s">
        <v>25</v>
      </c>
      <c r="H39" s="5">
        <v>3600</v>
      </c>
      <c r="I39" s="4"/>
    </row>
    <row r="40" spans="1:9" ht="15.9" x14ac:dyDescent="0.4">
      <c r="A40" s="3">
        <v>46000</v>
      </c>
      <c r="B40" s="4" t="s">
        <v>2185</v>
      </c>
      <c r="C40" s="4" t="s">
        <v>2186</v>
      </c>
      <c r="D40" s="12">
        <v>23760</v>
      </c>
      <c r="E40" s="4">
        <v>24</v>
      </c>
      <c r="F40" s="4" t="s">
        <v>756</v>
      </c>
      <c r="G40" s="4" t="s">
        <v>25</v>
      </c>
      <c r="H40" s="5">
        <v>3800</v>
      </c>
      <c r="I40" s="4"/>
    </row>
    <row r="41" spans="1:9" ht="15.9" x14ac:dyDescent="0.4">
      <c r="A41" s="3">
        <v>46000</v>
      </c>
      <c r="B41" s="4" t="s">
        <v>2187</v>
      </c>
      <c r="C41" s="4" t="s">
        <v>2188</v>
      </c>
      <c r="D41" s="12">
        <v>1740</v>
      </c>
      <c r="E41" s="4">
        <v>2</v>
      </c>
      <c r="F41" s="4" t="s">
        <v>35</v>
      </c>
      <c r="G41" s="4" t="s">
        <v>2140</v>
      </c>
      <c r="H41" s="5">
        <v>411.17</v>
      </c>
      <c r="I41" s="4"/>
    </row>
    <row r="42" spans="1:9" ht="15.9" x14ac:dyDescent="0.4">
      <c r="A42" s="3">
        <v>46000</v>
      </c>
      <c r="B42" s="4" t="s">
        <v>2179</v>
      </c>
      <c r="C42" s="4" t="s">
        <v>2189</v>
      </c>
      <c r="D42" s="12">
        <v>20010</v>
      </c>
      <c r="E42" s="4">
        <v>23</v>
      </c>
      <c r="F42" s="4" t="s">
        <v>15</v>
      </c>
      <c r="G42" s="4" t="s">
        <v>832</v>
      </c>
      <c r="H42" s="5">
        <v>1600</v>
      </c>
      <c r="I42" s="4"/>
    </row>
    <row r="43" spans="1:9" ht="15.9" x14ac:dyDescent="0.4">
      <c r="A43" s="3">
        <v>46000</v>
      </c>
      <c r="B43" s="4" t="s">
        <v>2190</v>
      </c>
      <c r="C43" s="4" t="s">
        <v>2191</v>
      </c>
      <c r="D43" s="12">
        <v>18920</v>
      </c>
      <c r="E43" s="4">
        <v>22</v>
      </c>
      <c r="F43" s="4" t="s">
        <v>11</v>
      </c>
      <c r="G43" s="4" t="s">
        <v>2129</v>
      </c>
      <c r="H43" s="5">
        <v>1750</v>
      </c>
      <c r="I43" s="4"/>
    </row>
    <row r="44" spans="1:9" ht="15.9" x14ac:dyDescent="0.4">
      <c r="A44" s="3">
        <v>46000</v>
      </c>
      <c r="B44" s="4" t="s">
        <v>2175</v>
      </c>
      <c r="C44" s="4" t="s">
        <v>2176</v>
      </c>
      <c r="D44" s="12">
        <v>43560</v>
      </c>
      <c r="E44" s="4">
        <v>44</v>
      </c>
      <c r="F44" s="4" t="s">
        <v>15</v>
      </c>
      <c r="G44" s="4" t="s">
        <v>25</v>
      </c>
      <c r="H44" s="5">
        <v>3600</v>
      </c>
      <c r="I44" s="4"/>
    </row>
    <row r="45" spans="1:9" ht="15.9" x14ac:dyDescent="0.4">
      <c r="A45" s="3">
        <v>46000</v>
      </c>
      <c r="B45" s="4" t="s">
        <v>2192</v>
      </c>
      <c r="C45" s="4" t="s">
        <v>1956</v>
      </c>
      <c r="D45" s="12">
        <v>2400</v>
      </c>
      <c r="E45" s="4">
        <v>2</v>
      </c>
      <c r="F45" s="4" t="s">
        <v>35</v>
      </c>
      <c r="G45" s="4" t="s">
        <v>2140</v>
      </c>
      <c r="H45" s="5">
        <v>375.18</v>
      </c>
      <c r="I45" s="4"/>
    </row>
    <row r="46" spans="1:9" ht="15.9" x14ac:dyDescent="0.4">
      <c r="A46" s="3">
        <v>46000</v>
      </c>
      <c r="B46" s="4" t="s">
        <v>2148</v>
      </c>
      <c r="C46" s="4" t="s">
        <v>2193</v>
      </c>
      <c r="D46" s="12">
        <v>3215</v>
      </c>
      <c r="E46" s="4">
        <v>5</v>
      </c>
      <c r="F46" s="4" t="s">
        <v>35</v>
      </c>
      <c r="G46" s="4" t="s">
        <v>2140</v>
      </c>
      <c r="H46" s="5">
        <v>411.77</v>
      </c>
      <c r="I46" s="4"/>
    </row>
    <row r="47" spans="1:9" ht="15.9" x14ac:dyDescent="0.4">
      <c r="A47" s="3">
        <v>46000</v>
      </c>
      <c r="B47" s="4" t="s">
        <v>2137</v>
      </c>
      <c r="C47" s="4" t="s">
        <v>2194</v>
      </c>
      <c r="D47" s="12">
        <v>43500</v>
      </c>
      <c r="E47" s="4">
        <v>50</v>
      </c>
      <c r="F47" s="4" t="s">
        <v>11</v>
      </c>
      <c r="G47" s="4" t="s">
        <v>2129</v>
      </c>
      <c r="H47" s="5">
        <v>2400</v>
      </c>
      <c r="I47" s="4"/>
    </row>
    <row r="48" spans="1:9" ht="15.9" x14ac:dyDescent="0.4">
      <c r="A48" s="3">
        <v>46000</v>
      </c>
      <c r="B48" s="4" t="s">
        <v>2190</v>
      </c>
      <c r="C48" s="4" t="s">
        <v>2191</v>
      </c>
      <c r="D48" s="12">
        <v>18920</v>
      </c>
      <c r="E48" s="4">
        <v>22</v>
      </c>
      <c r="F48" s="4" t="s">
        <v>11</v>
      </c>
      <c r="G48" s="4" t="s">
        <v>2129</v>
      </c>
      <c r="H48" s="5">
        <v>1750</v>
      </c>
      <c r="I48" s="4"/>
    </row>
    <row r="49" spans="1:9" ht="15.9" x14ac:dyDescent="0.4">
      <c r="A49" s="3">
        <v>46000</v>
      </c>
      <c r="B49" s="4" t="s">
        <v>2190</v>
      </c>
      <c r="C49" s="4" t="s">
        <v>2191</v>
      </c>
      <c r="D49" s="12">
        <v>18920</v>
      </c>
      <c r="E49" s="4">
        <v>22</v>
      </c>
      <c r="F49" s="4" t="s">
        <v>11</v>
      </c>
      <c r="G49" s="4" t="s">
        <v>2129</v>
      </c>
      <c r="H49" s="5">
        <v>1750</v>
      </c>
      <c r="I49" s="4"/>
    </row>
    <row r="50" spans="1:9" ht="15.9" x14ac:dyDescent="0.4">
      <c r="A50" s="3">
        <v>46000</v>
      </c>
      <c r="B50" s="4" t="s">
        <v>2190</v>
      </c>
      <c r="C50" s="4" t="s">
        <v>2191</v>
      </c>
      <c r="D50" s="12">
        <v>18920</v>
      </c>
      <c r="E50" s="4">
        <v>22</v>
      </c>
      <c r="F50" s="4" t="s">
        <v>11</v>
      </c>
      <c r="G50" s="4" t="s">
        <v>2129</v>
      </c>
      <c r="H50" s="5">
        <v>1750</v>
      </c>
      <c r="I50" s="4"/>
    </row>
    <row r="51" spans="1:9" ht="15.9" x14ac:dyDescent="0.4">
      <c r="A51" s="3">
        <v>46000</v>
      </c>
      <c r="B51" s="4" t="s">
        <v>2177</v>
      </c>
      <c r="C51" s="4" t="s">
        <v>2178</v>
      </c>
      <c r="D51" s="12">
        <v>36652</v>
      </c>
      <c r="E51" s="4">
        <v>44</v>
      </c>
      <c r="F51" s="4" t="s">
        <v>15</v>
      </c>
      <c r="G51" s="4" t="s">
        <v>2129</v>
      </c>
      <c r="H51" s="5">
        <v>2100</v>
      </c>
      <c r="I51" s="4"/>
    </row>
    <row r="52" spans="1:9" ht="15.9" x14ac:dyDescent="0.4">
      <c r="A52" s="3">
        <v>46000</v>
      </c>
      <c r="B52" s="4" t="s">
        <v>2195</v>
      </c>
      <c r="C52" s="4" t="s">
        <v>2196</v>
      </c>
      <c r="D52" s="12">
        <v>23750</v>
      </c>
      <c r="E52" s="4">
        <v>25</v>
      </c>
      <c r="F52" s="4" t="s">
        <v>11</v>
      </c>
      <c r="G52" s="4" t="s">
        <v>2129</v>
      </c>
      <c r="H52" s="5">
        <v>5000</v>
      </c>
      <c r="I52" s="4"/>
    </row>
    <row r="53" spans="1:9" ht="15.9" x14ac:dyDescent="0.4">
      <c r="A53" s="3">
        <v>46003</v>
      </c>
      <c r="B53" s="4" t="s">
        <v>2197</v>
      </c>
      <c r="C53" s="4" t="s">
        <v>2199</v>
      </c>
      <c r="D53" s="12">
        <v>23413</v>
      </c>
      <c r="E53" s="4">
        <v>24</v>
      </c>
      <c r="F53" s="4" t="s">
        <v>15</v>
      </c>
      <c r="G53" s="4" t="s">
        <v>2129</v>
      </c>
      <c r="H53" s="5">
        <v>2480</v>
      </c>
      <c r="I53" s="4"/>
    </row>
    <row r="54" spans="1:9" ht="15.9" x14ac:dyDescent="0.4">
      <c r="A54" s="3">
        <v>46003</v>
      </c>
      <c r="B54" s="4" t="s">
        <v>2175</v>
      </c>
      <c r="C54" s="4" t="s">
        <v>2200</v>
      </c>
      <c r="D54" s="12">
        <v>40436</v>
      </c>
      <c r="E54" s="4">
        <v>44</v>
      </c>
      <c r="F54" s="4" t="s">
        <v>15</v>
      </c>
      <c r="G54" s="4" t="s">
        <v>25</v>
      </c>
      <c r="H54" s="5">
        <v>3600</v>
      </c>
      <c r="I54" s="4"/>
    </row>
    <row r="55" spans="1:9" ht="15.9" x14ac:dyDescent="0.4">
      <c r="A55" s="3">
        <v>46003</v>
      </c>
      <c r="B55" s="4" t="s">
        <v>2201</v>
      </c>
      <c r="C55" s="4" t="s">
        <v>2202</v>
      </c>
      <c r="D55" s="12">
        <v>41760</v>
      </c>
      <c r="E55" s="4">
        <v>48</v>
      </c>
      <c r="F55" s="4" t="s">
        <v>15</v>
      </c>
      <c r="G55" s="4" t="s">
        <v>2160</v>
      </c>
      <c r="H55" s="5"/>
      <c r="I55" s="4"/>
    </row>
    <row r="56" spans="1:9" ht="15.9" x14ac:dyDescent="0.4">
      <c r="A56" s="3">
        <v>46003</v>
      </c>
      <c r="B56" s="4" t="s">
        <v>2197</v>
      </c>
      <c r="C56" s="4" t="s">
        <v>2198</v>
      </c>
      <c r="D56" s="4">
        <v>848</v>
      </c>
      <c r="E56" s="4">
        <v>1</v>
      </c>
      <c r="F56" s="4" t="s">
        <v>35</v>
      </c>
      <c r="G56" s="4" t="s">
        <v>2140</v>
      </c>
      <c r="H56" s="5">
        <v>330.43</v>
      </c>
      <c r="I56" s="4"/>
    </row>
    <row r="57" spans="1:9" ht="15.9" x14ac:dyDescent="0.4">
      <c r="A57" s="3">
        <v>46003</v>
      </c>
      <c r="B57" s="4" t="s">
        <v>2190</v>
      </c>
      <c r="C57" s="4" t="s">
        <v>2191</v>
      </c>
      <c r="D57" s="12">
        <v>18920</v>
      </c>
      <c r="E57" s="4">
        <v>22</v>
      </c>
      <c r="F57" s="4" t="s">
        <v>11</v>
      </c>
      <c r="G57" s="4" t="s">
        <v>2129</v>
      </c>
      <c r="H57" s="5">
        <v>1750</v>
      </c>
      <c r="I57" s="4"/>
    </row>
    <row r="58" spans="1:9" ht="15.9" x14ac:dyDescent="0.4">
      <c r="A58" s="3">
        <v>46003</v>
      </c>
      <c r="B58" s="4" t="s">
        <v>2137</v>
      </c>
      <c r="C58" s="4" t="s">
        <v>2203</v>
      </c>
      <c r="D58" s="12">
        <v>44640</v>
      </c>
      <c r="E58" s="4">
        <v>51</v>
      </c>
      <c r="F58" s="4" t="s">
        <v>11</v>
      </c>
      <c r="G58" s="4" t="s">
        <v>2129</v>
      </c>
      <c r="H58" s="5">
        <v>2400</v>
      </c>
      <c r="I58" s="4"/>
    </row>
    <row r="59" spans="1:9" ht="15.9" x14ac:dyDescent="0.4">
      <c r="A59" s="3">
        <v>46003</v>
      </c>
      <c r="B59" s="4" t="s">
        <v>2190</v>
      </c>
      <c r="C59" s="4" t="s">
        <v>2191</v>
      </c>
      <c r="D59" s="12">
        <v>18920</v>
      </c>
      <c r="E59" s="4">
        <v>22</v>
      </c>
      <c r="F59" s="4" t="s">
        <v>11</v>
      </c>
      <c r="G59" s="4" t="s">
        <v>2129</v>
      </c>
      <c r="H59" s="5">
        <v>1750</v>
      </c>
      <c r="I59" s="4"/>
    </row>
    <row r="60" spans="1:9" ht="15.9" x14ac:dyDescent="0.4">
      <c r="A60" s="3">
        <v>46003</v>
      </c>
      <c r="B60" s="4" t="s">
        <v>2190</v>
      </c>
      <c r="C60" s="4" t="s">
        <v>2191</v>
      </c>
      <c r="D60" s="12">
        <v>18920</v>
      </c>
      <c r="E60" s="4">
        <v>22</v>
      </c>
      <c r="F60" s="4" t="s">
        <v>11</v>
      </c>
      <c r="G60" s="4" t="s">
        <v>2129</v>
      </c>
      <c r="H60" s="5">
        <v>1750</v>
      </c>
      <c r="I60" s="4"/>
    </row>
    <row r="61" spans="1:9" ht="15.9" x14ac:dyDescent="0.4">
      <c r="A61" s="3">
        <v>46003</v>
      </c>
      <c r="B61" s="4" t="s">
        <v>2190</v>
      </c>
      <c r="C61" s="4" t="s">
        <v>2191</v>
      </c>
      <c r="D61" s="12">
        <v>18920</v>
      </c>
      <c r="E61" s="4">
        <v>22</v>
      </c>
      <c r="F61" s="4" t="s">
        <v>11</v>
      </c>
      <c r="G61" s="4" t="s">
        <v>2129</v>
      </c>
      <c r="H61" s="5">
        <v>1750</v>
      </c>
      <c r="I61" s="4"/>
    </row>
    <row r="62" spans="1:9" ht="15.9" x14ac:dyDescent="0.4">
      <c r="A62" s="3">
        <v>46003</v>
      </c>
      <c r="B62" s="4" t="s">
        <v>2201</v>
      </c>
      <c r="C62" s="4" t="s">
        <v>2204</v>
      </c>
      <c r="D62" s="12">
        <v>41760</v>
      </c>
      <c r="E62" s="4">
        <v>48</v>
      </c>
      <c r="F62" s="4" t="s">
        <v>15</v>
      </c>
      <c r="G62" s="4" t="s">
        <v>2160</v>
      </c>
      <c r="H62" s="5"/>
      <c r="I62" s="4"/>
    </row>
    <row r="63" spans="1:9" ht="15.9" x14ac:dyDescent="0.4">
      <c r="A63" s="3">
        <v>46006</v>
      </c>
      <c r="B63" s="4" t="s">
        <v>2190</v>
      </c>
      <c r="C63" s="4" t="s">
        <v>2191</v>
      </c>
      <c r="D63" s="12">
        <v>11180</v>
      </c>
      <c r="E63" s="4">
        <v>13</v>
      </c>
      <c r="F63" s="4" t="s">
        <v>11</v>
      </c>
      <c r="G63" s="4" t="s">
        <v>2129</v>
      </c>
      <c r="H63" s="5">
        <v>1750</v>
      </c>
      <c r="I63" s="4"/>
    </row>
    <row r="64" spans="1:9" ht="15.9" x14ac:dyDescent="0.4">
      <c r="A64" s="3">
        <v>46006</v>
      </c>
      <c r="B64" s="4" t="s">
        <v>2205</v>
      </c>
      <c r="C64" s="4" t="s">
        <v>2206</v>
      </c>
      <c r="D64" s="12">
        <v>12180</v>
      </c>
      <c r="E64" s="4">
        <v>14</v>
      </c>
      <c r="F64" s="4" t="s">
        <v>35</v>
      </c>
      <c r="G64" s="4" t="s">
        <v>832</v>
      </c>
      <c r="H64" s="5">
        <v>988.4</v>
      </c>
      <c r="I64" s="4"/>
    </row>
    <row r="65" spans="1:9" ht="15.9" x14ac:dyDescent="0.4">
      <c r="A65" s="3">
        <v>46006</v>
      </c>
      <c r="B65" s="4" t="s">
        <v>2190</v>
      </c>
      <c r="C65" s="4" t="s">
        <v>2191</v>
      </c>
      <c r="D65" s="12">
        <v>18920</v>
      </c>
      <c r="E65" s="4">
        <v>22</v>
      </c>
      <c r="F65" s="4" t="s">
        <v>11</v>
      </c>
      <c r="G65" s="4" t="s">
        <v>2129</v>
      </c>
      <c r="H65" s="5">
        <v>1750</v>
      </c>
      <c r="I65" s="4"/>
    </row>
    <row r="66" spans="1:9" ht="15.9" x14ac:dyDescent="0.4">
      <c r="A66" s="3">
        <v>46006</v>
      </c>
      <c r="B66" s="4" t="s">
        <v>2207</v>
      </c>
      <c r="C66" s="4" t="s">
        <v>2208</v>
      </c>
      <c r="D66" s="12">
        <v>9570</v>
      </c>
      <c r="E66" s="4">
        <v>11</v>
      </c>
      <c r="F66" s="4" t="s">
        <v>15</v>
      </c>
      <c r="G66" s="4" t="s">
        <v>832</v>
      </c>
      <c r="H66" s="5">
        <v>513.33000000000004</v>
      </c>
      <c r="I66" s="4"/>
    </row>
    <row r="67" spans="1:9" ht="15.9" x14ac:dyDescent="0.4">
      <c r="A67" s="3">
        <v>46006</v>
      </c>
      <c r="B67" s="4" t="s">
        <v>2175</v>
      </c>
      <c r="C67" s="4" t="s">
        <v>2176</v>
      </c>
      <c r="D67" s="12">
        <v>10369</v>
      </c>
      <c r="E67" s="4">
        <v>10</v>
      </c>
      <c r="F67" s="4" t="s">
        <v>35</v>
      </c>
      <c r="G67" s="4" t="s">
        <v>832</v>
      </c>
      <c r="H67" s="5">
        <v>1280</v>
      </c>
      <c r="I67" s="4"/>
    </row>
    <row r="68" spans="1:9" ht="15.9" x14ac:dyDescent="0.4">
      <c r="A68" s="3">
        <v>46006</v>
      </c>
      <c r="B68" s="4" t="s">
        <v>2150</v>
      </c>
      <c r="C68" s="4" t="s">
        <v>2209</v>
      </c>
      <c r="D68" s="12">
        <v>17400</v>
      </c>
      <c r="E68" s="4">
        <v>20</v>
      </c>
      <c r="F68" s="4" t="s">
        <v>15</v>
      </c>
      <c r="G68" s="4" t="s">
        <v>25</v>
      </c>
      <c r="H68" s="5">
        <v>4900</v>
      </c>
      <c r="I68" s="4"/>
    </row>
    <row r="69" spans="1:9" ht="15.9" x14ac:dyDescent="0.4">
      <c r="A69" s="3">
        <v>46006</v>
      </c>
      <c r="B69" s="4" t="s">
        <v>2179</v>
      </c>
      <c r="C69" s="4" t="s">
        <v>2210</v>
      </c>
      <c r="D69" s="12">
        <v>34800</v>
      </c>
      <c r="E69" s="4">
        <v>40</v>
      </c>
      <c r="F69" s="4" t="s">
        <v>15</v>
      </c>
      <c r="G69" s="4" t="s">
        <v>832</v>
      </c>
      <c r="H69" s="5">
        <v>1600</v>
      </c>
      <c r="I69" s="4"/>
    </row>
    <row r="70" spans="1:9" ht="15.9" x14ac:dyDescent="0.4">
      <c r="A70" s="3">
        <v>46006</v>
      </c>
      <c r="B70" s="4" t="s">
        <v>2211</v>
      </c>
      <c r="C70" s="4" t="s">
        <v>2212</v>
      </c>
      <c r="D70" s="12">
        <v>13920</v>
      </c>
      <c r="E70" s="4">
        <v>16</v>
      </c>
      <c r="F70" s="4" t="s">
        <v>15</v>
      </c>
      <c r="G70" s="4" t="s">
        <v>832</v>
      </c>
      <c r="H70" s="5">
        <v>1900</v>
      </c>
      <c r="I70" s="4"/>
    </row>
    <row r="71" spans="1:9" ht="15.9" x14ac:dyDescent="0.4">
      <c r="A71" s="3">
        <v>46006</v>
      </c>
      <c r="B71" s="4" t="s">
        <v>2213</v>
      </c>
      <c r="C71" s="4" t="s">
        <v>2214</v>
      </c>
      <c r="D71" s="12">
        <v>34800</v>
      </c>
      <c r="E71" s="4">
        <v>40</v>
      </c>
      <c r="F71" s="4" t="s">
        <v>11</v>
      </c>
      <c r="G71" s="4" t="s">
        <v>2129</v>
      </c>
      <c r="H71" s="5">
        <v>4580</v>
      </c>
      <c r="I71" s="4"/>
    </row>
    <row r="72" spans="1:9" ht="15.9" x14ac:dyDescent="0.4">
      <c r="A72" s="3">
        <v>46006</v>
      </c>
      <c r="B72" s="4" t="s">
        <v>2205</v>
      </c>
      <c r="C72" s="4" t="s">
        <v>2215</v>
      </c>
      <c r="D72" s="12">
        <v>38930</v>
      </c>
      <c r="E72" s="4">
        <v>45</v>
      </c>
      <c r="F72" s="4" t="s">
        <v>15</v>
      </c>
      <c r="G72" s="4" t="s">
        <v>25</v>
      </c>
      <c r="H72" s="5">
        <v>2550</v>
      </c>
      <c r="I72" s="4"/>
    </row>
    <row r="73" spans="1:9" ht="15.9" x14ac:dyDescent="0.4">
      <c r="A73" s="3">
        <v>46006</v>
      </c>
      <c r="B73" s="4" t="s">
        <v>2187</v>
      </c>
      <c r="C73" s="4" t="s">
        <v>1840</v>
      </c>
      <c r="D73" s="12">
        <v>29050</v>
      </c>
      <c r="E73" s="4">
        <v>35</v>
      </c>
      <c r="F73" s="4" t="s">
        <v>15</v>
      </c>
      <c r="G73" s="4" t="s">
        <v>25</v>
      </c>
      <c r="H73" s="5">
        <v>3900</v>
      </c>
      <c r="I73" s="4"/>
    </row>
    <row r="74" spans="1:9" ht="15.9" x14ac:dyDescent="0.4">
      <c r="A74" s="3">
        <v>46006</v>
      </c>
      <c r="B74" s="4" t="s">
        <v>2187</v>
      </c>
      <c r="C74" s="4" t="s">
        <v>1840</v>
      </c>
      <c r="D74" s="12">
        <v>36520</v>
      </c>
      <c r="E74" s="4">
        <v>44</v>
      </c>
      <c r="F74" s="4" t="s">
        <v>15</v>
      </c>
      <c r="G74" s="4" t="s">
        <v>25</v>
      </c>
      <c r="H74" s="5">
        <v>3900</v>
      </c>
      <c r="I74" s="4"/>
    </row>
    <row r="75" spans="1:9" ht="15.9" x14ac:dyDescent="0.4">
      <c r="A75" s="3">
        <v>46006</v>
      </c>
      <c r="B75" s="4" t="s">
        <v>2216</v>
      </c>
      <c r="C75" s="4" t="s">
        <v>1579</v>
      </c>
      <c r="D75" s="12">
        <v>9455</v>
      </c>
      <c r="E75" s="4">
        <v>10</v>
      </c>
      <c r="F75" s="4" t="s">
        <v>35</v>
      </c>
      <c r="G75" s="4" t="s">
        <v>832</v>
      </c>
      <c r="H75" s="5">
        <v>536.37</v>
      </c>
      <c r="I75" s="4"/>
    </row>
    <row r="76" spans="1:9" ht="15.9" x14ac:dyDescent="0.4">
      <c r="A76" s="3">
        <v>46006</v>
      </c>
      <c r="B76" s="4" t="s">
        <v>2175</v>
      </c>
      <c r="C76" s="4" t="s">
        <v>2217</v>
      </c>
      <c r="D76" s="12">
        <v>39510</v>
      </c>
      <c r="E76" s="4">
        <v>42</v>
      </c>
      <c r="F76" s="4" t="s">
        <v>15</v>
      </c>
      <c r="G76" s="4" t="s">
        <v>25</v>
      </c>
      <c r="H76" s="5">
        <v>3600</v>
      </c>
      <c r="I76" s="4"/>
    </row>
    <row r="77" spans="1:9" ht="15.9" x14ac:dyDescent="0.4">
      <c r="A77" s="3">
        <v>46006</v>
      </c>
      <c r="B77" s="4" t="s">
        <v>2190</v>
      </c>
      <c r="C77" s="4" t="s">
        <v>2191</v>
      </c>
      <c r="D77" s="12">
        <v>18920</v>
      </c>
      <c r="E77" s="4">
        <v>22</v>
      </c>
      <c r="F77" s="4" t="s">
        <v>11</v>
      </c>
      <c r="G77" s="4" t="s">
        <v>2129</v>
      </c>
      <c r="H77" s="5">
        <v>1750</v>
      </c>
      <c r="I77" s="4"/>
    </row>
    <row r="78" spans="1:9" ht="15.9" x14ac:dyDescent="0.4">
      <c r="A78" s="3">
        <v>46006</v>
      </c>
      <c r="B78" s="4" t="s">
        <v>2157</v>
      </c>
      <c r="C78" s="4" t="s">
        <v>2154</v>
      </c>
      <c r="D78" s="12">
        <v>11349</v>
      </c>
      <c r="E78" s="4">
        <v>14</v>
      </c>
      <c r="F78" s="4" t="s">
        <v>11</v>
      </c>
      <c r="G78" s="4" t="s">
        <v>2129</v>
      </c>
      <c r="H78" s="5">
        <v>2200</v>
      </c>
      <c r="I78" s="4"/>
    </row>
    <row r="79" spans="1:9" ht="15.9" x14ac:dyDescent="0.4">
      <c r="A79" s="3">
        <v>46007</v>
      </c>
      <c r="B79" s="4" t="s">
        <v>2218</v>
      </c>
      <c r="C79" s="4" t="s">
        <v>2219</v>
      </c>
      <c r="D79" s="12">
        <v>35280</v>
      </c>
      <c r="E79" s="4">
        <v>48</v>
      </c>
      <c r="F79" s="4" t="s">
        <v>11</v>
      </c>
      <c r="G79" s="4" t="s">
        <v>2129</v>
      </c>
      <c r="H79" s="5">
        <v>4550</v>
      </c>
      <c r="I79" s="4"/>
    </row>
    <row r="80" spans="1:9" ht="15.9" x14ac:dyDescent="0.4">
      <c r="A80" s="3">
        <v>46007</v>
      </c>
      <c r="B80" s="4" t="s">
        <v>2218</v>
      </c>
      <c r="C80" s="4" t="s">
        <v>2219</v>
      </c>
      <c r="D80" s="12">
        <v>19110</v>
      </c>
      <c r="E80" s="4">
        <v>26</v>
      </c>
      <c r="F80" s="4" t="s">
        <v>11</v>
      </c>
      <c r="G80" s="4" t="s">
        <v>2129</v>
      </c>
      <c r="H80" s="5">
        <v>4550</v>
      </c>
      <c r="I80" s="4"/>
    </row>
    <row r="81" spans="1:9" ht="15.9" x14ac:dyDescent="0.4">
      <c r="A81" s="3">
        <v>46007</v>
      </c>
      <c r="B81" s="4" t="s">
        <v>2142</v>
      </c>
      <c r="C81" s="4" t="s">
        <v>2219</v>
      </c>
      <c r="D81" s="12">
        <v>28710</v>
      </c>
      <c r="E81" s="4">
        <v>33</v>
      </c>
      <c r="F81" s="4" t="s">
        <v>11</v>
      </c>
      <c r="G81" s="4" t="s">
        <v>2129</v>
      </c>
      <c r="H81" s="5">
        <v>4550</v>
      </c>
      <c r="I81" s="4"/>
    </row>
    <row r="82" spans="1:9" ht="15.9" x14ac:dyDescent="0.4">
      <c r="A82" s="3">
        <v>46007</v>
      </c>
      <c r="B82" s="4" t="s">
        <v>2161</v>
      </c>
      <c r="C82" s="4" t="s">
        <v>2220</v>
      </c>
      <c r="D82" s="12">
        <v>11880</v>
      </c>
      <c r="E82" s="4">
        <v>12</v>
      </c>
      <c r="F82" s="4" t="s">
        <v>35</v>
      </c>
      <c r="G82" s="4" t="s">
        <v>2160</v>
      </c>
      <c r="H82" s="5"/>
      <c r="I82" s="4"/>
    </row>
    <row r="83" spans="1:9" ht="15.9" x14ac:dyDescent="0.4">
      <c r="A83" s="3">
        <v>46007</v>
      </c>
      <c r="B83" s="4" t="s">
        <v>2221</v>
      </c>
      <c r="C83" s="4" t="s">
        <v>2222</v>
      </c>
      <c r="D83" s="12">
        <v>3440</v>
      </c>
      <c r="E83" s="4">
        <v>4</v>
      </c>
      <c r="F83" s="4" t="s">
        <v>35</v>
      </c>
      <c r="G83" s="4" t="s">
        <v>2160</v>
      </c>
      <c r="H83" s="5"/>
      <c r="I83" s="4"/>
    </row>
    <row r="84" spans="1:9" ht="15.9" x14ac:dyDescent="0.4">
      <c r="A84" s="3">
        <v>46007</v>
      </c>
      <c r="B84" s="4" t="s">
        <v>2223</v>
      </c>
      <c r="C84" s="4" t="s">
        <v>2224</v>
      </c>
      <c r="D84" s="12">
        <v>4902</v>
      </c>
      <c r="E84" s="4">
        <v>6</v>
      </c>
      <c r="F84" s="4" t="s">
        <v>35</v>
      </c>
      <c r="G84" s="4" t="s">
        <v>2140</v>
      </c>
      <c r="H84" s="5">
        <v>479.32</v>
      </c>
      <c r="I84" s="4"/>
    </row>
    <row r="85" spans="1:9" ht="15.9" x14ac:dyDescent="0.4">
      <c r="A85" s="3">
        <v>46007</v>
      </c>
      <c r="B85" s="4" t="s">
        <v>2225</v>
      </c>
      <c r="C85" s="4" t="s">
        <v>2226</v>
      </c>
      <c r="D85" s="12">
        <v>3480</v>
      </c>
      <c r="E85" s="4">
        <v>4</v>
      </c>
      <c r="F85" s="4" t="s">
        <v>35</v>
      </c>
      <c r="G85" s="4" t="s">
        <v>2140</v>
      </c>
      <c r="H85" s="5">
        <v>317.64</v>
      </c>
      <c r="I85" s="4"/>
    </row>
    <row r="86" spans="1:9" ht="15.9" x14ac:dyDescent="0.4">
      <c r="A86" s="3">
        <v>46007</v>
      </c>
      <c r="B86" s="4" t="s">
        <v>2227</v>
      </c>
      <c r="C86" s="4" t="s">
        <v>2228</v>
      </c>
      <c r="D86" s="12">
        <v>4750</v>
      </c>
      <c r="E86" s="4">
        <v>5</v>
      </c>
      <c r="F86" s="4" t="s">
        <v>35</v>
      </c>
      <c r="G86" s="4" t="s">
        <v>2140</v>
      </c>
      <c r="H86" s="5">
        <v>425.76</v>
      </c>
      <c r="I86" s="4"/>
    </row>
    <row r="87" spans="1:9" ht="15.9" x14ac:dyDescent="0.4">
      <c r="A87" s="3">
        <v>46008</v>
      </c>
      <c r="B87" s="4" t="s">
        <v>2201</v>
      </c>
      <c r="C87" s="4" t="s">
        <v>2202</v>
      </c>
      <c r="D87" s="12">
        <v>15523</v>
      </c>
      <c r="E87" s="4">
        <v>19</v>
      </c>
      <c r="F87" s="4" t="s">
        <v>15</v>
      </c>
      <c r="G87" s="4" t="s">
        <v>2160</v>
      </c>
      <c r="H87" s="5"/>
      <c r="I87" s="4"/>
    </row>
    <row r="88" spans="1:9" ht="15.9" x14ac:dyDescent="0.4">
      <c r="A88" s="3">
        <v>46008</v>
      </c>
      <c r="B88" s="4" t="s">
        <v>2229</v>
      </c>
      <c r="C88" s="4" t="s">
        <v>2230</v>
      </c>
      <c r="D88" s="12">
        <v>13050</v>
      </c>
      <c r="E88" s="4">
        <v>15</v>
      </c>
      <c r="F88" s="4" t="s">
        <v>15</v>
      </c>
      <c r="G88" s="4" t="s">
        <v>2160</v>
      </c>
      <c r="H88" s="5"/>
      <c r="I88" s="4"/>
    </row>
    <row r="89" spans="1:9" ht="15.9" x14ac:dyDescent="0.4">
      <c r="A89" s="3">
        <v>46008</v>
      </c>
      <c r="B89" s="4" t="s">
        <v>2175</v>
      </c>
      <c r="C89" s="4" t="s">
        <v>2231</v>
      </c>
      <c r="D89" s="12">
        <v>41760</v>
      </c>
      <c r="E89" s="4">
        <v>48</v>
      </c>
      <c r="F89" s="4" t="s">
        <v>15</v>
      </c>
      <c r="G89" s="4" t="s">
        <v>25</v>
      </c>
      <c r="H89" s="5">
        <v>3600</v>
      </c>
      <c r="I89" s="4"/>
    </row>
    <row r="90" spans="1:9" ht="15.9" x14ac:dyDescent="0.4">
      <c r="A90" s="3">
        <v>46008</v>
      </c>
      <c r="B90" s="4" t="s">
        <v>2225</v>
      </c>
      <c r="C90" s="4" t="s">
        <v>2232</v>
      </c>
      <c r="D90" s="12">
        <v>1170</v>
      </c>
      <c r="E90" s="4">
        <v>1</v>
      </c>
      <c r="F90" s="4" t="s">
        <v>35</v>
      </c>
      <c r="G90" s="4" t="s">
        <v>2140</v>
      </c>
      <c r="H90" s="5">
        <v>236.44</v>
      </c>
      <c r="I90" s="4"/>
    </row>
    <row r="91" spans="1:9" ht="15.9" x14ac:dyDescent="0.4">
      <c r="A91" s="3">
        <v>46008</v>
      </c>
      <c r="B91" s="4" t="s">
        <v>2233</v>
      </c>
      <c r="C91" s="4" t="s">
        <v>2234</v>
      </c>
      <c r="D91" s="12">
        <v>34400</v>
      </c>
      <c r="E91" s="4">
        <v>40</v>
      </c>
      <c r="F91" s="4" t="s">
        <v>11</v>
      </c>
      <c r="G91" s="4" t="s">
        <v>2129</v>
      </c>
      <c r="H91" s="5">
        <v>3600</v>
      </c>
      <c r="I91" s="4"/>
    </row>
    <row r="92" spans="1:9" ht="15.9" x14ac:dyDescent="0.4">
      <c r="A92" s="3">
        <v>46008</v>
      </c>
      <c r="B92" s="4" t="s">
        <v>2181</v>
      </c>
      <c r="C92" s="4" t="s">
        <v>2235</v>
      </c>
      <c r="D92" s="12">
        <v>9390</v>
      </c>
      <c r="E92" s="4">
        <v>11</v>
      </c>
      <c r="F92" s="4" t="s">
        <v>35</v>
      </c>
      <c r="G92" s="4" t="s">
        <v>2160</v>
      </c>
      <c r="H92" s="5"/>
      <c r="I92" s="4"/>
    </row>
    <row r="93" spans="1:9" ht="15.9" x14ac:dyDescent="0.4">
      <c r="A93" s="3">
        <v>46008</v>
      </c>
      <c r="B93" s="4" t="s">
        <v>2236</v>
      </c>
      <c r="C93" s="4" t="s">
        <v>2237</v>
      </c>
      <c r="D93" s="12">
        <v>9460</v>
      </c>
      <c r="E93" s="4">
        <v>11</v>
      </c>
      <c r="F93" s="4" t="s">
        <v>15</v>
      </c>
      <c r="G93" s="4" t="s">
        <v>832</v>
      </c>
      <c r="H93" s="5">
        <v>1553.33</v>
      </c>
      <c r="I93" s="4"/>
    </row>
    <row r="94" spans="1:9" ht="15.9" x14ac:dyDescent="0.4">
      <c r="A94" s="3">
        <v>46008</v>
      </c>
      <c r="B94" s="4" t="s">
        <v>2205</v>
      </c>
      <c r="C94" s="4" t="s">
        <v>2238</v>
      </c>
      <c r="D94" s="12">
        <v>12180</v>
      </c>
      <c r="E94" s="4">
        <v>14</v>
      </c>
      <c r="F94" s="4" t="s">
        <v>15</v>
      </c>
      <c r="G94" s="4" t="s">
        <v>832</v>
      </c>
      <c r="H94" s="5">
        <v>987.01</v>
      </c>
      <c r="I94" s="4"/>
    </row>
    <row r="95" spans="1:9" ht="15.9" x14ac:dyDescent="0.4">
      <c r="A95" s="3">
        <v>46008</v>
      </c>
      <c r="B95" s="4" t="s">
        <v>2239</v>
      </c>
      <c r="C95" s="4" t="s">
        <v>2240</v>
      </c>
      <c r="D95" s="12">
        <v>2900</v>
      </c>
      <c r="E95" s="4">
        <v>4</v>
      </c>
      <c r="F95" s="4" t="s">
        <v>35</v>
      </c>
      <c r="G95" s="4" t="s">
        <v>2140</v>
      </c>
      <c r="H95" s="5">
        <v>609.84</v>
      </c>
      <c r="I95" s="4"/>
    </row>
    <row r="96" spans="1:9" ht="15.9" x14ac:dyDescent="0.4">
      <c r="A96" s="3">
        <v>46008</v>
      </c>
      <c r="B96" s="4" t="s">
        <v>2175</v>
      </c>
      <c r="C96" s="4" t="s">
        <v>2231</v>
      </c>
      <c r="D96" s="12">
        <v>3440</v>
      </c>
      <c r="E96" s="4">
        <v>4</v>
      </c>
      <c r="F96" s="4" t="s">
        <v>35</v>
      </c>
      <c r="G96" s="4" t="s">
        <v>2140</v>
      </c>
      <c r="H96" s="5">
        <v>576.59</v>
      </c>
      <c r="I96" s="4"/>
    </row>
    <row r="97" spans="1:9" ht="15.9" x14ac:dyDescent="0.4">
      <c r="A97" s="3">
        <v>46009</v>
      </c>
      <c r="B97" s="4" t="s">
        <v>2175</v>
      </c>
      <c r="C97" s="4" t="s">
        <v>2231</v>
      </c>
      <c r="D97" s="12">
        <v>41760</v>
      </c>
      <c r="E97" s="4">
        <v>48</v>
      </c>
      <c r="F97" s="4" t="s">
        <v>15</v>
      </c>
      <c r="G97" s="4" t="s">
        <v>25</v>
      </c>
      <c r="H97" s="5">
        <v>3600</v>
      </c>
      <c r="I97" s="4"/>
    </row>
    <row r="98" spans="1:9" ht="15.9" x14ac:dyDescent="0.4">
      <c r="A98" s="3">
        <v>46009</v>
      </c>
      <c r="B98" s="4" t="s">
        <v>2241</v>
      </c>
      <c r="C98" s="4" t="s">
        <v>2242</v>
      </c>
      <c r="D98" s="12">
        <v>36540</v>
      </c>
      <c r="E98" s="4">
        <v>42</v>
      </c>
      <c r="F98" s="4" t="s">
        <v>15</v>
      </c>
      <c r="G98" s="4" t="s">
        <v>2160</v>
      </c>
      <c r="H98" s="5"/>
      <c r="I98" s="4"/>
    </row>
    <row r="99" spans="1:9" ht="15.9" x14ac:dyDescent="0.4">
      <c r="A99" s="3">
        <v>46009</v>
      </c>
      <c r="B99" s="4" t="s">
        <v>2142</v>
      </c>
      <c r="C99" s="4" t="s">
        <v>2143</v>
      </c>
      <c r="D99" s="12">
        <v>28710</v>
      </c>
      <c r="E99" s="4">
        <v>33</v>
      </c>
      <c r="F99" s="4" t="s">
        <v>11</v>
      </c>
      <c r="G99" s="4" t="s">
        <v>2129</v>
      </c>
      <c r="H99" s="5">
        <v>4550</v>
      </c>
      <c r="I99" s="4"/>
    </row>
    <row r="100" spans="1:9" ht="15.9" x14ac:dyDescent="0.4">
      <c r="A100" s="3">
        <v>46009</v>
      </c>
      <c r="B100" s="4" t="s">
        <v>2243</v>
      </c>
      <c r="C100" s="4" t="s">
        <v>2244</v>
      </c>
      <c r="D100" s="12">
        <v>1235</v>
      </c>
      <c r="E100" s="4">
        <v>2</v>
      </c>
      <c r="F100" s="4" t="s">
        <v>35</v>
      </c>
      <c r="G100" s="4" t="s">
        <v>2140</v>
      </c>
      <c r="H100" s="5">
        <v>388.16</v>
      </c>
      <c r="I100" s="4"/>
    </row>
    <row r="101" spans="1:9" ht="15.9" x14ac:dyDescent="0.4">
      <c r="A101" s="3">
        <v>46009</v>
      </c>
      <c r="B101" s="4" t="s">
        <v>2233</v>
      </c>
      <c r="C101" s="4" t="s">
        <v>2245</v>
      </c>
      <c r="D101" s="12">
        <v>17400</v>
      </c>
      <c r="E101" s="4">
        <v>20</v>
      </c>
      <c r="F101" s="4" t="s">
        <v>11</v>
      </c>
      <c r="G101" s="4" t="s">
        <v>2129</v>
      </c>
      <c r="H101" s="5">
        <v>2900</v>
      </c>
      <c r="I101" s="4"/>
    </row>
    <row r="102" spans="1:9" ht="15.9" x14ac:dyDescent="0.4">
      <c r="A102" s="3">
        <v>46009</v>
      </c>
      <c r="B102" s="4" t="s">
        <v>2246</v>
      </c>
      <c r="C102" s="4" t="s">
        <v>2041</v>
      </c>
      <c r="D102" s="12">
        <v>12300</v>
      </c>
      <c r="E102" s="4">
        <v>15</v>
      </c>
      <c r="F102" s="4" t="s">
        <v>11</v>
      </c>
      <c r="G102" s="4" t="s">
        <v>2129</v>
      </c>
      <c r="H102" s="5">
        <v>1250</v>
      </c>
      <c r="I102" s="4"/>
    </row>
    <row r="103" spans="1:9" ht="15.9" x14ac:dyDescent="0.4">
      <c r="A103" s="3">
        <v>46009</v>
      </c>
      <c r="B103" s="4" t="s">
        <v>2247</v>
      </c>
      <c r="C103" s="4" t="s">
        <v>2248</v>
      </c>
      <c r="D103" s="12">
        <v>8910</v>
      </c>
      <c r="E103" s="4">
        <v>9</v>
      </c>
      <c r="F103" s="4" t="s">
        <v>2249</v>
      </c>
      <c r="G103" s="4" t="s">
        <v>2160</v>
      </c>
      <c r="H103" s="5"/>
      <c r="I103" s="4"/>
    </row>
    <row r="104" spans="1:9" ht="15.9" x14ac:dyDescent="0.4">
      <c r="A104" s="3">
        <v>46009</v>
      </c>
      <c r="B104" s="4" t="s">
        <v>2250</v>
      </c>
      <c r="C104" s="4" t="s">
        <v>2251</v>
      </c>
      <c r="D104" s="12">
        <v>1980</v>
      </c>
      <c r="E104" s="4">
        <v>2</v>
      </c>
      <c r="F104" s="4" t="s">
        <v>35</v>
      </c>
      <c r="G104" s="4" t="s">
        <v>2160</v>
      </c>
      <c r="H104" s="5"/>
      <c r="I104" s="4"/>
    </row>
    <row r="105" spans="1:9" ht="15.9" x14ac:dyDescent="0.4">
      <c r="A105" s="3">
        <v>46009</v>
      </c>
      <c r="B105" s="4" t="s">
        <v>2252</v>
      </c>
      <c r="C105" s="4" t="s">
        <v>2253</v>
      </c>
      <c r="D105" s="4">
        <v>700</v>
      </c>
      <c r="E105" s="4">
        <v>1</v>
      </c>
      <c r="F105" s="4" t="s">
        <v>35</v>
      </c>
      <c r="G105" s="4" t="s">
        <v>2160</v>
      </c>
      <c r="H105" s="4"/>
      <c r="I105" s="4"/>
    </row>
    <row r="106" spans="1:9" ht="15.9" x14ac:dyDescent="0.4">
      <c r="A106" s="3">
        <v>46009</v>
      </c>
      <c r="B106" s="4" t="s">
        <v>2126</v>
      </c>
      <c r="C106" s="4" t="s">
        <v>2254</v>
      </c>
      <c r="D106" s="12">
        <v>2610</v>
      </c>
      <c r="E106" s="4">
        <v>3</v>
      </c>
      <c r="F106" s="4" t="s">
        <v>35</v>
      </c>
      <c r="G106" s="4" t="s">
        <v>2160</v>
      </c>
      <c r="H106" s="5"/>
      <c r="I106" s="4"/>
    </row>
    <row r="107" spans="1:9" ht="15.9" x14ac:dyDescent="0.4">
      <c r="A107" s="3">
        <v>46009</v>
      </c>
      <c r="B107" s="4" t="s">
        <v>2252</v>
      </c>
      <c r="C107" s="4" t="s">
        <v>2255</v>
      </c>
      <c r="D107" s="4">
        <v>690</v>
      </c>
      <c r="E107" s="4">
        <v>1</v>
      </c>
      <c r="F107" s="4" t="s">
        <v>35</v>
      </c>
      <c r="G107" s="4" t="s">
        <v>2160</v>
      </c>
      <c r="H107" s="5"/>
      <c r="I107" s="4"/>
    </row>
    <row r="108" spans="1:9" ht="15.9" x14ac:dyDescent="0.4">
      <c r="A108" s="3">
        <v>46010</v>
      </c>
      <c r="B108" s="4" t="s">
        <v>2157</v>
      </c>
      <c r="C108" s="4" t="s">
        <v>2128</v>
      </c>
      <c r="D108" s="12">
        <v>38280</v>
      </c>
      <c r="E108" s="4">
        <v>44</v>
      </c>
      <c r="F108" s="4" t="s">
        <v>11</v>
      </c>
      <c r="G108" s="4" t="s">
        <v>2129</v>
      </c>
      <c r="H108" s="5">
        <v>3300</v>
      </c>
      <c r="I108" s="4"/>
    </row>
    <row r="109" spans="1:9" ht="15.9" x14ac:dyDescent="0.4">
      <c r="A109" s="3">
        <v>46010</v>
      </c>
      <c r="B109" s="4" t="s">
        <v>2205</v>
      </c>
      <c r="C109" s="4" t="s">
        <v>2256</v>
      </c>
      <c r="D109" s="12">
        <v>28710</v>
      </c>
      <c r="E109" s="4">
        <v>33</v>
      </c>
      <c r="F109" s="4" t="s">
        <v>15</v>
      </c>
      <c r="G109" s="4" t="s">
        <v>25</v>
      </c>
      <c r="H109" s="5">
        <v>2550</v>
      </c>
      <c r="I109" s="4"/>
    </row>
    <row r="110" spans="1:9" ht="15.9" x14ac:dyDescent="0.4">
      <c r="A110" s="3">
        <v>46010</v>
      </c>
      <c r="B110" s="4" t="s">
        <v>2257</v>
      </c>
      <c r="C110" s="4" t="s">
        <v>2258</v>
      </c>
      <c r="D110" s="12">
        <v>33740</v>
      </c>
      <c r="E110" s="4">
        <v>40</v>
      </c>
      <c r="F110" s="4" t="s">
        <v>11</v>
      </c>
      <c r="G110" s="4" t="s">
        <v>2129</v>
      </c>
      <c r="H110" s="5">
        <v>3600</v>
      </c>
      <c r="I110" s="4"/>
    </row>
    <row r="111" spans="1:9" ht="15.9" x14ac:dyDescent="0.4">
      <c r="A111" s="3">
        <v>46010</v>
      </c>
      <c r="B111" s="4" t="s">
        <v>2259</v>
      </c>
      <c r="C111" s="4" t="s">
        <v>2260</v>
      </c>
      <c r="D111" s="12">
        <v>32820</v>
      </c>
      <c r="E111" s="4">
        <v>40</v>
      </c>
      <c r="F111" s="4" t="s">
        <v>11</v>
      </c>
      <c r="G111" s="4" t="s">
        <v>2129</v>
      </c>
      <c r="H111" s="5">
        <v>3700</v>
      </c>
      <c r="I111" s="4"/>
    </row>
    <row r="112" spans="1:9" ht="15.9" x14ac:dyDescent="0.4">
      <c r="A112" s="3">
        <v>46010</v>
      </c>
      <c r="B112" s="4" t="s">
        <v>2179</v>
      </c>
      <c r="C112" s="4" t="s">
        <v>2261</v>
      </c>
      <c r="D112" s="12">
        <v>20010</v>
      </c>
      <c r="E112" s="4">
        <v>23</v>
      </c>
      <c r="F112" s="4" t="s">
        <v>15</v>
      </c>
      <c r="G112" s="4" t="s">
        <v>25</v>
      </c>
      <c r="H112" s="5">
        <v>1850</v>
      </c>
      <c r="I112" s="4"/>
    </row>
    <row r="113" spans="1:9" ht="15.9" x14ac:dyDescent="0.4">
      <c r="A113" s="3">
        <v>46013</v>
      </c>
      <c r="B113" s="4" t="s">
        <v>2130</v>
      </c>
      <c r="C113" s="4" t="s">
        <v>2262</v>
      </c>
      <c r="D113" s="12">
        <v>25000</v>
      </c>
      <c r="E113" s="4">
        <v>30</v>
      </c>
      <c r="F113" s="4" t="s">
        <v>15</v>
      </c>
      <c r="G113" s="4" t="s">
        <v>25</v>
      </c>
      <c r="H113" s="5">
        <v>2900</v>
      </c>
      <c r="I113" s="4"/>
    </row>
    <row r="114" spans="1:9" ht="15.9" x14ac:dyDescent="0.4">
      <c r="A114" s="3">
        <v>46013</v>
      </c>
      <c r="B114" s="4" t="s">
        <v>2263</v>
      </c>
      <c r="C114" s="4" t="s">
        <v>2264</v>
      </c>
      <c r="D114" s="12">
        <v>5115</v>
      </c>
      <c r="E114" s="4">
        <v>6</v>
      </c>
      <c r="F114" s="4" t="s">
        <v>35</v>
      </c>
      <c r="G114" s="4" t="s">
        <v>2140</v>
      </c>
      <c r="H114" s="5">
        <v>1165.27</v>
      </c>
      <c r="I114" s="4"/>
    </row>
    <row r="115" spans="1:9" ht="15.9" x14ac:dyDescent="0.4">
      <c r="A115" s="3">
        <v>46013</v>
      </c>
      <c r="B115" s="4" t="s">
        <v>2265</v>
      </c>
      <c r="C115" s="4" t="s">
        <v>2266</v>
      </c>
      <c r="D115" s="12">
        <v>36384</v>
      </c>
      <c r="E115" s="4">
        <v>48</v>
      </c>
      <c r="F115" s="4" t="s">
        <v>11</v>
      </c>
      <c r="G115" s="4" t="s">
        <v>2129</v>
      </c>
      <c r="H115" s="5">
        <v>1250</v>
      </c>
      <c r="I115" s="4"/>
    </row>
    <row r="116" spans="1:9" ht="15.9" x14ac:dyDescent="0.4">
      <c r="A116" s="3">
        <v>46013</v>
      </c>
      <c r="B116" s="4" t="s">
        <v>2267</v>
      </c>
      <c r="C116" s="4" t="s">
        <v>2268</v>
      </c>
      <c r="D116" s="12">
        <v>11857</v>
      </c>
      <c r="E116" s="4">
        <v>12</v>
      </c>
      <c r="F116" s="4" t="s">
        <v>15</v>
      </c>
      <c r="G116" s="4" t="s">
        <v>832</v>
      </c>
      <c r="H116" s="5">
        <v>1607.29</v>
      </c>
      <c r="I116" s="4"/>
    </row>
    <row r="117" spans="1:9" ht="15.9" x14ac:dyDescent="0.4">
      <c r="A117" s="3">
        <v>46014</v>
      </c>
      <c r="B117" s="4" t="s">
        <v>2185</v>
      </c>
      <c r="C117" s="4" t="s">
        <v>2269</v>
      </c>
      <c r="D117" s="12">
        <v>33080</v>
      </c>
      <c r="E117" s="4">
        <v>36</v>
      </c>
      <c r="F117" s="4" t="s">
        <v>15</v>
      </c>
      <c r="G117" s="4" t="s">
        <v>25</v>
      </c>
      <c r="H117" s="5">
        <v>5000</v>
      </c>
      <c r="I117" s="4"/>
    </row>
    <row r="118" spans="1:9" ht="15.9" x14ac:dyDescent="0.4">
      <c r="A118" s="3">
        <v>46014</v>
      </c>
      <c r="B118" s="4" t="s">
        <v>2130</v>
      </c>
      <c r="C118" s="4" t="s">
        <v>2270</v>
      </c>
      <c r="D118" s="12">
        <v>37008</v>
      </c>
      <c r="E118" s="4">
        <v>48</v>
      </c>
      <c r="F118" s="4" t="s">
        <v>15</v>
      </c>
      <c r="G118" s="4" t="s">
        <v>25</v>
      </c>
      <c r="H118" s="5">
        <v>2900</v>
      </c>
      <c r="I118" s="4"/>
    </row>
    <row r="119" spans="1:9" ht="15.9" x14ac:dyDescent="0.4">
      <c r="A119" s="3">
        <v>46014</v>
      </c>
      <c r="B119" s="4" t="s">
        <v>2130</v>
      </c>
      <c r="C119" s="4" t="s">
        <v>2271</v>
      </c>
      <c r="D119" s="12">
        <v>40480</v>
      </c>
      <c r="E119" s="4">
        <v>46</v>
      </c>
      <c r="F119" s="4" t="s">
        <v>15</v>
      </c>
      <c r="G119" s="4" t="s">
        <v>25</v>
      </c>
      <c r="H119" s="5">
        <v>2900</v>
      </c>
      <c r="I119" s="4"/>
    </row>
    <row r="120" spans="1:9" ht="15.9" x14ac:dyDescent="0.4">
      <c r="A120" s="3">
        <v>46014</v>
      </c>
      <c r="B120" s="4" t="s">
        <v>2130</v>
      </c>
      <c r="C120" s="4" t="s">
        <v>2271</v>
      </c>
      <c r="D120" s="12">
        <v>15160</v>
      </c>
      <c r="E120" s="4">
        <v>20</v>
      </c>
      <c r="F120" s="4" t="s">
        <v>15</v>
      </c>
      <c r="G120" s="4" t="s">
        <v>25</v>
      </c>
      <c r="H120" s="5">
        <v>2900</v>
      </c>
      <c r="I120" s="4"/>
    </row>
    <row r="121" spans="1:9" ht="15.9" x14ac:dyDescent="0.4">
      <c r="A121" s="3">
        <v>46014</v>
      </c>
      <c r="B121" s="4" t="s">
        <v>2250</v>
      </c>
      <c r="C121" s="4" t="s">
        <v>2272</v>
      </c>
      <c r="D121" s="12">
        <v>43560</v>
      </c>
      <c r="E121" s="4">
        <v>36</v>
      </c>
      <c r="F121" s="4" t="s">
        <v>11</v>
      </c>
      <c r="G121" s="4" t="s">
        <v>2160</v>
      </c>
      <c r="H121" s="5"/>
      <c r="I121" s="4"/>
    </row>
    <row r="122" spans="1:9" ht="15.9" x14ac:dyDescent="0.4">
      <c r="A122" s="3">
        <v>46014</v>
      </c>
      <c r="B122" s="4" t="s">
        <v>2130</v>
      </c>
      <c r="C122" s="4" t="s">
        <v>2270</v>
      </c>
      <c r="D122" s="12">
        <v>37008</v>
      </c>
      <c r="E122" s="4">
        <v>48</v>
      </c>
      <c r="F122" s="4" t="s">
        <v>15</v>
      </c>
      <c r="G122" s="4" t="s">
        <v>25</v>
      </c>
      <c r="H122" s="5">
        <v>2900</v>
      </c>
      <c r="I122" s="4"/>
    </row>
    <row r="123" spans="1:9" ht="15.9" x14ac:dyDescent="0.4">
      <c r="A123" s="3">
        <v>46014</v>
      </c>
      <c r="B123" s="4" t="s">
        <v>2137</v>
      </c>
      <c r="C123" s="4" t="s">
        <v>2273</v>
      </c>
      <c r="D123" s="12">
        <v>39360</v>
      </c>
      <c r="E123" s="4">
        <v>48</v>
      </c>
      <c r="F123" s="4" t="s">
        <v>11</v>
      </c>
      <c r="G123" s="4" t="s">
        <v>2129</v>
      </c>
      <c r="H123" s="5">
        <v>2400</v>
      </c>
      <c r="I123" s="4"/>
    </row>
    <row r="124" spans="1:9" ht="15.9" x14ac:dyDescent="0.4">
      <c r="A124" s="3">
        <v>46014</v>
      </c>
      <c r="B124" s="4" t="s">
        <v>2274</v>
      </c>
      <c r="C124" s="4" t="s">
        <v>2275</v>
      </c>
      <c r="D124" s="12">
        <v>41760</v>
      </c>
      <c r="E124" s="4">
        <v>48</v>
      </c>
      <c r="F124" s="4" t="s">
        <v>11</v>
      </c>
      <c r="G124" s="4" t="s">
        <v>25</v>
      </c>
      <c r="H124" s="5">
        <v>5800</v>
      </c>
      <c r="I124" s="4"/>
    </row>
    <row r="125" spans="1:9" ht="15.9" x14ac:dyDescent="0.4">
      <c r="A125" s="3">
        <v>46014</v>
      </c>
      <c r="B125" s="4" t="s">
        <v>2137</v>
      </c>
      <c r="C125" s="4" t="s">
        <v>2277</v>
      </c>
      <c r="D125" s="12">
        <v>32190</v>
      </c>
      <c r="E125" s="4">
        <v>37</v>
      </c>
      <c r="F125" s="4" t="s">
        <v>11</v>
      </c>
      <c r="G125" s="4" t="s">
        <v>2129</v>
      </c>
      <c r="H125" s="5">
        <v>2400</v>
      </c>
      <c r="I125" s="4"/>
    </row>
    <row r="126" spans="1:9" ht="15.9" x14ac:dyDescent="0.4">
      <c r="A126" s="3">
        <v>46014</v>
      </c>
      <c r="B126" s="4" t="s">
        <v>2130</v>
      </c>
      <c r="C126" s="4" t="s">
        <v>2271</v>
      </c>
      <c r="D126" s="12">
        <v>34720</v>
      </c>
      <c r="E126" s="4">
        <v>45</v>
      </c>
      <c r="F126" s="4" t="s">
        <v>15</v>
      </c>
      <c r="G126" s="4" t="s">
        <v>25</v>
      </c>
      <c r="H126" s="5">
        <v>2900</v>
      </c>
      <c r="I126" s="4"/>
    </row>
    <row r="127" spans="1:9" ht="15.9" x14ac:dyDescent="0.4">
      <c r="A127" s="3">
        <v>46014</v>
      </c>
      <c r="B127" s="4" t="s">
        <v>2167</v>
      </c>
      <c r="C127" s="4" t="s">
        <v>2278</v>
      </c>
      <c r="D127" s="12">
        <v>5094</v>
      </c>
      <c r="E127" s="4">
        <v>6</v>
      </c>
      <c r="F127" s="4" t="s">
        <v>35</v>
      </c>
      <c r="G127" s="4" t="s">
        <v>2160</v>
      </c>
      <c r="H127" s="5"/>
      <c r="I127" s="4"/>
    </row>
    <row r="128" spans="1:9" ht="15.9" x14ac:dyDescent="0.4">
      <c r="A128" s="3">
        <v>46014</v>
      </c>
      <c r="B128" s="4" t="s">
        <v>2173</v>
      </c>
      <c r="C128" s="4" t="s">
        <v>2279</v>
      </c>
      <c r="D128" s="12">
        <v>23686</v>
      </c>
      <c r="E128" s="4">
        <v>27</v>
      </c>
      <c r="F128" s="4" t="s">
        <v>11</v>
      </c>
      <c r="G128" s="4" t="s">
        <v>2129</v>
      </c>
      <c r="H128" s="5">
        <v>3450</v>
      </c>
      <c r="I128" s="4"/>
    </row>
    <row r="129" spans="1:9" ht="15.9" x14ac:dyDescent="0.4">
      <c r="A129" s="3">
        <v>46014</v>
      </c>
      <c r="B129" s="4" t="s">
        <v>2197</v>
      </c>
      <c r="C129" s="4" t="s">
        <v>1368</v>
      </c>
      <c r="D129" s="4">
        <v>600</v>
      </c>
      <c r="E129" s="4">
        <v>1</v>
      </c>
      <c r="F129" s="4" t="s">
        <v>35</v>
      </c>
      <c r="G129" s="4" t="s">
        <v>2140</v>
      </c>
      <c r="H129" s="5">
        <v>250.1</v>
      </c>
      <c r="I129" s="4"/>
    </row>
    <row r="130" spans="1:9" ht="15.9" x14ac:dyDescent="0.4">
      <c r="A130" s="3">
        <v>46014</v>
      </c>
      <c r="B130" s="4" t="s">
        <v>2137</v>
      </c>
      <c r="C130" s="4" t="s">
        <v>2273</v>
      </c>
      <c r="D130" s="12">
        <v>39216</v>
      </c>
      <c r="E130" s="4">
        <v>48</v>
      </c>
      <c r="F130" s="4" t="s">
        <v>11</v>
      </c>
      <c r="G130" s="4" t="s">
        <v>2129</v>
      </c>
      <c r="H130" s="13">
        <v>2400</v>
      </c>
      <c r="I130" s="4"/>
    </row>
    <row r="131" spans="1:9" ht="15.9" x14ac:dyDescent="0.4">
      <c r="A131" s="3">
        <v>46014</v>
      </c>
      <c r="B131" s="4" t="s">
        <v>2250</v>
      </c>
      <c r="C131" s="4" t="s">
        <v>2272</v>
      </c>
      <c r="D131" s="12">
        <v>43560</v>
      </c>
      <c r="E131" s="4">
        <v>36</v>
      </c>
      <c r="F131" s="4" t="s">
        <v>11</v>
      </c>
      <c r="G131" s="4" t="s">
        <v>2160</v>
      </c>
      <c r="H131" s="4"/>
      <c r="I131" s="4"/>
    </row>
    <row r="132" spans="1:9" ht="15.9" x14ac:dyDescent="0.4">
      <c r="A132" s="3">
        <v>46017</v>
      </c>
      <c r="B132" s="4" t="s">
        <v>2250</v>
      </c>
      <c r="C132" s="4" t="s">
        <v>2272</v>
      </c>
      <c r="D132" s="12">
        <v>43560</v>
      </c>
      <c r="E132" s="4">
        <v>36</v>
      </c>
      <c r="F132" s="4" t="s">
        <v>11</v>
      </c>
      <c r="G132" s="4" t="s">
        <v>2160</v>
      </c>
      <c r="H132" s="4"/>
      <c r="I132" s="4"/>
    </row>
    <row r="133" spans="1:9" ht="15.9" x14ac:dyDescent="0.4">
      <c r="A133" s="3">
        <v>46017</v>
      </c>
      <c r="B133" s="4" t="s">
        <v>2250</v>
      </c>
      <c r="C133" s="4" t="s">
        <v>2272</v>
      </c>
      <c r="D133" s="12">
        <v>43560</v>
      </c>
      <c r="E133" s="4">
        <v>36</v>
      </c>
      <c r="F133" s="4" t="s">
        <v>11</v>
      </c>
      <c r="G133" s="4" t="s">
        <v>2160</v>
      </c>
      <c r="H133" s="4"/>
      <c r="I133" s="4"/>
    </row>
    <row r="134" spans="1:9" ht="15.9" x14ac:dyDescent="0.4">
      <c r="A134" s="3">
        <v>46017</v>
      </c>
      <c r="B134" s="4" t="s">
        <v>2137</v>
      </c>
      <c r="C134" s="4" t="s">
        <v>2273</v>
      </c>
      <c r="D134" s="12">
        <v>20425</v>
      </c>
      <c r="E134" s="4">
        <v>25</v>
      </c>
      <c r="F134" s="4" t="s">
        <v>11</v>
      </c>
      <c r="G134" s="4" t="s">
        <v>2129</v>
      </c>
      <c r="H134" s="13">
        <v>2400</v>
      </c>
      <c r="I134" s="4"/>
    </row>
    <row r="135" spans="1:9" ht="15.9" x14ac:dyDescent="0.4">
      <c r="A135" s="3">
        <v>46017</v>
      </c>
      <c r="B135" s="4" t="s">
        <v>2250</v>
      </c>
      <c r="C135" s="4" t="s">
        <v>2280</v>
      </c>
      <c r="D135" s="12">
        <v>43560</v>
      </c>
      <c r="E135" s="4">
        <v>36</v>
      </c>
      <c r="F135" s="4" t="s">
        <v>11</v>
      </c>
      <c r="G135" s="4" t="s">
        <v>2160</v>
      </c>
      <c r="H135" s="4"/>
      <c r="I135" s="4"/>
    </row>
    <row r="136" spans="1:9" ht="15.9" x14ac:dyDescent="0.4">
      <c r="A136" s="3">
        <v>46017</v>
      </c>
      <c r="B136" s="4" t="s">
        <v>2250</v>
      </c>
      <c r="C136" s="4" t="s">
        <v>2272</v>
      </c>
      <c r="D136" s="12">
        <v>43560</v>
      </c>
      <c r="E136" s="4">
        <v>36</v>
      </c>
      <c r="F136" s="4" t="s">
        <v>11</v>
      </c>
      <c r="G136" s="4" t="s">
        <v>2160</v>
      </c>
      <c r="H136" s="4"/>
      <c r="I136" s="4"/>
    </row>
    <row r="137" spans="1:9" ht="15.9" x14ac:dyDescent="0.4">
      <c r="A137" s="3">
        <v>46017</v>
      </c>
      <c r="B137" s="4" t="s">
        <v>2257</v>
      </c>
      <c r="C137" s="4" t="s">
        <v>2281</v>
      </c>
      <c r="D137" s="12">
        <v>45420</v>
      </c>
      <c r="E137" s="4">
        <v>20</v>
      </c>
      <c r="F137" s="4" t="s">
        <v>11</v>
      </c>
      <c r="G137" s="4" t="s">
        <v>2129</v>
      </c>
      <c r="H137" s="13">
        <v>2125</v>
      </c>
      <c r="I137" s="4"/>
    </row>
    <row r="138" spans="1:9" ht="15.9" x14ac:dyDescent="0.4">
      <c r="A138" s="3">
        <v>46017</v>
      </c>
      <c r="B138" s="4" t="s">
        <v>2259</v>
      </c>
      <c r="C138" s="4" t="s">
        <v>2282</v>
      </c>
      <c r="D138" s="12">
        <v>15160</v>
      </c>
      <c r="E138" s="4">
        <v>20</v>
      </c>
      <c r="F138" s="4" t="s">
        <v>11</v>
      </c>
      <c r="G138" s="4" t="s">
        <v>2129</v>
      </c>
      <c r="H138" s="13">
        <v>2125</v>
      </c>
      <c r="I138" s="4"/>
    </row>
    <row r="139" spans="1:9" ht="15.9" x14ac:dyDescent="0.4">
      <c r="A139" s="3">
        <v>46020</v>
      </c>
      <c r="B139" s="4" t="s">
        <v>2179</v>
      </c>
      <c r="C139" s="4" t="s">
        <v>2283</v>
      </c>
      <c r="D139" s="12">
        <v>27040</v>
      </c>
      <c r="E139" s="4">
        <v>34</v>
      </c>
      <c r="F139" s="4" t="s">
        <v>15</v>
      </c>
      <c r="G139" s="4" t="s">
        <v>25</v>
      </c>
      <c r="H139" s="13">
        <v>2100</v>
      </c>
      <c r="I139" s="4"/>
    </row>
    <row r="140" spans="1:9" ht="15.9" x14ac:dyDescent="0.4">
      <c r="A140" s="3">
        <v>46020</v>
      </c>
      <c r="B140" s="4" t="s">
        <v>2284</v>
      </c>
      <c r="C140" s="4" t="s">
        <v>2285</v>
      </c>
      <c r="D140" s="4">
        <v>849</v>
      </c>
      <c r="E140" s="4">
        <v>1</v>
      </c>
      <c r="F140" s="4" t="s">
        <v>35</v>
      </c>
      <c r="G140" s="4" t="s">
        <v>2140</v>
      </c>
      <c r="H140" s="5">
        <v>259.24</v>
      </c>
      <c r="I140" s="4"/>
    </row>
    <row r="141" spans="1:9" ht="15.9" x14ac:dyDescent="0.4">
      <c r="A141" s="3">
        <v>46020</v>
      </c>
      <c r="B141" s="4" t="s">
        <v>2286</v>
      </c>
      <c r="C141" s="4" t="s">
        <v>2287</v>
      </c>
      <c r="D141" s="12">
        <v>1160</v>
      </c>
      <c r="E141" s="4">
        <v>2</v>
      </c>
      <c r="F141" s="4" t="s">
        <v>35</v>
      </c>
      <c r="G141" s="4" t="s">
        <v>2140</v>
      </c>
      <c r="H141" s="13">
        <v>367</v>
      </c>
      <c r="I141" s="4"/>
    </row>
    <row r="142" spans="1:9" ht="15.9" x14ac:dyDescent="0.4">
      <c r="A142" s="3">
        <v>46020</v>
      </c>
      <c r="B142" s="4" t="s">
        <v>2148</v>
      </c>
      <c r="C142" s="4" t="s">
        <v>2288</v>
      </c>
      <c r="D142" s="12">
        <v>1848</v>
      </c>
      <c r="E142" s="4">
        <v>2</v>
      </c>
      <c r="F142" s="4" t="s">
        <v>35</v>
      </c>
      <c r="G142" s="4" t="s">
        <v>2140</v>
      </c>
      <c r="H142" s="5">
        <v>348.52</v>
      </c>
      <c r="I142" s="4"/>
    </row>
    <row r="143" spans="1:9" ht="15.9" x14ac:dyDescent="0.4">
      <c r="A143" s="3">
        <v>46020</v>
      </c>
      <c r="B143" s="4" t="s">
        <v>2289</v>
      </c>
      <c r="C143" s="4" t="s">
        <v>2290</v>
      </c>
      <c r="D143" s="12">
        <v>3920</v>
      </c>
      <c r="E143" s="4">
        <v>4</v>
      </c>
      <c r="F143" s="4" t="s">
        <v>35</v>
      </c>
      <c r="G143" s="4" t="s">
        <v>2140</v>
      </c>
      <c r="H143" s="5">
        <v>610.22</v>
      </c>
      <c r="I143" s="4"/>
    </row>
    <row r="144" spans="1:9" ht="15.9" x14ac:dyDescent="0.4">
      <c r="A144" s="3">
        <v>46020</v>
      </c>
      <c r="B144" s="4" t="s">
        <v>2179</v>
      </c>
      <c r="C144" s="4" t="s">
        <v>2291</v>
      </c>
      <c r="D144" s="12">
        <v>12886</v>
      </c>
      <c r="E144" s="4">
        <v>17</v>
      </c>
      <c r="F144" s="4" t="s">
        <v>15</v>
      </c>
      <c r="G144" s="4" t="s">
        <v>25</v>
      </c>
      <c r="H144" s="13">
        <v>2100</v>
      </c>
      <c r="I144" s="4"/>
    </row>
    <row r="145" spans="1:9" ht="15.9" x14ac:dyDescent="0.4">
      <c r="A145" s="3">
        <v>46020</v>
      </c>
      <c r="B145" s="4" t="s">
        <v>2292</v>
      </c>
      <c r="C145" s="4" t="s">
        <v>2293</v>
      </c>
      <c r="D145" s="12">
        <v>40960</v>
      </c>
      <c r="E145" s="4">
        <v>47</v>
      </c>
      <c r="F145" s="4" t="s">
        <v>15</v>
      </c>
      <c r="G145" s="4" t="s">
        <v>2160</v>
      </c>
      <c r="H145" s="4"/>
      <c r="I145" s="4"/>
    </row>
    <row r="146" spans="1:9" ht="15.9" x14ac:dyDescent="0.4">
      <c r="A146" s="3">
        <v>46020</v>
      </c>
      <c r="B146" s="4" t="s">
        <v>2146</v>
      </c>
      <c r="C146" s="4" t="s">
        <v>2294</v>
      </c>
      <c r="D146" s="12">
        <v>16199</v>
      </c>
      <c r="E146" s="4">
        <v>20</v>
      </c>
      <c r="F146" s="4" t="s">
        <v>2133</v>
      </c>
      <c r="G146" s="4" t="s">
        <v>25</v>
      </c>
      <c r="H146" s="13">
        <v>1600</v>
      </c>
      <c r="I146" s="4"/>
    </row>
    <row r="147" spans="1:9" ht="15.9" x14ac:dyDescent="0.4">
      <c r="A147" s="3">
        <v>46020</v>
      </c>
      <c r="B147" s="4" t="s">
        <v>2295</v>
      </c>
      <c r="C147" s="4" t="s">
        <v>2296</v>
      </c>
      <c r="D147" s="12">
        <v>38280</v>
      </c>
      <c r="E147" s="4">
        <v>44</v>
      </c>
      <c r="F147" s="4" t="s">
        <v>15</v>
      </c>
      <c r="G147" s="4" t="s">
        <v>2160</v>
      </c>
      <c r="H147" s="4"/>
      <c r="I147" s="4"/>
    </row>
    <row r="148" spans="1:9" ht="15.9" x14ac:dyDescent="0.4">
      <c r="A148" s="3">
        <v>46020</v>
      </c>
      <c r="B148" s="4" t="s">
        <v>2297</v>
      </c>
      <c r="C148" s="4" t="s">
        <v>2298</v>
      </c>
      <c r="D148" s="12">
        <v>16090</v>
      </c>
      <c r="E148" s="4">
        <v>19</v>
      </c>
      <c r="F148" s="4" t="s">
        <v>15</v>
      </c>
      <c r="G148" s="4" t="s">
        <v>832</v>
      </c>
      <c r="H148" s="13">
        <v>2000</v>
      </c>
      <c r="I148" s="4"/>
    </row>
    <row r="149" spans="1:9" ht="15.9" x14ac:dyDescent="0.4">
      <c r="A149" s="3">
        <v>46020</v>
      </c>
      <c r="B149" s="4" t="s">
        <v>2265</v>
      </c>
      <c r="C149" s="4" t="s">
        <v>2299</v>
      </c>
      <c r="D149" s="12">
        <v>36696</v>
      </c>
      <c r="E149" s="4">
        <v>48</v>
      </c>
      <c r="F149" s="4" t="s">
        <v>11</v>
      </c>
      <c r="G149" s="4" t="s">
        <v>2129</v>
      </c>
      <c r="H149" s="13">
        <v>1250</v>
      </c>
      <c r="I149" s="4"/>
    </row>
    <row r="150" spans="1:9" ht="15.9" x14ac:dyDescent="0.4">
      <c r="A150" s="3">
        <v>46020</v>
      </c>
      <c r="B150" s="4" t="s">
        <v>2137</v>
      </c>
      <c r="C150" s="4" t="s">
        <v>2276</v>
      </c>
      <c r="D150" s="12">
        <v>41760</v>
      </c>
      <c r="E150" s="4">
        <v>48</v>
      </c>
      <c r="F150" s="4" t="s">
        <v>11</v>
      </c>
      <c r="G150" s="4" t="s">
        <v>2129</v>
      </c>
      <c r="H150" s="13">
        <v>2400</v>
      </c>
      <c r="I150" s="4"/>
    </row>
    <row r="151" spans="1:9" ht="15.9" x14ac:dyDescent="0.4">
      <c r="A151" s="3">
        <v>46020</v>
      </c>
      <c r="B151" s="4" t="s">
        <v>2148</v>
      </c>
      <c r="C151" s="4" t="s">
        <v>2193</v>
      </c>
      <c r="D151" s="12">
        <v>11310</v>
      </c>
      <c r="E151" s="4">
        <v>13</v>
      </c>
      <c r="F151" s="4" t="s">
        <v>35</v>
      </c>
      <c r="G151" s="4" t="s">
        <v>832</v>
      </c>
      <c r="H151" s="5">
        <v>581.32000000000005</v>
      </c>
      <c r="I151" s="4"/>
    </row>
    <row r="152" spans="1:9" ht="15.9" x14ac:dyDescent="0.4">
      <c r="A152" s="3">
        <v>46020</v>
      </c>
      <c r="B152" s="4" t="s">
        <v>2250</v>
      </c>
      <c r="C152" s="4" t="s">
        <v>2272</v>
      </c>
      <c r="D152" s="12">
        <v>43560</v>
      </c>
      <c r="E152" s="4">
        <v>36</v>
      </c>
      <c r="F152" s="4" t="s">
        <v>11</v>
      </c>
      <c r="G152" s="4" t="s">
        <v>2160</v>
      </c>
      <c r="H152" s="4"/>
      <c r="I152" s="4"/>
    </row>
    <row r="153" spans="1:9" ht="15.9" x14ac:dyDescent="0.4">
      <c r="A153" s="3">
        <v>46020</v>
      </c>
      <c r="B153" s="4" t="s">
        <v>2161</v>
      </c>
      <c r="C153" s="4" t="s">
        <v>2300</v>
      </c>
      <c r="D153" s="12">
        <v>3268</v>
      </c>
      <c r="E153" s="4">
        <v>4</v>
      </c>
      <c r="F153" s="4" t="s">
        <v>35</v>
      </c>
      <c r="G153" s="4" t="s">
        <v>2160</v>
      </c>
      <c r="H153" s="4"/>
      <c r="I153" s="4"/>
    </row>
    <row r="154" spans="1:9" ht="15.9" x14ac:dyDescent="0.4">
      <c r="A154" s="3">
        <v>46020</v>
      </c>
      <c r="B154" s="4" t="s">
        <v>2185</v>
      </c>
      <c r="C154" s="4" t="s">
        <v>2301</v>
      </c>
      <c r="D154" s="12">
        <v>29602</v>
      </c>
      <c r="E154" s="4">
        <v>32</v>
      </c>
      <c r="F154" s="4" t="s">
        <v>15</v>
      </c>
      <c r="G154" s="4" t="s">
        <v>25</v>
      </c>
      <c r="H154" s="13">
        <v>5000</v>
      </c>
      <c r="I154" s="4"/>
    </row>
    <row r="155" spans="1:9" ht="15.9" x14ac:dyDescent="0.4">
      <c r="A155" s="3">
        <v>46021</v>
      </c>
      <c r="B155" s="4" t="s">
        <v>875</v>
      </c>
      <c r="C155" s="4" t="s">
        <v>2302</v>
      </c>
      <c r="D155" s="4">
        <v>41760</v>
      </c>
      <c r="E155" s="4">
        <v>48</v>
      </c>
      <c r="F155" s="4" t="s">
        <v>11</v>
      </c>
      <c r="G155" s="4" t="s">
        <v>2129</v>
      </c>
      <c r="H155" s="5">
        <v>2400</v>
      </c>
      <c r="I155" s="4"/>
    </row>
    <row r="156" spans="1:9" ht="15.9" x14ac:dyDescent="0.4">
      <c r="A156" s="3">
        <v>46021</v>
      </c>
      <c r="B156" s="4" t="s">
        <v>1068</v>
      </c>
      <c r="C156" s="4" t="s">
        <v>2303</v>
      </c>
      <c r="D156" s="4">
        <v>5940</v>
      </c>
      <c r="E156" s="4">
        <v>6</v>
      </c>
      <c r="F156" s="4" t="s">
        <v>35</v>
      </c>
      <c r="G156" s="4" t="s">
        <v>2160</v>
      </c>
      <c r="H156" s="4"/>
      <c r="I156" s="4"/>
    </row>
    <row r="157" spans="1:9" ht="15.9" x14ac:dyDescent="0.4">
      <c r="A157" s="3">
        <v>46021</v>
      </c>
      <c r="B157" s="4" t="s">
        <v>268</v>
      </c>
      <c r="C157" s="4" t="s">
        <v>2304</v>
      </c>
      <c r="D157" s="4">
        <v>29920</v>
      </c>
      <c r="E157" s="4">
        <v>34</v>
      </c>
      <c r="F157" s="4" t="s">
        <v>15</v>
      </c>
      <c r="G157" s="4" t="s">
        <v>25</v>
      </c>
      <c r="H157" s="5">
        <v>2900</v>
      </c>
      <c r="I157" s="4"/>
    </row>
    <row r="158" spans="1:9" ht="15.9" x14ac:dyDescent="0.4">
      <c r="A158" s="4"/>
      <c r="B158" s="4"/>
      <c r="C158" s="4"/>
      <c r="D158" s="4"/>
      <c r="E158" s="4"/>
      <c r="F158" s="4"/>
      <c r="G158" s="4"/>
      <c r="H158" s="4"/>
      <c r="I158" s="4"/>
    </row>
    <row r="159" spans="1:9" ht="15.9" x14ac:dyDescent="0.4">
      <c r="A159" s="4"/>
      <c r="B159" s="4"/>
      <c r="C159" s="4"/>
      <c r="D159" s="4"/>
      <c r="E159" s="4"/>
      <c r="F159" s="4"/>
      <c r="G159" s="4"/>
      <c r="H159" s="4"/>
      <c r="I159" s="4"/>
    </row>
    <row r="160" spans="1:9" ht="15.9" x14ac:dyDescent="0.4">
      <c r="A160" s="4"/>
      <c r="B160" s="4"/>
      <c r="C160" s="4"/>
      <c r="D160" s="4"/>
      <c r="E160" s="4"/>
      <c r="F160" s="4"/>
      <c r="G160" s="4"/>
      <c r="H160" s="4"/>
      <c r="I160" s="4"/>
    </row>
    <row r="161" spans="1:9" ht="15.9" x14ac:dyDescent="0.4">
      <c r="A161" s="4"/>
      <c r="B161" s="4"/>
      <c r="C161" s="4"/>
      <c r="D161" s="4"/>
      <c r="E161" s="4"/>
      <c r="F161" s="4"/>
      <c r="G161" s="4"/>
      <c r="H161" s="4"/>
      <c r="I161" s="4"/>
    </row>
    <row r="162" spans="1:9" ht="15.9" x14ac:dyDescent="0.4">
      <c r="A162" s="4"/>
      <c r="B162" s="4"/>
      <c r="C162" s="4"/>
      <c r="D162" s="4"/>
      <c r="E162" s="4"/>
      <c r="F162" s="4"/>
      <c r="G162" s="4"/>
      <c r="H162" s="4"/>
      <c r="I162" s="4"/>
    </row>
    <row r="163" spans="1:9" ht="15.9" x14ac:dyDescent="0.4">
      <c r="A163" s="4"/>
      <c r="B163" s="4"/>
      <c r="C163" s="4"/>
      <c r="D163" s="4"/>
      <c r="E163" s="4"/>
      <c r="F163" s="4"/>
      <c r="G163" s="4"/>
      <c r="H163" s="4"/>
      <c r="I163" s="4"/>
    </row>
    <row r="164" spans="1:9" ht="15.9" x14ac:dyDescent="0.4">
      <c r="A164" s="4"/>
      <c r="B164" s="4"/>
      <c r="C164" s="4"/>
      <c r="D164" s="4"/>
      <c r="E164" s="4"/>
      <c r="F164" s="4"/>
      <c r="G164" s="4"/>
      <c r="H164" s="4"/>
      <c r="I164" s="4"/>
    </row>
    <row r="165" spans="1:9" ht="15.9" x14ac:dyDescent="0.4">
      <c r="A165" s="4"/>
      <c r="B165" s="4"/>
      <c r="C165" s="4"/>
      <c r="D165" s="4"/>
      <c r="E165" s="4"/>
      <c r="F165" s="4"/>
      <c r="G165" s="4"/>
      <c r="H165" s="4"/>
      <c r="I165" s="4"/>
    </row>
    <row r="166" spans="1:9" ht="15.9" x14ac:dyDescent="0.4">
      <c r="A166" s="4"/>
      <c r="B166" s="4"/>
      <c r="C166" s="4"/>
      <c r="D166" s="4"/>
      <c r="E166" s="4"/>
      <c r="F166" s="4"/>
      <c r="G166" s="4"/>
      <c r="H166" s="4"/>
      <c r="I166" s="4"/>
    </row>
    <row r="167" spans="1:9" ht="15.9" x14ac:dyDescent="0.4">
      <c r="A167" s="4"/>
      <c r="B167" s="4"/>
      <c r="C167" s="4"/>
      <c r="D167" s="4"/>
      <c r="E167" s="4"/>
      <c r="F167" s="4"/>
      <c r="G167" s="4"/>
      <c r="H167" s="4"/>
      <c r="I167" s="4"/>
    </row>
    <row r="168" spans="1:9" ht="15.9" x14ac:dyDescent="0.4">
      <c r="A168" s="4"/>
      <c r="B168" s="4"/>
      <c r="C168" s="4"/>
      <c r="D168" s="4"/>
      <c r="E168" s="4"/>
      <c r="F168" s="4"/>
      <c r="G168" s="4"/>
      <c r="H168" s="4"/>
      <c r="I168" s="4"/>
    </row>
    <row r="169" spans="1:9" ht="15.9" x14ac:dyDescent="0.4">
      <c r="A169" s="4"/>
      <c r="B169" s="4"/>
      <c r="C169" s="4"/>
      <c r="D169" s="4"/>
      <c r="E169" s="4"/>
      <c r="F169" s="4"/>
      <c r="G169" s="4"/>
      <c r="H169" s="4"/>
      <c r="I169" s="4"/>
    </row>
    <row r="170" spans="1:9" ht="15.9" x14ac:dyDescent="0.4">
      <c r="A170" s="4"/>
      <c r="B170" s="4"/>
      <c r="C170" s="4"/>
      <c r="D170" s="4"/>
      <c r="E170" s="4"/>
      <c r="F170" s="4"/>
      <c r="G170" s="4"/>
      <c r="H170" s="4"/>
      <c r="I170" s="4"/>
    </row>
    <row r="171" spans="1:9" ht="15.9" x14ac:dyDescent="0.4">
      <c r="A171" s="4"/>
      <c r="B171" s="4"/>
      <c r="C171" s="4"/>
      <c r="D171" s="4"/>
      <c r="E171" s="4"/>
      <c r="F171" s="4"/>
      <c r="G171" s="4"/>
      <c r="H171" s="4"/>
      <c r="I171" s="4"/>
    </row>
    <row r="172" spans="1:9" ht="15.9" x14ac:dyDescent="0.4">
      <c r="A172" s="4"/>
      <c r="B172" s="4"/>
      <c r="C172" s="4"/>
      <c r="D172" s="4"/>
      <c r="E172" s="4"/>
      <c r="F172" s="4"/>
      <c r="G172" s="4"/>
      <c r="H172" s="4"/>
      <c r="I172" s="4"/>
    </row>
    <row r="173" spans="1:9" ht="15.9" x14ac:dyDescent="0.4">
      <c r="A173" s="4"/>
      <c r="B173" s="4"/>
      <c r="C173" s="4"/>
      <c r="D173" s="4"/>
      <c r="E173" s="4"/>
      <c r="F173" s="4"/>
      <c r="G173" s="4"/>
      <c r="H173" s="4"/>
      <c r="I173" s="4"/>
    </row>
    <row r="174" spans="1:9" ht="15.9" x14ac:dyDescent="0.4">
      <c r="A174" s="4"/>
      <c r="B174" s="4"/>
      <c r="C174" s="4"/>
      <c r="D174" s="4"/>
      <c r="E174" s="4"/>
      <c r="F174" s="4"/>
      <c r="G174" s="4"/>
      <c r="H174" s="4"/>
      <c r="I174" s="4"/>
    </row>
    <row r="175" spans="1:9" ht="15.9" x14ac:dyDescent="0.4">
      <c r="A175" s="4"/>
      <c r="B175" s="4"/>
      <c r="C175" s="4"/>
      <c r="D175" s="4"/>
      <c r="E175" s="4"/>
      <c r="F175" s="4"/>
      <c r="G175" s="4"/>
      <c r="H175" s="4"/>
      <c r="I175" s="4"/>
    </row>
    <row r="176" spans="1:9" ht="15.9" x14ac:dyDescent="0.4">
      <c r="A176" s="4"/>
      <c r="B176" s="4"/>
      <c r="C176" s="4"/>
      <c r="D176" s="4"/>
      <c r="E176" s="4"/>
      <c r="F176" s="4"/>
      <c r="G176" s="4"/>
      <c r="H176" s="4"/>
      <c r="I176" s="4"/>
    </row>
    <row r="177" spans="1:9" ht="15.9" x14ac:dyDescent="0.4">
      <c r="A177" s="4"/>
      <c r="B177" s="4"/>
      <c r="C177" s="4"/>
      <c r="D177" s="4"/>
      <c r="E177" s="4"/>
      <c r="F177" s="4"/>
      <c r="G177" s="4"/>
      <c r="H177" s="4"/>
      <c r="I177" s="4"/>
    </row>
    <row r="178" spans="1:9" ht="15.9" x14ac:dyDescent="0.4">
      <c r="A178" s="4"/>
      <c r="B178" s="4"/>
      <c r="C178" s="4"/>
      <c r="D178" s="4"/>
      <c r="E178" s="4"/>
      <c r="F178" s="4"/>
      <c r="G178" s="4"/>
      <c r="H178" s="4"/>
      <c r="I178" s="4"/>
    </row>
    <row r="179" spans="1:9" ht="15.9" x14ac:dyDescent="0.4">
      <c r="A179" s="4"/>
      <c r="B179" s="4"/>
      <c r="C179" s="4"/>
      <c r="D179" s="4"/>
      <c r="E179" s="4"/>
      <c r="F179" s="4"/>
      <c r="G179" s="4"/>
      <c r="H179" s="4"/>
      <c r="I179" s="4"/>
    </row>
    <row r="180" spans="1:9" ht="15.9" x14ac:dyDescent="0.4">
      <c r="A180" s="4"/>
      <c r="B180" s="4"/>
      <c r="C180" s="4"/>
      <c r="D180" s="4"/>
      <c r="E180" s="4"/>
      <c r="F180" s="4"/>
      <c r="G180" s="4"/>
      <c r="H180" s="4"/>
      <c r="I180" s="4"/>
    </row>
    <row r="181" spans="1:9" ht="15.9" x14ac:dyDescent="0.4">
      <c r="A181" s="4"/>
      <c r="B181" s="4"/>
      <c r="C181" s="4"/>
      <c r="D181" s="4"/>
      <c r="E181" s="4"/>
      <c r="F181" s="4"/>
      <c r="G181" s="4"/>
      <c r="H181" s="4"/>
      <c r="I181" s="4"/>
    </row>
    <row r="182" spans="1:9" ht="15.9" x14ac:dyDescent="0.4">
      <c r="A182" s="4"/>
      <c r="B182" s="4"/>
      <c r="C182" s="4"/>
      <c r="D182" s="4"/>
      <c r="E182" s="4"/>
      <c r="F182" s="4"/>
      <c r="G182" s="4"/>
      <c r="H182" s="4"/>
      <c r="I182" s="4"/>
    </row>
    <row r="183" spans="1:9" ht="15.9" x14ac:dyDescent="0.4">
      <c r="A183" s="4"/>
      <c r="B183" s="4"/>
      <c r="C183" s="4"/>
      <c r="D183" s="4"/>
      <c r="E183" s="4"/>
      <c r="F183" s="4"/>
      <c r="G183" s="4"/>
      <c r="H183" s="4"/>
      <c r="I183" s="4"/>
    </row>
    <row r="184" spans="1:9" ht="15.9" x14ac:dyDescent="0.4">
      <c r="A184" s="4"/>
      <c r="B184" s="4"/>
      <c r="C184" s="4"/>
      <c r="D184" s="4"/>
      <c r="E184" s="4"/>
      <c r="F184" s="4"/>
      <c r="G184" s="4"/>
      <c r="H184" s="4"/>
      <c r="I184" s="4"/>
    </row>
    <row r="185" spans="1:9" ht="15.9" x14ac:dyDescent="0.4">
      <c r="A185" s="4"/>
      <c r="B185" s="4"/>
      <c r="C185" s="4"/>
      <c r="D185" s="4"/>
      <c r="E185" s="4"/>
      <c r="F185" s="4"/>
      <c r="G185" s="4"/>
      <c r="H185" s="4"/>
      <c r="I185" s="4"/>
    </row>
    <row r="186" spans="1:9" ht="15.9" x14ac:dyDescent="0.4">
      <c r="A186" s="4"/>
      <c r="B186" s="4"/>
      <c r="C186" s="4"/>
      <c r="D186" s="4"/>
      <c r="E186" s="4"/>
      <c r="F186" s="4"/>
      <c r="G186" s="4"/>
      <c r="H186" s="4"/>
      <c r="I186" s="4"/>
    </row>
    <row r="187" spans="1:9" ht="15.9" x14ac:dyDescent="0.4">
      <c r="A187" s="4"/>
      <c r="B187" s="4"/>
      <c r="C187" s="4"/>
      <c r="D187" s="4"/>
      <c r="E187" s="4"/>
      <c r="F187" s="4"/>
      <c r="G187" s="4"/>
      <c r="H187" s="4"/>
      <c r="I187" s="4"/>
    </row>
    <row r="188" spans="1:9" ht="15.9" x14ac:dyDescent="0.4">
      <c r="A188" s="4"/>
      <c r="B188" s="4"/>
      <c r="C188" s="4"/>
      <c r="D188" s="4"/>
      <c r="E188" s="4"/>
      <c r="F188" s="4"/>
      <c r="G188" s="4"/>
      <c r="H188" s="4"/>
      <c r="I188" s="4"/>
    </row>
    <row r="189" spans="1:9" ht="15.9" x14ac:dyDescent="0.4">
      <c r="A189" s="4"/>
      <c r="B189" s="4"/>
      <c r="C189" s="4"/>
      <c r="D189" s="4"/>
      <c r="E189" s="4"/>
      <c r="F189" s="4"/>
      <c r="G189" s="4"/>
      <c r="H189" s="4"/>
      <c r="I189" s="4"/>
    </row>
    <row r="190" spans="1:9" ht="15.9" x14ac:dyDescent="0.4">
      <c r="A190" s="4"/>
      <c r="B190" s="4"/>
      <c r="C190" s="4"/>
      <c r="D190" s="4"/>
      <c r="E190" s="4"/>
      <c r="F190" s="4"/>
      <c r="G190" s="4"/>
      <c r="H190" s="4"/>
      <c r="I190" s="4"/>
    </row>
    <row r="191" spans="1:9" ht="15.9" x14ac:dyDescent="0.4">
      <c r="A191" s="4"/>
      <c r="B191" s="4"/>
      <c r="C191" s="4"/>
      <c r="D191" s="4"/>
      <c r="E191" s="4"/>
      <c r="F191" s="4"/>
      <c r="G191" s="4"/>
      <c r="H191" s="4"/>
      <c r="I191" s="4"/>
    </row>
    <row r="192" spans="1:9" ht="15.9" x14ac:dyDescent="0.4">
      <c r="A192" s="4"/>
      <c r="B192" s="4"/>
      <c r="C192" s="4"/>
      <c r="D192" s="4"/>
      <c r="E192" s="4"/>
      <c r="F192" s="4"/>
      <c r="G192" s="4"/>
      <c r="H192" s="4"/>
      <c r="I192" s="4"/>
    </row>
    <row r="193" spans="1:9" ht="15.9" x14ac:dyDescent="0.4">
      <c r="A193" s="4"/>
      <c r="B193" s="4"/>
      <c r="C193" s="4"/>
      <c r="D193" s="4"/>
      <c r="E193" s="4"/>
      <c r="F193" s="4"/>
      <c r="G193" s="4"/>
      <c r="H193" s="4"/>
      <c r="I193" s="4"/>
    </row>
    <row r="194" spans="1:9" ht="15.9" x14ac:dyDescent="0.4">
      <c r="A194" s="4"/>
      <c r="B194" s="4"/>
      <c r="C194" s="4"/>
      <c r="D194" s="4"/>
      <c r="E194" s="4"/>
      <c r="F194" s="4"/>
      <c r="G194" s="4"/>
      <c r="H194" s="4"/>
      <c r="I194" s="4"/>
    </row>
    <row r="195" spans="1:9" ht="15.9" x14ac:dyDescent="0.4">
      <c r="A195" s="4"/>
      <c r="B195" s="4"/>
      <c r="C195" s="4"/>
      <c r="D195" s="4"/>
      <c r="E195" s="4"/>
      <c r="F195" s="4"/>
      <c r="G195" s="4"/>
      <c r="H195" s="4"/>
      <c r="I195" s="4"/>
    </row>
    <row r="196" spans="1:9" ht="15.9" x14ac:dyDescent="0.4">
      <c r="A196" s="4"/>
      <c r="B196" s="4"/>
      <c r="C196" s="4"/>
      <c r="D196" s="4"/>
      <c r="E196" s="4"/>
      <c r="F196" s="4"/>
      <c r="G196" s="4"/>
      <c r="H196" s="4"/>
      <c r="I196" s="4"/>
    </row>
    <row r="197" spans="1:9" ht="15.9" x14ac:dyDescent="0.4">
      <c r="A197" s="4"/>
      <c r="B197" s="4"/>
      <c r="C197" s="4"/>
      <c r="D197" s="4"/>
      <c r="E197" s="4"/>
      <c r="F197" s="4"/>
      <c r="G197" s="4"/>
      <c r="H197" s="4"/>
      <c r="I197" s="4"/>
    </row>
    <row r="198" spans="1:9" ht="15.9" x14ac:dyDescent="0.4">
      <c r="A198" s="4"/>
      <c r="B198" s="4"/>
      <c r="C198" s="4"/>
      <c r="D198" s="4"/>
      <c r="E198" s="4"/>
      <c r="F198" s="4"/>
      <c r="G198" s="4"/>
      <c r="H198" s="4"/>
      <c r="I198" s="4"/>
    </row>
    <row r="199" spans="1:9" ht="15.9" x14ac:dyDescent="0.4">
      <c r="A199" s="4"/>
      <c r="B199" s="4"/>
      <c r="C199" s="4"/>
      <c r="D199" s="4"/>
      <c r="E199" s="4"/>
      <c r="F199" s="4"/>
      <c r="G199" s="4"/>
      <c r="H199" s="4"/>
      <c r="I199" s="4"/>
    </row>
    <row r="200" spans="1:9" ht="15.9" x14ac:dyDescent="0.4">
      <c r="A200" s="4"/>
      <c r="B200" s="4"/>
      <c r="C200" s="4"/>
      <c r="D200" s="4"/>
      <c r="E200" s="4"/>
      <c r="F200" s="4"/>
      <c r="G200" s="4"/>
      <c r="H200" s="4"/>
      <c r="I200" s="4"/>
    </row>
    <row r="201" spans="1:9" ht="15.9" x14ac:dyDescent="0.4">
      <c r="A201" s="4"/>
      <c r="B201" s="4"/>
      <c r="C201" s="4"/>
      <c r="D201" s="4"/>
      <c r="E201" s="4"/>
      <c r="F201" s="4"/>
      <c r="G201" s="4"/>
      <c r="H201" s="4"/>
      <c r="I201" s="4"/>
    </row>
    <row r="202" spans="1:9" ht="15.9" x14ac:dyDescent="0.4">
      <c r="A202" s="4"/>
      <c r="B202" s="4"/>
      <c r="C202" s="4"/>
      <c r="D202" s="4"/>
      <c r="E202" s="4"/>
      <c r="F202" s="4"/>
      <c r="G202" s="4"/>
      <c r="H202" s="4"/>
      <c r="I202" s="4"/>
    </row>
    <row r="203" spans="1:9" ht="15.9" x14ac:dyDescent="0.4">
      <c r="A203" s="4"/>
      <c r="B203" s="4"/>
      <c r="C203" s="4"/>
      <c r="D203" s="4"/>
      <c r="E203" s="4"/>
      <c r="F203" s="4"/>
      <c r="G203" s="4"/>
      <c r="H203" s="4"/>
      <c r="I203" s="4"/>
    </row>
    <row r="204" spans="1:9" ht="15.9" x14ac:dyDescent="0.4">
      <c r="A204" s="4"/>
      <c r="B204" s="4"/>
      <c r="C204" s="4"/>
      <c r="D204" s="4"/>
      <c r="E204" s="4"/>
      <c r="F204" s="4"/>
      <c r="G204" s="4"/>
      <c r="H204" s="4"/>
      <c r="I204" s="4"/>
    </row>
    <row r="205" spans="1:9" ht="15.9" x14ac:dyDescent="0.4">
      <c r="A205" s="4"/>
      <c r="B205" s="4"/>
      <c r="C205" s="4"/>
      <c r="D205" s="4"/>
      <c r="E205" s="4"/>
      <c r="F205" s="4"/>
      <c r="G205" s="4"/>
      <c r="H205" s="4"/>
      <c r="I205" s="4"/>
    </row>
    <row r="206" spans="1:9" ht="15.9" x14ac:dyDescent="0.4">
      <c r="A206" s="4"/>
      <c r="B206" s="4"/>
      <c r="C206" s="4"/>
      <c r="D206" s="4"/>
      <c r="E206" s="4"/>
      <c r="F206" s="4"/>
      <c r="G206" s="4"/>
      <c r="H206" s="4"/>
      <c r="I206" s="4"/>
    </row>
    <row r="207" spans="1:9" ht="15.9" x14ac:dyDescent="0.4">
      <c r="A207" s="4"/>
      <c r="B207" s="4"/>
      <c r="C207" s="4"/>
      <c r="D207" s="4"/>
      <c r="E207" s="4"/>
      <c r="F207" s="4"/>
      <c r="G207" s="4"/>
      <c r="H207" s="4"/>
      <c r="I207" s="4"/>
    </row>
    <row r="208" spans="1:9" ht="15.9" x14ac:dyDescent="0.4">
      <c r="A208" s="4"/>
      <c r="B208" s="4"/>
      <c r="C208" s="4"/>
      <c r="D208" s="4"/>
      <c r="E208" s="4"/>
      <c r="F208" s="4"/>
      <c r="G208" s="4"/>
      <c r="H208" s="4"/>
      <c r="I208" s="4"/>
    </row>
    <row r="209" spans="1:9" ht="15.9" x14ac:dyDescent="0.4">
      <c r="A209" s="4"/>
      <c r="B209" s="4"/>
      <c r="C209" s="4"/>
      <c r="D209" s="4"/>
      <c r="E209" s="4"/>
      <c r="F209" s="4"/>
      <c r="G209" s="4"/>
      <c r="H209" s="4"/>
      <c r="I209" s="4"/>
    </row>
    <row r="210" spans="1:9" ht="15.9" x14ac:dyDescent="0.4">
      <c r="A210" s="4"/>
      <c r="B210" s="4"/>
      <c r="C210" s="4"/>
      <c r="D210" s="4"/>
      <c r="E210" s="4"/>
      <c r="F210" s="4"/>
      <c r="G210" s="4"/>
      <c r="H210" s="4"/>
      <c r="I210" s="4"/>
    </row>
    <row r="211" spans="1:9" ht="15.9" x14ac:dyDescent="0.4">
      <c r="A211" s="4"/>
      <c r="B211" s="4"/>
      <c r="C211" s="4"/>
      <c r="D211" s="4"/>
      <c r="E211" s="4"/>
      <c r="F211" s="4"/>
      <c r="G211" s="4"/>
      <c r="H211" s="4"/>
      <c r="I211" s="4"/>
    </row>
    <row r="212" spans="1:9" ht="15.9" x14ac:dyDescent="0.4">
      <c r="A212" s="4"/>
      <c r="B212" s="4"/>
      <c r="C212" s="4"/>
      <c r="D212" s="4"/>
      <c r="E212" s="4"/>
      <c r="F212" s="4"/>
      <c r="G212" s="4"/>
      <c r="H212" s="4"/>
      <c r="I212" s="4"/>
    </row>
    <row r="213" spans="1:9" ht="15.9" x14ac:dyDescent="0.4">
      <c r="A213" s="4"/>
      <c r="B213" s="4"/>
      <c r="C213" s="4"/>
      <c r="D213" s="4"/>
      <c r="E213" s="4"/>
      <c r="F213" s="4"/>
      <c r="G213" s="4"/>
      <c r="H213" s="4"/>
      <c r="I213" s="4"/>
    </row>
    <row r="214" spans="1:9" ht="15.9" x14ac:dyDescent="0.4">
      <c r="A214" s="4"/>
      <c r="B214" s="4"/>
      <c r="C214" s="4"/>
      <c r="D214" s="4"/>
      <c r="E214" s="4"/>
      <c r="F214" s="4"/>
      <c r="G214" s="4"/>
      <c r="H214" s="4"/>
      <c r="I214" s="4"/>
    </row>
    <row r="215" spans="1:9" ht="15.9" x14ac:dyDescent="0.4">
      <c r="A215" s="4"/>
      <c r="B215" s="4"/>
      <c r="C215" s="4"/>
      <c r="D215" s="4"/>
      <c r="E215" s="4"/>
      <c r="F215" s="4"/>
      <c r="G215" s="4"/>
      <c r="H215" s="4"/>
      <c r="I215" s="4"/>
    </row>
    <row r="216" spans="1:9" ht="15.9" x14ac:dyDescent="0.4">
      <c r="A216" s="4"/>
      <c r="B216" s="4"/>
      <c r="C216" s="4"/>
      <c r="D216" s="4"/>
      <c r="E216" s="4"/>
      <c r="F216" s="4"/>
      <c r="G216" s="4"/>
      <c r="H216" s="4"/>
      <c r="I216" s="4"/>
    </row>
    <row r="217" spans="1:9" ht="15.9" x14ac:dyDescent="0.4">
      <c r="A217" s="4"/>
      <c r="B217" s="4"/>
      <c r="C217" s="4"/>
      <c r="D217" s="4"/>
      <c r="E217" s="4"/>
      <c r="F217" s="4"/>
      <c r="G217" s="4"/>
      <c r="H217" s="4"/>
      <c r="I217" s="4"/>
    </row>
    <row r="218" spans="1:9" ht="15.9" x14ac:dyDescent="0.4">
      <c r="A218" s="4"/>
      <c r="B218" s="4"/>
      <c r="C218" s="4"/>
      <c r="D218" s="4"/>
      <c r="E218" s="4"/>
      <c r="F218" s="4"/>
      <c r="G218" s="4"/>
      <c r="H218" s="4"/>
      <c r="I218" s="4"/>
    </row>
    <row r="219" spans="1:9" ht="15.9" x14ac:dyDescent="0.4">
      <c r="A219" s="4"/>
      <c r="B219" s="4"/>
      <c r="C219" s="4"/>
      <c r="D219" s="4"/>
      <c r="E219" s="4"/>
      <c r="F219" s="4"/>
      <c r="G219" s="4"/>
      <c r="H219" s="4"/>
      <c r="I219" s="4"/>
    </row>
    <row r="220" spans="1:9" ht="15.9" x14ac:dyDescent="0.4">
      <c r="A220" s="4"/>
      <c r="B220" s="4"/>
      <c r="C220" s="4"/>
      <c r="D220" s="4"/>
      <c r="E220" s="4"/>
      <c r="F220" s="4"/>
      <c r="G220" s="4"/>
      <c r="H220" s="4"/>
      <c r="I220" s="4"/>
    </row>
    <row r="221" spans="1:9" ht="15.9" x14ac:dyDescent="0.4">
      <c r="A221" s="4"/>
      <c r="B221" s="4"/>
      <c r="C221" s="4"/>
      <c r="D221" s="4"/>
      <c r="E221" s="4"/>
      <c r="F221" s="4"/>
      <c r="G221" s="4"/>
      <c r="H221" s="4"/>
      <c r="I221" s="4"/>
    </row>
    <row r="222" spans="1:9" ht="15.9" x14ac:dyDescent="0.4">
      <c r="A222" s="4"/>
      <c r="B222" s="4"/>
      <c r="C222" s="4"/>
      <c r="D222" s="4"/>
      <c r="E222" s="4"/>
      <c r="F222" s="4"/>
      <c r="G222" s="4"/>
      <c r="H222" s="4"/>
      <c r="I222" s="4"/>
    </row>
    <row r="223" spans="1:9" ht="15.9" x14ac:dyDescent="0.4">
      <c r="A223" s="4"/>
      <c r="B223" s="4"/>
      <c r="C223" s="4"/>
      <c r="D223" s="4"/>
      <c r="E223" s="4"/>
      <c r="F223" s="4"/>
      <c r="G223" s="4"/>
      <c r="H223" s="4"/>
      <c r="I223" s="4"/>
    </row>
    <row r="224" spans="1:9" ht="15.9" x14ac:dyDescent="0.4">
      <c r="A224" s="4"/>
      <c r="B224" s="4"/>
      <c r="C224" s="4"/>
      <c r="D224" s="4"/>
      <c r="E224" s="4"/>
      <c r="F224" s="4"/>
      <c r="G224" s="4"/>
      <c r="H224" s="4"/>
      <c r="I224" s="4"/>
    </row>
    <row r="225" spans="1:9" ht="15.9" x14ac:dyDescent="0.4">
      <c r="A225" s="4"/>
      <c r="B225" s="4"/>
      <c r="C225" s="4"/>
      <c r="D225" s="4"/>
      <c r="E225" s="4"/>
      <c r="F225" s="4"/>
      <c r="G225" s="4"/>
      <c r="H225" s="4"/>
      <c r="I225" s="4"/>
    </row>
    <row r="226" spans="1:9" ht="15.9" x14ac:dyDescent="0.4">
      <c r="A226" s="4"/>
      <c r="B226" s="4"/>
      <c r="C226" s="4"/>
      <c r="D226" s="4"/>
      <c r="E226" s="4"/>
      <c r="F226" s="4"/>
      <c r="G226" s="4"/>
      <c r="H226" s="4"/>
      <c r="I226" s="4"/>
    </row>
    <row r="227" spans="1:9" ht="15.9" x14ac:dyDescent="0.4">
      <c r="A227" s="4"/>
      <c r="B227" s="4"/>
      <c r="C227" s="4"/>
      <c r="D227" s="4"/>
      <c r="E227" s="4"/>
      <c r="F227" s="4"/>
      <c r="G227" s="4"/>
      <c r="H227" s="4"/>
      <c r="I227" s="4"/>
    </row>
    <row r="228" spans="1:9" ht="15.9" x14ac:dyDescent="0.4">
      <c r="A228" s="4"/>
      <c r="B228" s="4"/>
      <c r="C228" s="4"/>
      <c r="D228" s="4"/>
      <c r="E228" s="4"/>
      <c r="F228" s="4"/>
      <c r="G228" s="4"/>
      <c r="H228" s="4"/>
      <c r="I228" s="4"/>
    </row>
    <row r="229" spans="1:9" ht="15.9" x14ac:dyDescent="0.4">
      <c r="A229" s="4"/>
      <c r="B229" s="4"/>
      <c r="C229" s="4"/>
      <c r="D229" s="4"/>
      <c r="E229" s="4"/>
      <c r="F229" s="4"/>
      <c r="G229" s="4"/>
      <c r="H229" s="4"/>
      <c r="I229" s="4"/>
    </row>
    <row r="230" spans="1:9" ht="15.9" x14ac:dyDescent="0.4">
      <c r="A230" s="4"/>
      <c r="B230" s="4"/>
      <c r="C230" s="4"/>
      <c r="D230" s="4"/>
      <c r="E230" s="4"/>
      <c r="F230" s="4"/>
      <c r="G230" s="4"/>
      <c r="H230" s="4"/>
      <c r="I230" s="4"/>
    </row>
    <row r="231" spans="1:9" ht="15.9" x14ac:dyDescent="0.4">
      <c r="A231" s="4"/>
      <c r="B231" s="4"/>
      <c r="C231" s="4"/>
      <c r="D231" s="4"/>
      <c r="E231" s="4"/>
      <c r="F231" s="4"/>
      <c r="G231" s="4"/>
      <c r="H231" s="4"/>
      <c r="I231" s="4"/>
    </row>
    <row r="232" spans="1:9" ht="15.9" x14ac:dyDescent="0.4">
      <c r="A232" s="4"/>
      <c r="B232" s="4"/>
      <c r="C232" s="4"/>
      <c r="D232" s="4"/>
      <c r="E232" s="4"/>
      <c r="F232" s="4"/>
      <c r="G232" s="4"/>
      <c r="H232" s="4"/>
      <c r="I232" s="4"/>
    </row>
    <row r="233" spans="1:9" ht="15.9" x14ac:dyDescent="0.4">
      <c r="A233" s="4"/>
      <c r="B233" s="4"/>
      <c r="C233" s="4"/>
      <c r="D233" s="4"/>
      <c r="E233" s="4"/>
      <c r="F233" s="4"/>
      <c r="G233" s="4"/>
      <c r="H233" s="4"/>
      <c r="I233" s="4"/>
    </row>
    <row r="234" spans="1:9" ht="15.9" x14ac:dyDescent="0.4">
      <c r="A234" s="4"/>
      <c r="B234" s="4"/>
      <c r="C234" s="4"/>
      <c r="D234" s="4"/>
      <c r="E234" s="4"/>
      <c r="F234" s="4"/>
      <c r="G234" s="4"/>
      <c r="H234" s="4"/>
      <c r="I234" s="4"/>
    </row>
    <row r="235" spans="1:9" ht="15.9" x14ac:dyDescent="0.4">
      <c r="A235" s="4"/>
      <c r="B235" s="4"/>
      <c r="C235" s="4"/>
      <c r="D235" s="4"/>
      <c r="E235" s="4"/>
      <c r="F235" s="4"/>
      <c r="G235" s="4"/>
      <c r="H235" s="4"/>
      <c r="I235" s="4"/>
    </row>
    <row r="236" spans="1:9" ht="15.9" x14ac:dyDescent="0.4">
      <c r="A236" s="4"/>
      <c r="B236" s="4"/>
      <c r="C236" s="4"/>
      <c r="D236" s="4"/>
      <c r="E236" s="4"/>
      <c r="F236" s="4"/>
      <c r="G236" s="4"/>
      <c r="H236" s="4"/>
      <c r="I236" s="4"/>
    </row>
    <row r="237" spans="1:9" ht="15.9" x14ac:dyDescent="0.4">
      <c r="A237" s="4"/>
      <c r="B237" s="4"/>
      <c r="C237" s="4"/>
      <c r="D237" s="4"/>
      <c r="E237" s="4"/>
      <c r="F237" s="4"/>
      <c r="G237" s="4"/>
      <c r="H237" s="4"/>
      <c r="I237" s="4"/>
    </row>
    <row r="238" spans="1:9" ht="15.9" x14ac:dyDescent="0.4">
      <c r="A238" s="4"/>
      <c r="B238" s="4"/>
      <c r="C238" s="4"/>
      <c r="D238" s="4"/>
      <c r="E238" s="4"/>
      <c r="F238" s="4"/>
      <c r="G238" s="4"/>
      <c r="H238" s="4"/>
      <c r="I238" s="4"/>
    </row>
    <row r="239" spans="1:9" ht="15.9" x14ac:dyDescent="0.4">
      <c r="A239" s="4"/>
      <c r="B239" s="4"/>
      <c r="C239" s="4"/>
      <c r="D239" s="4"/>
      <c r="E239" s="4"/>
      <c r="F239" s="4"/>
      <c r="G239" s="4"/>
      <c r="H239" s="4"/>
      <c r="I239" s="4"/>
    </row>
    <row r="240" spans="1:9" ht="15.9" x14ac:dyDescent="0.4">
      <c r="A240" s="4"/>
      <c r="B240" s="4"/>
      <c r="C240" s="4"/>
      <c r="D240" s="4"/>
      <c r="E240" s="4"/>
      <c r="F240" s="4"/>
      <c r="G240" s="4"/>
      <c r="H240" s="4"/>
      <c r="I240" s="4"/>
    </row>
    <row r="241" spans="1:9" ht="15.9" x14ac:dyDescent="0.4">
      <c r="A241" s="4"/>
      <c r="B241" s="4"/>
      <c r="C241" s="4"/>
      <c r="D241" s="4"/>
      <c r="E241" s="4"/>
      <c r="F241" s="4"/>
      <c r="G241" s="4"/>
      <c r="H241" s="4"/>
      <c r="I241" s="4"/>
    </row>
    <row r="242" spans="1:9" ht="15.9" x14ac:dyDescent="0.4">
      <c r="A242" s="4"/>
      <c r="B242" s="4"/>
      <c r="C242" s="4"/>
      <c r="D242" s="4"/>
      <c r="E242" s="4"/>
      <c r="F242" s="4"/>
      <c r="G242" s="4"/>
      <c r="H242" s="4"/>
      <c r="I242" s="4"/>
    </row>
    <row r="243" spans="1:9" ht="15.9" x14ac:dyDescent="0.4">
      <c r="A243" s="4"/>
      <c r="B243" s="4"/>
      <c r="C243" s="4"/>
      <c r="D243" s="4"/>
      <c r="E243" s="4"/>
      <c r="F243" s="4"/>
      <c r="G243" s="4"/>
      <c r="H243" s="4"/>
      <c r="I243" s="4"/>
    </row>
    <row r="244" spans="1:9" ht="15.9" x14ac:dyDescent="0.4">
      <c r="A244" s="4"/>
      <c r="B244" s="4"/>
      <c r="C244" s="4"/>
      <c r="D244" s="4"/>
      <c r="E244" s="4"/>
      <c r="F244" s="4"/>
      <c r="G244" s="4"/>
      <c r="H244" s="4"/>
      <c r="I244" s="4"/>
    </row>
    <row r="245" spans="1:9" ht="15.9" x14ac:dyDescent="0.4">
      <c r="A245" s="4"/>
      <c r="B245" s="4"/>
      <c r="C245" s="4"/>
      <c r="D245" s="4"/>
      <c r="E245" s="4"/>
      <c r="F245" s="4"/>
      <c r="G245" s="4"/>
      <c r="H245" s="4"/>
      <c r="I245" s="4"/>
    </row>
    <row r="246" spans="1:9" ht="15.9" x14ac:dyDescent="0.4">
      <c r="A246" s="4"/>
      <c r="B246" s="4"/>
      <c r="C246" s="4"/>
      <c r="D246" s="4"/>
      <c r="E246" s="4"/>
      <c r="F246" s="4"/>
      <c r="G246" s="4"/>
      <c r="H246" s="4"/>
      <c r="I246" s="4"/>
    </row>
    <row r="247" spans="1:9" ht="15.9" x14ac:dyDescent="0.4">
      <c r="A247" s="4"/>
      <c r="B247" s="4"/>
      <c r="C247" s="4"/>
      <c r="D247" s="4"/>
      <c r="E247" s="4"/>
      <c r="F247" s="4"/>
      <c r="G247" s="4"/>
      <c r="H247" s="4"/>
      <c r="I247" s="4"/>
    </row>
    <row r="248" spans="1:9" ht="15.9" x14ac:dyDescent="0.4">
      <c r="A248" s="4"/>
      <c r="B248" s="4"/>
      <c r="C248" s="4"/>
      <c r="D248" s="4"/>
      <c r="E248" s="4"/>
      <c r="F248" s="4"/>
      <c r="G248" s="4"/>
      <c r="H248" s="4"/>
      <c r="I248" s="4"/>
    </row>
    <row r="249" spans="1:9" ht="15.9" x14ac:dyDescent="0.4">
      <c r="A249" s="4"/>
      <c r="B249" s="4"/>
      <c r="C249" s="4"/>
      <c r="D249" s="4"/>
      <c r="E249" s="4"/>
      <c r="F249" s="4"/>
      <c r="G249" s="4"/>
      <c r="H249" s="4"/>
      <c r="I249" s="4"/>
    </row>
    <row r="250" spans="1:9" ht="15.9" x14ac:dyDescent="0.4">
      <c r="A250" s="4"/>
      <c r="B250" s="4"/>
      <c r="C250" s="4"/>
      <c r="D250" s="4"/>
      <c r="E250" s="4"/>
      <c r="F250" s="4"/>
      <c r="G250" s="4"/>
      <c r="H250" s="4"/>
      <c r="I250" s="4"/>
    </row>
    <row r="251" spans="1:9" ht="15.9" x14ac:dyDescent="0.4">
      <c r="A251" s="4"/>
      <c r="B251" s="4"/>
      <c r="C251" s="4"/>
      <c r="D251" s="4"/>
      <c r="E251" s="4"/>
      <c r="F251" s="4"/>
      <c r="G251" s="4"/>
      <c r="H251" s="4"/>
      <c r="I251" s="4"/>
    </row>
    <row r="252" spans="1:9" ht="15.9" x14ac:dyDescent="0.4">
      <c r="A252" s="4"/>
      <c r="B252" s="4"/>
      <c r="C252" s="4"/>
      <c r="D252" s="4"/>
      <c r="E252" s="4"/>
      <c r="F252" s="4"/>
      <c r="G252" s="4"/>
      <c r="H252" s="4"/>
      <c r="I252" s="4"/>
    </row>
    <row r="253" spans="1:9" ht="15.9" x14ac:dyDescent="0.4">
      <c r="A253" s="4"/>
      <c r="B253" s="4"/>
      <c r="C253" s="4"/>
      <c r="D253" s="4"/>
      <c r="E253" s="4"/>
      <c r="F253" s="4"/>
      <c r="G253" s="4"/>
      <c r="H253" s="4"/>
      <c r="I253" s="4"/>
    </row>
    <row r="254" spans="1:9" ht="15.9" x14ac:dyDescent="0.4">
      <c r="A254" s="4"/>
      <c r="B254" s="4"/>
      <c r="C254" s="4"/>
      <c r="D254" s="4"/>
      <c r="E254" s="4"/>
      <c r="F254" s="4"/>
      <c r="G254" s="4"/>
      <c r="H254" s="4"/>
      <c r="I254" s="4"/>
    </row>
    <row r="255" spans="1:9" ht="15.9" x14ac:dyDescent="0.4">
      <c r="A255" s="4"/>
      <c r="B255" s="4"/>
      <c r="C255" s="4"/>
      <c r="D255" s="4"/>
      <c r="E255" s="4"/>
      <c r="F255" s="4"/>
      <c r="G255" s="4"/>
      <c r="H255" s="4"/>
      <c r="I255" s="4"/>
    </row>
    <row r="256" spans="1:9" ht="15.9" x14ac:dyDescent="0.4">
      <c r="A256" s="4"/>
      <c r="B256" s="4"/>
      <c r="C256" s="4"/>
      <c r="D256" s="4"/>
      <c r="E256" s="4"/>
      <c r="F256" s="4"/>
      <c r="G256" s="4"/>
      <c r="H256" s="4"/>
      <c r="I256" s="4"/>
    </row>
    <row r="257" spans="1:9" ht="15.9" x14ac:dyDescent="0.4">
      <c r="A257" s="4"/>
      <c r="B257" s="4"/>
      <c r="C257" s="4"/>
      <c r="D257" s="4"/>
      <c r="E257" s="4"/>
      <c r="F257" s="4"/>
      <c r="G257" s="4"/>
      <c r="H257" s="4"/>
      <c r="I257" s="4"/>
    </row>
    <row r="258" spans="1:9" ht="15.9" x14ac:dyDescent="0.4">
      <c r="A258" s="4"/>
      <c r="B258" s="4"/>
      <c r="C258" s="4"/>
      <c r="D258" s="4"/>
      <c r="E258" s="4"/>
      <c r="F258" s="4"/>
      <c r="G258" s="4"/>
      <c r="H258" s="4"/>
      <c r="I258" s="4"/>
    </row>
    <row r="259" spans="1:9" ht="15.9" x14ac:dyDescent="0.4">
      <c r="A259" s="4"/>
      <c r="B259" s="4"/>
      <c r="C259" s="4"/>
      <c r="D259" s="4"/>
      <c r="E259" s="4"/>
      <c r="F259" s="4"/>
      <c r="G259" s="4"/>
      <c r="H259" s="4"/>
      <c r="I259" s="4"/>
    </row>
    <row r="260" spans="1:9" ht="15.9" x14ac:dyDescent="0.4">
      <c r="A260" s="4"/>
      <c r="B260" s="4"/>
      <c r="C260" s="4"/>
      <c r="D260" s="4"/>
      <c r="E260" s="4"/>
      <c r="F260" s="4"/>
      <c r="G260" s="4"/>
      <c r="H260" s="4"/>
      <c r="I260" s="4"/>
    </row>
    <row r="261" spans="1:9" ht="15.9" x14ac:dyDescent="0.4">
      <c r="A261" s="4"/>
      <c r="B261" s="4"/>
      <c r="C261" s="4"/>
      <c r="D261" s="4"/>
      <c r="E261" s="4"/>
      <c r="F261" s="4"/>
      <c r="G261" s="4"/>
      <c r="H261" s="4"/>
      <c r="I261" s="4"/>
    </row>
    <row r="262" spans="1:9" ht="15.9" x14ac:dyDescent="0.4">
      <c r="A262" s="4"/>
      <c r="B262" s="4"/>
      <c r="C262" s="4"/>
      <c r="D262" s="4"/>
      <c r="E262" s="4"/>
      <c r="F262" s="4"/>
      <c r="G262" s="4"/>
      <c r="H262" s="4"/>
      <c r="I262" s="4"/>
    </row>
    <row r="263" spans="1:9" ht="15.9" x14ac:dyDescent="0.4">
      <c r="A263" s="4"/>
      <c r="B263" s="4"/>
      <c r="C263" s="4"/>
      <c r="D263" s="4"/>
      <c r="E263" s="4"/>
      <c r="F263" s="4"/>
      <c r="G263" s="4"/>
      <c r="H263" s="4"/>
      <c r="I263" s="4"/>
    </row>
    <row r="264" spans="1:9" ht="15.9" x14ac:dyDescent="0.4">
      <c r="A264" s="4"/>
      <c r="B264" s="4"/>
      <c r="C264" s="4"/>
      <c r="D264" s="4"/>
      <c r="E264" s="4"/>
      <c r="F264" s="4"/>
      <c r="G264" s="4"/>
      <c r="H264" s="4"/>
      <c r="I264" s="4"/>
    </row>
    <row r="265" spans="1:9" ht="15.9" x14ac:dyDescent="0.4">
      <c r="A265" s="4"/>
      <c r="B265" s="4"/>
      <c r="C265" s="4"/>
      <c r="D265" s="4"/>
      <c r="E265" s="4"/>
      <c r="F265" s="4"/>
      <c r="G265" s="4"/>
      <c r="H265" s="4"/>
      <c r="I265" s="4"/>
    </row>
    <row r="266" spans="1:9" ht="15.9" x14ac:dyDescent="0.4">
      <c r="A266" s="4"/>
      <c r="B266" s="4"/>
      <c r="C266" s="4"/>
      <c r="D266" s="4"/>
      <c r="E266" s="4"/>
      <c r="F266" s="4"/>
      <c r="G266" s="4"/>
      <c r="H266" s="4"/>
      <c r="I266" s="4"/>
    </row>
    <row r="267" spans="1:9" ht="15.9" x14ac:dyDescent="0.4">
      <c r="A267" s="4"/>
      <c r="B267" s="4"/>
      <c r="C267" s="4"/>
      <c r="D267" s="4"/>
      <c r="E267" s="4"/>
      <c r="F267" s="4"/>
      <c r="G267" s="4"/>
      <c r="H267" s="4"/>
      <c r="I267" s="4"/>
    </row>
    <row r="268" spans="1:9" ht="15.9" x14ac:dyDescent="0.4">
      <c r="A268" s="4"/>
      <c r="B268" s="4"/>
      <c r="C268" s="4"/>
      <c r="D268" s="4"/>
      <c r="E268" s="4"/>
      <c r="F268" s="4"/>
      <c r="G268" s="4"/>
      <c r="H268" s="4"/>
      <c r="I268" s="4"/>
    </row>
    <row r="269" spans="1:9" ht="15.9" x14ac:dyDescent="0.4">
      <c r="A269" s="4"/>
      <c r="B269" s="4"/>
      <c r="C269" s="4"/>
      <c r="D269" s="4"/>
      <c r="E269" s="4"/>
      <c r="F269" s="4"/>
      <c r="G269" s="4"/>
      <c r="H269" s="4"/>
      <c r="I269" s="4"/>
    </row>
    <row r="270" spans="1:9" ht="15.9" x14ac:dyDescent="0.4">
      <c r="A270" s="4"/>
      <c r="B270" s="4"/>
      <c r="C270" s="4"/>
      <c r="D270" s="4"/>
      <c r="E270" s="4"/>
      <c r="F270" s="4"/>
      <c r="G270" s="4"/>
      <c r="H270" s="4"/>
      <c r="I270" s="4"/>
    </row>
    <row r="271" spans="1:9" ht="15.9" x14ac:dyDescent="0.4">
      <c r="A271" s="4"/>
      <c r="B271" s="4"/>
      <c r="C271" s="4"/>
      <c r="D271" s="4"/>
      <c r="E271" s="4"/>
      <c r="F271" s="4"/>
      <c r="G271" s="4"/>
      <c r="H271" s="4"/>
      <c r="I271" s="4"/>
    </row>
    <row r="272" spans="1:9" ht="15.9" x14ac:dyDescent="0.4">
      <c r="A272" s="4"/>
      <c r="B272" s="4"/>
      <c r="C272" s="4"/>
      <c r="D272" s="4"/>
      <c r="E272" s="4"/>
      <c r="F272" s="4"/>
      <c r="G272" s="4"/>
      <c r="H272" s="4"/>
      <c r="I272" s="4"/>
    </row>
    <row r="273" spans="1:9" ht="15.9" x14ac:dyDescent="0.4">
      <c r="A273" s="4"/>
      <c r="B273" s="4"/>
      <c r="C273" s="4"/>
      <c r="D273" s="4"/>
      <c r="E273" s="4"/>
      <c r="F273" s="4"/>
      <c r="G273" s="4"/>
      <c r="H273" s="4"/>
      <c r="I273" s="4"/>
    </row>
    <row r="274" spans="1:9" ht="15.9" x14ac:dyDescent="0.4">
      <c r="A274" s="4"/>
      <c r="B274" s="4"/>
      <c r="C274" s="4"/>
      <c r="D274" s="4"/>
      <c r="E274" s="4"/>
      <c r="F274" s="4"/>
      <c r="G274" s="4"/>
      <c r="H274" s="4"/>
      <c r="I274" s="4"/>
    </row>
    <row r="275" spans="1:9" ht="15.9" x14ac:dyDescent="0.4">
      <c r="A275" s="4"/>
      <c r="B275" s="4"/>
      <c r="C275" s="4"/>
      <c r="D275" s="4"/>
      <c r="E275" s="4"/>
      <c r="F275" s="4"/>
      <c r="G275" s="4"/>
      <c r="H275" s="4"/>
      <c r="I275" s="4"/>
    </row>
    <row r="276" spans="1:9" ht="15.9" x14ac:dyDescent="0.4">
      <c r="A276" s="4"/>
      <c r="B276" s="4"/>
      <c r="C276" s="4"/>
      <c r="D276" s="4"/>
      <c r="E276" s="4"/>
      <c r="F276" s="4"/>
      <c r="G276" s="4"/>
      <c r="H276" s="4"/>
      <c r="I276" s="4"/>
    </row>
    <row r="277" spans="1:9" ht="15.9" x14ac:dyDescent="0.4">
      <c r="A277" s="4"/>
      <c r="B277" s="4"/>
      <c r="C277" s="4"/>
      <c r="D277" s="4"/>
      <c r="E277" s="4"/>
      <c r="F277" s="4"/>
      <c r="G277" s="4"/>
      <c r="H277" s="4"/>
      <c r="I277" s="4"/>
    </row>
    <row r="278" spans="1:9" ht="15.9" x14ac:dyDescent="0.4">
      <c r="A278" s="4"/>
      <c r="B278" s="4"/>
      <c r="C278" s="4"/>
      <c r="D278" s="4"/>
      <c r="E278" s="4"/>
      <c r="F278" s="4"/>
      <c r="G278" s="4"/>
      <c r="H278" s="4"/>
      <c r="I278" s="4"/>
    </row>
    <row r="279" spans="1:9" ht="15.9" x14ac:dyDescent="0.4">
      <c r="A279" s="4"/>
      <c r="B279" s="4"/>
      <c r="C279" s="4"/>
      <c r="D279" s="4"/>
      <c r="E279" s="4"/>
      <c r="F279" s="4"/>
      <c r="G279" s="4"/>
      <c r="H279" s="4"/>
      <c r="I279" s="4"/>
    </row>
    <row r="280" spans="1:9" ht="15.9" x14ac:dyDescent="0.4">
      <c r="A280" s="4"/>
      <c r="B280" s="4"/>
      <c r="C280" s="4"/>
      <c r="D280" s="4"/>
      <c r="E280" s="4"/>
      <c r="F280" s="4"/>
      <c r="G280" s="4"/>
      <c r="H280" s="4"/>
      <c r="I280" s="4"/>
    </row>
    <row r="281" spans="1:9" ht="15.9" x14ac:dyDescent="0.4">
      <c r="A281" s="4"/>
      <c r="B281" s="4"/>
      <c r="C281" s="4"/>
      <c r="D281" s="4"/>
      <c r="E281" s="4"/>
      <c r="F281" s="4"/>
      <c r="G281" s="4"/>
      <c r="H281" s="4"/>
      <c r="I281" s="4"/>
    </row>
    <row r="282" spans="1:9" ht="15.9" x14ac:dyDescent="0.4">
      <c r="A282" s="4"/>
      <c r="B282" s="4"/>
      <c r="C282" s="4"/>
      <c r="D282" s="4"/>
      <c r="E282" s="4"/>
      <c r="F282" s="4"/>
      <c r="G282" s="4"/>
      <c r="H282" s="4"/>
      <c r="I282" s="4"/>
    </row>
    <row r="283" spans="1:9" ht="15.9" x14ac:dyDescent="0.4">
      <c r="A283" s="4"/>
      <c r="B283" s="4"/>
      <c r="C283" s="4"/>
      <c r="D283" s="4"/>
      <c r="E283" s="4"/>
      <c r="F283" s="4"/>
      <c r="G283" s="4"/>
      <c r="H283" s="4"/>
      <c r="I283" s="4"/>
    </row>
    <row r="284" spans="1:9" ht="15.9" x14ac:dyDescent="0.4">
      <c r="A284" s="4"/>
      <c r="B284" s="4"/>
      <c r="C284" s="4"/>
      <c r="D284" s="4"/>
      <c r="E284" s="4"/>
      <c r="F284" s="4"/>
      <c r="G284" s="4"/>
      <c r="H284" s="4"/>
      <c r="I284" s="4"/>
    </row>
    <row r="285" spans="1:9" ht="15.9" x14ac:dyDescent="0.4">
      <c r="A285" s="4"/>
      <c r="B285" s="4"/>
      <c r="C285" s="4"/>
      <c r="D285" s="4"/>
      <c r="E285" s="4"/>
      <c r="F285" s="4"/>
      <c r="G285" s="4"/>
      <c r="H285" s="4"/>
      <c r="I285" s="4"/>
    </row>
    <row r="286" spans="1:9" ht="15.9" x14ac:dyDescent="0.4">
      <c r="A286" s="4"/>
      <c r="B286" s="4"/>
      <c r="C286" s="4"/>
      <c r="D286" s="4"/>
      <c r="E286" s="4"/>
      <c r="F286" s="4"/>
      <c r="G286" s="4"/>
      <c r="H286" s="4"/>
      <c r="I286" s="4"/>
    </row>
    <row r="287" spans="1:9" ht="15.9" x14ac:dyDescent="0.4">
      <c r="A287" s="4"/>
      <c r="B287" s="4"/>
      <c r="C287" s="4"/>
      <c r="D287" s="4"/>
      <c r="E287" s="4"/>
      <c r="F287" s="4"/>
      <c r="G287" s="4"/>
      <c r="H287" s="4"/>
      <c r="I287" s="4"/>
    </row>
    <row r="288" spans="1:9" ht="15.9" x14ac:dyDescent="0.4">
      <c r="A288" s="4"/>
      <c r="B288" s="4"/>
      <c r="C288" s="4"/>
      <c r="D288" s="4"/>
      <c r="E288" s="4"/>
      <c r="F288" s="4"/>
      <c r="G288" s="4"/>
      <c r="H288" s="4"/>
      <c r="I288" s="4"/>
    </row>
    <row r="289" spans="1:9" ht="15.9" x14ac:dyDescent="0.4">
      <c r="A289" s="4"/>
      <c r="B289" s="4"/>
      <c r="C289" s="4"/>
      <c r="D289" s="4"/>
      <c r="E289" s="4"/>
      <c r="F289" s="4"/>
      <c r="G289" s="4"/>
      <c r="H289" s="4"/>
      <c r="I289" s="4"/>
    </row>
    <row r="290" spans="1:9" ht="15.9" x14ac:dyDescent="0.4">
      <c r="A290" s="4"/>
      <c r="B290" s="4"/>
      <c r="C290" s="4"/>
      <c r="D290" s="4"/>
      <c r="E290" s="4"/>
      <c r="F290" s="4"/>
      <c r="G290" s="4"/>
      <c r="H290" s="4"/>
      <c r="I290" s="4"/>
    </row>
    <row r="291" spans="1:9" ht="15.9" x14ac:dyDescent="0.4">
      <c r="A291" s="4"/>
      <c r="B291" s="4"/>
      <c r="C291" s="4"/>
      <c r="D291" s="4"/>
      <c r="E291" s="4"/>
      <c r="F291" s="4"/>
      <c r="G291" s="4"/>
      <c r="H291" s="4"/>
      <c r="I291" s="4"/>
    </row>
    <row r="292" spans="1:9" ht="15.9" x14ac:dyDescent="0.4">
      <c r="A292" s="4"/>
      <c r="B292" s="4"/>
      <c r="C292" s="4"/>
      <c r="D292" s="4"/>
      <c r="E292" s="4"/>
      <c r="F292" s="4"/>
      <c r="G292" s="4"/>
      <c r="H292" s="4"/>
      <c r="I292" s="4"/>
    </row>
    <row r="293" spans="1:9" ht="15.9" x14ac:dyDescent="0.4">
      <c r="A293" s="4"/>
      <c r="B293" s="4"/>
      <c r="C293" s="4"/>
      <c r="D293" s="4"/>
      <c r="E293" s="4"/>
      <c r="F293" s="4"/>
      <c r="G293" s="4"/>
      <c r="H293" s="4"/>
      <c r="I293" s="4"/>
    </row>
    <row r="294" spans="1:9" ht="15.9" x14ac:dyDescent="0.4">
      <c r="A294" s="4"/>
      <c r="B294" s="4"/>
      <c r="C294" s="4"/>
      <c r="D294" s="4"/>
      <c r="E294" s="4"/>
      <c r="F294" s="4"/>
      <c r="G294" s="4"/>
      <c r="H294" s="4"/>
      <c r="I294" s="4"/>
    </row>
    <row r="295" spans="1:9" ht="15.9" x14ac:dyDescent="0.4">
      <c r="A295" s="4"/>
      <c r="B295" s="4"/>
      <c r="C295" s="4"/>
      <c r="D295" s="4"/>
      <c r="E295" s="4"/>
      <c r="F295" s="4"/>
      <c r="G295" s="4"/>
      <c r="H295" s="4"/>
      <c r="I295" s="4"/>
    </row>
    <row r="296" spans="1:9" ht="15.9" x14ac:dyDescent="0.4">
      <c r="A296" s="4"/>
      <c r="B296" s="4"/>
      <c r="C296" s="4"/>
      <c r="D296" s="4"/>
      <c r="E296" s="4"/>
      <c r="F296" s="4"/>
      <c r="G296" s="4"/>
      <c r="H296" s="4"/>
      <c r="I296" s="4"/>
    </row>
    <row r="297" spans="1:9" ht="15.9" x14ac:dyDescent="0.4">
      <c r="A297" s="4"/>
      <c r="B297" s="4"/>
      <c r="C297" s="4"/>
      <c r="D297" s="4"/>
      <c r="E297" s="4"/>
      <c r="F297" s="4"/>
      <c r="G297" s="4"/>
      <c r="H297" s="4"/>
      <c r="I297" s="4"/>
    </row>
    <row r="298" spans="1:9" ht="15.9" x14ac:dyDescent="0.4">
      <c r="A298" s="4"/>
      <c r="B298" s="4"/>
      <c r="C298" s="4"/>
      <c r="D298" s="4"/>
      <c r="E298" s="4"/>
      <c r="F298" s="4"/>
      <c r="G298" s="4"/>
      <c r="H298" s="4"/>
      <c r="I298" s="4"/>
    </row>
    <row r="299" spans="1:9" ht="15.9" x14ac:dyDescent="0.4">
      <c r="A299" s="4"/>
      <c r="B299" s="4"/>
      <c r="C299" s="4"/>
      <c r="D299" s="4"/>
      <c r="E299" s="4"/>
      <c r="F299" s="4"/>
      <c r="G299" s="4"/>
      <c r="H299" s="4"/>
      <c r="I299" s="4"/>
    </row>
    <row r="300" spans="1:9" ht="15.9" x14ac:dyDescent="0.4">
      <c r="A300" s="4"/>
      <c r="B300" s="4"/>
      <c r="C300" s="4"/>
      <c r="D300" s="4"/>
      <c r="E300" s="4"/>
      <c r="F300" s="4"/>
      <c r="G300" s="4"/>
      <c r="H300" s="4"/>
      <c r="I300" s="4"/>
    </row>
    <row r="301" spans="1:9" ht="15.9" x14ac:dyDescent="0.4">
      <c r="A301" s="4"/>
      <c r="B301" s="4"/>
      <c r="C301" s="4"/>
      <c r="D301" s="4"/>
      <c r="E301" s="4"/>
      <c r="F301" s="4"/>
      <c r="G301" s="4"/>
      <c r="H301" s="4"/>
      <c r="I301" s="4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9899-7B10-42D0-B476-2EB9D95A5864}">
  <dimension ref="A3:B11"/>
  <sheetViews>
    <sheetView workbookViewId="0">
      <selection activeCell="B4" sqref="B4:B11"/>
    </sheetView>
  </sheetViews>
  <sheetFormatPr defaultRowHeight="14.6" x14ac:dyDescent="0.4"/>
  <cols>
    <col min="1" max="1" width="13.15234375" bestFit="1" customWidth="1"/>
    <col min="2" max="3" width="18" bestFit="1" customWidth="1"/>
  </cols>
  <sheetData>
    <row r="3" spans="1:2" x14ac:dyDescent="0.4">
      <c r="A3" s="8" t="s">
        <v>812</v>
      </c>
      <c r="B3" t="s">
        <v>822</v>
      </c>
    </row>
    <row r="4" spans="1:2" x14ac:dyDescent="0.4">
      <c r="A4" s="9" t="s">
        <v>814</v>
      </c>
      <c r="B4" s="10">
        <v>1879334</v>
      </c>
    </row>
    <row r="5" spans="1:2" x14ac:dyDescent="0.4">
      <c r="A5" s="9" t="s">
        <v>815</v>
      </c>
      <c r="B5" s="10">
        <v>2308585</v>
      </c>
    </row>
    <row r="6" spans="1:2" x14ac:dyDescent="0.4">
      <c r="A6" s="9" t="s">
        <v>816</v>
      </c>
      <c r="B6" s="10">
        <v>2020164</v>
      </c>
    </row>
    <row r="7" spans="1:2" x14ac:dyDescent="0.4">
      <c r="A7" s="9" t="s">
        <v>817</v>
      </c>
      <c r="B7" s="10">
        <v>2121430</v>
      </c>
    </row>
    <row r="8" spans="1:2" x14ac:dyDescent="0.4">
      <c r="A8" s="9" t="s">
        <v>818</v>
      </c>
      <c r="B8" s="10">
        <v>2638917</v>
      </c>
    </row>
    <row r="9" spans="1:2" x14ac:dyDescent="0.4">
      <c r="A9" s="9" t="s">
        <v>819</v>
      </c>
      <c r="B9" s="10">
        <v>2276439</v>
      </c>
    </row>
    <row r="10" spans="1:2" x14ac:dyDescent="0.4">
      <c r="A10" s="9" t="s">
        <v>820</v>
      </c>
      <c r="B10" s="10">
        <v>1040093</v>
      </c>
    </row>
    <row r="11" spans="1:2" x14ac:dyDescent="0.4">
      <c r="A11" s="9" t="s">
        <v>813</v>
      </c>
      <c r="B11" s="10">
        <v>14284962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4406D-42B8-4172-9D51-7CA56216C2D8}">
  <dimension ref="A3:B11"/>
  <sheetViews>
    <sheetView workbookViewId="0">
      <selection activeCell="A3" sqref="A3"/>
    </sheetView>
  </sheetViews>
  <sheetFormatPr defaultRowHeight="14.6" x14ac:dyDescent="0.4"/>
  <cols>
    <col min="1" max="1" width="13.15234375" bestFit="1" customWidth="1"/>
    <col min="2" max="2" width="12.84375" bestFit="1" customWidth="1"/>
  </cols>
  <sheetData>
    <row r="3" spans="1:2" x14ac:dyDescent="0.4">
      <c r="A3" s="8" t="s">
        <v>812</v>
      </c>
      <c r="B3" t="s">
        <v>821</v>
      </c>
    </row>
    <row r="4" spans="1:2" x14ac:dyDescent="0.4">
      <c r="A4" s="9" t="s">
        <v>814</v>
      </c>
      <c r="B4">
        <v>77</v>
      </c>
    </row>
    <row r="5" spans="1:2" x14ac:dyDescent="0.4">
      <c r="A5" s="9" t="s">
        <v>815</v>
      </c>
      <c r="B5">
        <v>94</v>
      </c>
    </row>
    <row r="6" spans="1:2" x14ac:dyDescent="0.4">
      <c r="A6" s="9" t="s">
        <v>816</v>
      </c>
      <c r="B6">
        <v>86</v>
      </c>
    </row>
    <row r="7" spans="1:2" x14ac:dyDescent="0.4">
      <c r="A7" s="9" t="s">
        <v>817</v>
      </c>
      <c r="B7">
        <v>86</v>
      </c>
    </row>
    <row r="8" spans="1:2" x14ac:dyDescent="0.4">
      <c r="A8" s="9" t="s">
        <v>818</v>
      </c>
      <c r="B8">
        <v>108</v>
      </c>
    </row>
    <row r="9" spans="1:2" x14ac:dyDescent="0.4">
      <c r="A9" s="9" t="s">
        <v>819</v>
      </c>
      <c r="B9">
        <v>96</v>
      </c>
    </row>
    <row r="10" spans="1:2" x14ac:dyDescent="0.4">
      <c r="A10" s="9" t="s">
        <v>820</v>
      </c>
      <c r="B10">
        <v>46</v>
      </c>
    </row>
    <row r="11" spans="1:2" x14ac:dyDescent="0.4">
      <c r="A11" s="9" t="s">
        <v>813</v>
      </c>
      <c r="B11">
        <v>593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0A85E-FCE8-4FDF-93F3-D0DA499FFB72}">
  <dimension ref="A1:M594"/>
  <sheetViews>
    <sheetView workbookViewId="0">
      <pane ySplit="2" topLeftCell="A561" activePane="bottomLeft" state="frozen"/>
      <selection pane="bottomLeft" activeCell="M594" sqref="A2:M594"/>
    </sheetView>
  </sheetViews>
  <sheetFormatPr defaultRowHeight="14.6" x14ac:dyDescent="0.4"/>
  <cols>
    <col min="1" max="1" width="16.53515625" bestFit="1" customWidth="1"/>
    <col min="2" max="3" width="35.3828125" bestFit="1" customWidth="1"/>
    <col min="4" max="4" width="18.84375" bestFit="1" customWidth="1"/>
    <col min="5" max="5" width="17.3828125" bestFit="1" customWidth="1"/>
    <col min="6" max="6" width="17.3828125" customWidth="1"/>
    <col min="7" max="7" width="15.3828125" bestFit="1" customWidth="1"/>
    <col min="8" max="8" width="23.53515625" bestFit="1" customWidth="1"/>
    <col min="9" max="9" width="16.53515625" bestFit="1" customWidth="1"/>
    <col min="10" max="10" width="10.84375" bestFit="1" customWidth="1"/>
    <col min="11" max="11" width="18.53515625" bestFit="1" customWidth="1"/>
    <col min="12" max="12" width="15.3828125" customWidth="1"/>
    <col min="13" max="13" width="39.3828125" bestFit="1" customWidth="1"/>
  </cols>
  <sheetData>
    <row r="1" spans="1:13" ht="18.45" x14ac:dyDescent="0.4">
      <c r="A1" s="1" t="s">
        <v>0</v>
      </c>
      <c r="B1" s="1" t="s">
        <v>1</v>
      </c>
      <c r="C1" s="1" t="s">
        <v>2</v>
      </c>
      <c r="D1" s="1" t="s">
        <v>577</v>
      </c>
      <c r="E1" s="1" t="s">
        <v>578</v>
      </c>
      <c r="F1" s="1" t="s">
        <v>580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579</v>
      </c>
      <c r="L1" s="1" t="s">
        <v>581</v>
      </c>
      <c r="M1" s="1" t="s">
        <v>8</v>
      </c>
    </row>
    <row r="2" spans="1:13" ht="15.9" x14ac:dyDescent="0.4">
      <c r="A2" s="3">
        <v>44929</v>
      </c>
      <c r="B2" s="4" t="s">
        <v>9</v>
      </c>
      <c r="C2" s="4" t="s">
        <v>10</v>
      </c>
      <c r="D2" s="4">
        <v>19140</v>
      </c>
      <c r="E2" s="7">
        <f>D2*0.453592</f>
        <v>8681.7508799999996</v>
      </c>
      <c r="F2" s="7">
        <f>E2*0.001</f>
        <v>8.6817508799999992</v>
      </c>
      <c r="G2" s="4">
        <v>22</v>
      </c>
      <c r="H2" s="4" t="s">
        <v>11</v>
      </c>
      <c r="I2" s="4" t="s">
        <v>12</v>
      </c>
      <c r="J2" s="5"/>
      <c r="K2" s="5"/>
      <c r="L2" s="5"/>
      <c r="M2" s="4"/>
    </row>
    <row r="3" spans="1:13" ht="15.9" x14ac:dyDescent="0.4">
      <c r="A3" s="3">
        <v>44930</v>
      </c>
      <c r="B3" s="4" t="s">
        <v>13</v>
      </c>
      <c r="C3" s="4" t="s">
        <v>14</v>
      </c>
      <c r="D3" s="4">
        <v>9680</v>
      </c>
      <c r="E3" s="7">
        <f>D3*0.453592</f>
        <v>4390.7705599999999</v>
      </c>
      <c r="F3" s="7">
        <f t="shared" ref="F3:F66" si="0">E3*0.001</f>
        <v>4.39077056</v>
      </c>
      <c r="G3" s="4">
        <v>9</v>
      </c>
      <c r="H3" s="4" t="s">
        <v>15</v>
      </c>
      <c r="I3" s="4" t="s">
        <v>16</v>
      </c>
      <c r="J3" s="5">
        <v>1043.25</v>
      </c>
      <c r="K3" s="5">
        <f>J3/E3</f>
        <v>0.23760066387982706</v>
      </c>
      <c r="L3" s="5">
        <f t="shared" ref="L3:L66" si="1">J3/F3</f>
        <v>237.60066387982707</v>
      </c>
      <c r="M3" s="4"/>
    </row>
    <row r="4" spans="1:13" ht="15.9" x14ac:dyDescent="0.4">
      <c r="A4" s="3">
        <v>44930</v>
      </c>
      <c r="B4" s="4" t="s">
        <v>17</v>
      </c>
      <c r="C4" s="4" t="s">
        <v>18</v>
      </c>
      <c r="D4" s="4">
        <v>20304</v>
      </c>
      <c r="E4" s="7">
        <f t="shared" ref="E4:E35" si="2">D4*0.453592</f>
        <v>9209.7319680000001</v>
      </c>
      <c r="F4" s="7">
        <f t="shared" si="0"/>
        <v>9.2097319679999998</v>
      </c>
      <c r="G4" s="4">
        <v>20</v>
      </c>
      <c r="H4" s="4" t="s">
        <v>15</v>
      </c>
      <c r="I4" s="4" t="s">
        <v>19</v>
      </c>
      <c r="J4" s="5">
        <v>2000</v>
      </c>
      <c r="K4" s="5">
        <f t="shared" ref="K4:K67" si="3">J4/E4</f>
        <v>0.21716158591250764</v>
      </c>
      <c r="L4" s="5">
        <f t="shared" si="1"/>
        <v>217.16158591250763</v>
      </c>
      <c r="M4" s="4"/>
    </row>
    <row r="5" spans="1:13" ht="15.9" x14ac:dyDescent="0.4">
      <c r="A5" s="3">
        <v>44930</v>
      </c>
      <c r="B5" s="4" t="s">
        <v>20</v>
      </c>
      <c r="C5" s="4" t="s">
        <v>21</v>
      </c>
      <c r="D5" s="4">
        <v>10284</v>
      </c>
      <c r="E5" s="7">
        <f t="shared" si="2"/>
        <v>4664.7401280000004</v>
      </c>
      <c r="F5" s="7">
        <f t="shared" si="0"/>
        <v>4.664740128</v>
      </c>
      <c r="G5" s="4">
        <v>10</v>
      </c>
      <c r="H5" s="4" t="s">
        <v>11</v>
      </c>
      <c r="I5" s="4" t="s">
        <v>19</v>
      </c>
      <c r="J5" s="5">
        <v>2380</v>
      </c>
      <c r="K5" s="5">
        <f t="shared" si="3"/>
        <v>0.5102106301086532</v>
      </c>
      <c r="L5" s="5">
        <f t="shared" si="1"/>
        <v>510.21063010865328</v>
      </c>
      <c r="M5" s="4"/>
    </row>
    <row r="6" spans="1:13" ht="15.9" x14ac:dyDescent="0.4">
      <c r="A6" s="3">
        <v>44930</v>
      </c>
      <c r="B6" s="4" t="s">
        <v>22</v>
      </c>
      <c r="C6" s="4" t="s">
        <v>23</v>
      </c>
      <c r="D6" s="4">
        <v>40480</v>
      </c>
      <c r="E6" s="7">
        <f t="shared" si="2"/>
        <v>18361.404159999998</v>
      </c>
      <c r="F6" s="7">
        <f t="shared" si="0"/>
        <v>18.361404159999999</v>
      </c>
      <c r="G6" s="4">
        <v>44</v>
      </c>
      <c r="H6" s="4" t="s">
        <v>11</v>
      </c>
      <c r="I6" s="4" t="s">
        <v>19</v>
      </c>
      <c r="J6" s="5">
        <v>3300</v>
      </c>
      <c r="K6" s="5">
        <f t="shared" si="3"/>
        <v>0.17972481686280797</v>
      </c>
      <c r="L6" s="5">
        <f t="shared" si="1"/>
        <v>179.72481686280796</v>
      </c>
      <c r="M6" s="4"/>
    </row>
    <row r="7" spans="1:13" ht="15.9" x14ac:dyDescent="0.4">
      <c r="A7" s="3">
        <v>44931</v>
      </c>
      <c r="B7" s="4" t="s">
        <v>13</v>
      </c>
      <c r="C7" s="4" t="s">
        <v>24</v>
      </c>
      <c r="D7" s="4">
        <v>25802</v>
      </c>
      <c r="E7" s="7">
        <f t="shared" si="2"/>
        <v>11703.580784</v>
      </c>
      <c r="F7" s="7">
        <f t="shared" si="0"/>
        <v>11.703580784</v>
      </c>
      <c r="G7" s="4">
        <v>23</v>
      </c>
      <c r="H7" s="4" t="s">
        <v>15</v>
      </c>
      <c r="I7" s="4" t="s">
        <v>25</v>
      </c>
      <c r="J7" s="5">
        <v>2000</v>
      </c>
      <c r="K7" s="5">
        <f t="shared" si="3"/>
        <v>0.17088787072194228</v>
      </c>
      <c r="L7" s="5">
        <f t="shared" si="1"/>
        <v>170.88787072194231</v>
      </c>
      <c r="M7" s="4"/>
    </row>
    <row r="8" spans="1:13" ht="15.9" x14ac:dyDescent="0.4">
      <c r="A8" s="3">
        <v>44932</v>
      </c>
      <c r="B8" s="4" t="s">
        <v>22</v>
      </c>
      <c r="C8" s="4" t="s">
        <v>26</v>
      </c>
      <c r="D8" s="4">
        <v>38430</v>
      </c>
      <c r="E8" s="7">
        <f t="shared" si="2"/>
        <v>17431.540560000001</v>
      </c>
      <c r="F8" s="7">
        <f t="shared" si="0"/>
        <v>17.431540560000002</v>
      </c>
      <c r="G8" s="4">
        <v>44</v>
      </c>
      <c r="H8" s="4" t="s">
        <v>11</v>
      </c>
      <c r="I8" s="4" t="s">
        <v>19</v>
      </c>
      <c r="J8" s="5">
        <v>3300</v>
      </c>
      <c r="K8" s="5">
        <f t="shared" si="3"/>
        <v>0.18931201110087081</v>
      </c>
      <c r="L8" s="5">
        <f t="shared" si="1"/>
        <v>189.31201110087079</v>
      </c>
      <c r="M8" s="4"/>
    </row>
    <row r="9" spans="1:13" ht="15.9" x14ac:dyDescent="0.4">
      <c r="A9" s="3">
        <v>44932</v>
      </c>
      <c r="B9" s="4" t="s">
        <v>22</v>
      </c>
      <c r="C9" s="4" t="s">
        <v>27</v>
      </c>
      <c r="D9" s="4">
        <v>37840</v>
      </c>
      <c r="E9" s="7">
        <f t="shared" si="2"/>
        <v>17163.921279999999</v>
      </c>
      <c r="F9" s="7">
        <f t="shared" si="0"/>
        <v>17.16392128</v>
      </c>
      <c r="G9" s="4">
        <v>44</v>
      </c>
      <c r="H9" s="4" t="s">
        <v>11</v>
      </c>
      <c r="I9" s="4" t="s">
        <v>19</v>
      </c>
      <c r="J9" s="5">
        <v>3300</v>
      </c>
      <c r="K9" s="5">
        <f t="shared" si="3"/>
        <v>0.19226375757416667</v>
      </c>
      <c r="L9" s="5">
        <f t="shared" si="1"/>
        <v>192.26375757416665</v>
      </c>
      <c r="M9" s="4"/>
    </row>
    <row r="10" spans="1:13" ht="15.9" x14ac:dyDescent="0.4">
      <c r="A10" s="3">
        <v>44932</v>
      </c>
      <c r="B10" s="4" t="s">
        <v>22</v>
      </c>
      <c r="C10" s="4" t="s">
        <v>28</v>
      </c>
      <c r="D10" s="4">
        <v>37840</v>
      </c>
      <c r="E10" s="7">
        <f t="shared" si="2"/>
        <v>17163.921279999999</v>
      </c>
      <c r="F10" s="7">
        <f t="shared" si="0"/>
        <v>17.16392128</v>
      </c>
      <c r="G10" s="4">
        <v>44</v>
      </c>
      <c r="H10" s="4" t="s">
        <v>11</v>
      </c>
      <c r="I10" s="4" t="s">
        <v>19</v>
      </c>
      <c r="J10" s="5">
        <v>3300</v>
      </c>
      <c r="K10" s="5">
        <f t="shared" si="3"/>
        <v>0.19226375757416667</v>
      </c>
      <c r="L10" s="5">
        <f t="shared" si="1"/>
        <v>192.26375757416665</v>
      </c>
      <c r="M10" s="4"/>
    </row>
    <row r="11" spans="1:13" ht="15.9" x14ac:dyDescent="0.4">
      <c r="A11" s="3">
        <v>44935</v>
      </c>
      <c r="B11" s="4" t="s">
        <v>22</v>
      </c>
      <c r="C11" s="4" t="s">
        <v>29</v>
      </c>
      <c r="D11" s="4">
        <v>40480</v>
      </c>
      <c r="E11" s="7">
        <f t="shared" si="2"/>
        <v>18361.404159999998</v>
      </c>
      <c r="F11" s="7">
        <f t="shared" si="0"/>
        <v>18.361404159999999</v>
      </c>
      <c r="G11" s="4">
        <v>44</v>
      </c>
      <c r="H11" s="4" t="s">
        <v>11</v>
      </c>
      <c r="I11" s="4" t="s">
        <v>19</v>
      </c>
      <c r="J11" s="5">
        <v>3300</v>
      </c>
      <c r="K11" s="5">
        <f t="shared" si="3"/>
        <v>0.17972481686280797</v>
      </c>
      <c r="L11" s="5">
        <f t="shared" si="1"/>
        <v>179.72481686280796</v>
      </c>
      <c r="M11" s="4"/>
    </row>
    <row r="12" spans="1:13" ht="15.9" x14ac:dyDescent="0.4">
      <c r="A12" s="3">
        <v>44935</v>
      </c>
      <c r="B12" s="4" t="s">
        <v>22</v>
      </c>
      <c r="C12" s="4" t="s">
        <v>30</v>
      </c>
      <c r="D12" s="4">
        <v>41800</v>
      </c>
      <c r="E12" s="7">
        <f t="shared" si="2"/>
        <v>18960.1456</v>
      </c>
      <c r="F12" s="7">
        <f t="shared" si="0"/>
        <v>18.960145600000001</v>
      </c>
      <c r="G12" s="4">
        <v>44</v>
      </c>
      <c r="H12" s="4" t="s">
        <v>11</v>
      </c>
      <c r="I12" s="4" t="s">
        <v>19</v>
      </c>
      <c r="J12" s="5">
        <v>3300</v>
      </c>
      <c r="K12" s="5">
        <f t="shared" si="3"/>
        <v>0.17404929633029823</v>
      </c>
      <c r="L12" s="5">
        <f t="shared" si="1"/>
        <v>174.0492963302982</v>
      </c>
      <c r="M12" s="4"/>
    </row>
    <row r="13" spans="1:13" ht="15.9" x14ac:dyDescent="0.4">
      <c r="A13" s="3">
        <v>44935</v>
      </c>
      <c r="B13" s="4" t="s">
        <v>31</v>
      </c>
      <c r="C13" s="4" t="s">
        <v>32</v>
      </c>
      <c r="D13" s="4">
        <v>38556</v>
      </c>
      <c r="E13" s="7">
        <f t="shared" si="2"/>
        <v>17488.693152</v>
      </c>
      <c r="F13" s="7">
        <f t="shared" si="0"/>
        <v>17.488693152</v>
      </c>
      <c r="G13" s="4">
        <v>42</v>
      </c>
      <c r="H13" s="4" t="s">
        <v>11</v>
      </c>
      <c r="I13" s="4" t="s">
        <v>25</v>
      </c>
      <c r="J13" s="5">
        <v>6007.39</v>
      </c>
      <c r="K13" s="5">
        <f t="shared" si="3"/>
        <v>0.34350136672807924</v>
      </c>
      <c r="L13" s="5">
        <f t="shared" si="1"/>
        <v>343.50136672807923</v>
      </c>
      <c r="M13" s="4"/>
    </row>
    <row r="14" spans="1:13" ht="15.9" x14ac:dyDescent="0.4">
      <c r="A14" s="3">
        <v>44935</v>
      </c>
      <c r="B14" s="4" t="s">
        <v>33</v>
      </c>
      <c r="C14" s="4" t="s">
        <v>34</v>
      </c>
      <c r="D14" s="4">
        <v>1056</v>
      </c>
      <c r="E14" s="7">
        <f t="shared" si="2"/>
        <v>478.99315200000001</v>
      </c>
      <c r="F14" s="7">
        <f t="shared" si="0"/>
        <v>0.47899315200000003</v>
      </c>
      <c r="G14" s="4">
        <v>13</v>
      </c>
      <c r="H14" s="4" t="s">
        <v>35</v>
      </c>
      <c r="I14" s="4" t="s">
        <v>16</v>
      </c>
      <c r="J14" s="5">
        <v>1277.4100000000001</v>
      </c>
      <c r="K14" s="5">
        <f t="shared" si="3"/>
        <v>2.6668648490406812</v>
      </c>
      <c r="L14" s="5">
        <f t="shared" si="1"/>
        <v>2666.8648490406808</v>
      </c>
      <c r="M14" s="4"/>
    </row>
    <row r="15" spans="1:13" ht="15.9" x14ac:dyDescent="0.4">
      <c r="A15" s="3">
        <v>44935</v>
      </c>
      <c r="B15" s="4" t="s">
        <v>22</v>
      </c>
      <c r="C15" s="4" t="s">
        <v>36</v>
      </c>
      <c r="D15" s="4">
        <v>41800</v>
      </c>
      <c r="E15" s="7">
        <f t="shared" si="2"/>
        <v>18960.1456</v>
      </c>
      <c r="F15" s="7">
        <f t="shared" si="0"/>
        <v>18.960145600000001</v>
      </c>
      <c r="G15" s="4">
        <v>44</v>
      </c>
      <c r="H15" s="4" t="s">
        <v>11</v>
      </c>
      <c r="I15" s="4" t="s">
        <v>19</v>
      </c>
      <c r="J15" s="5">
        <v>3300</v>
      </c>
      <c r="K15" s="5">
        <f t="shared" si="3"/>
        <v>0.17404929633029823</v>
      </c>
      <c r="L15" s="5">
        <f t="shared" si="1"/>
        <v>174.0492963302982</v>
      </c>
      <c r="M15" s="4"/>
    </row>
    <row r="16" spans="1:13" ht="15.9" x14ac:dyDescent="0.4">
      <c r="A16" s="3">
        <v>44935</v>
      </c>
      <c r="B16" s="4" t="s">
        <v>22</v>
      </c>
      <c r="C16" s="4" t="s">
        <v>37</v>
      </c>
      <c r="D16" s="4">
        <v>18640</v>
      </c>
      <c r="E16" s="7">
        <f t="shared" si="2"/>
        <v>8454.9548799999993</v>
      </c>
      <c r="F16" s="7">
        <f t="shared" si="0"/>
        <v>8.454954879999999</v>
      </c>
      <c r="G16" s="4">
        <v>20</v>
      </c>
      <c r="H16" s="4" t="s">
        <v>11</v>
      </c>
      <c r="I16" s="4" t="s">
        <v>19</v>
      </c>
      <c r="J16" s="5">
        <v>3300</v>
      </c>
      <c r="K16" s="5">
        <f t="shared" si="3"/>
        <v>0.39030367953897349</v>
      </c>
      <c r="L16" s="5">
        <f t="shared" si="1"/>
        <v>390.30367953897354</v>
      </c>
      <c r="M16" s="4"/>
    </row>
    <row r="17" spans="1:13" ht="15.9" x14ac:dyDescent="0.4">
      <c r="A17" s="3">
        <v>44935</v>
      </c>
      <c r="B17" s="4" t="s">
        <v>38</v>
      </c>
      <c r="C17" s="4" t="s">
        <v>39</v>
      </c>
      <c r="D17" s="4">
        <v>19940</v>
      </c>
      <c r="E17" s="7">
        <f t="shared" si="2"/>
        <v>9044.6244800000004</v>
      </c>
      <c r="F17" s="7">
        <f t="shared" si="0"/>
        <v>9.0446244800000013</v>
      </c>
      <c r="G17" s="4">
        <v>20</v>
      </c>
      <c r="H17" s="4" t="s">
        <v>15</v>
      </c>
      <c r="I17" s="4" t="s">
        <v>16</v>
      </c>
      <c r="J17" s="5">
        <v>2722.89</v>
      </c>
      <c r="K17" s="5">
        <f t="shared" si="3"/>
        <v>0.30105064129760306</v>
      </c>
      <c r="L17" s="5">
        <f t="shared" si="1"/>
        <v>301.05064129760302</v>
      </c>
      <c r="M17" s="4"/>
    </row>
    <row r="18" spans="1:13" ht="47.6" x14ac:dyDescent="0.4">
      <c r="A18" s="3">
        <v>44935</v>
      </c>
      <c r="B18" s="4" t="s">
        <v>40</v>
      </c>
      <c r="C18" s="6" t="s">
        <v>41</v>
      </c>
      <c r="D18" s="4">
        <v>16366</v>
      </c>
      <c r="E18" s="7">
        <f t="shared" si="2"/>
        <v>7423.486672</v>
      </c>
      <c r="F18" s="7">
        <f t="shared" si="0"/>
        <v>7.4234866720000001</v>
      </c>
      <c r="G18" s="4">
        <v>20</v>
      </c>
      <c r="H18" s="4" t="s">
        <v>11</v>
      </c>
      <c r="I18" s="4" t="s">
        <v>19</v>
      </c>
      <c r="J18" s="5">
        <v>6100</v>
      </c>
      <c r="K18" s="5">
        <f t="shared" si="3"/>
        <v>0.82171629983630956</v>
      </c>
      <c r="L18" s="5">
        <f t="shared" si="1"/>
        <v>821.71629983630953</v>
      </c>
      <c r="M18" s="4" t="s">
        <v>42</v>
      </c>
    </row>
    <row r="19" spans="1:13" ht="15.9" x14ac:dyDescent="0.4">
      <c r="A19" s="3">
        <v>44936</v>
      </c>
      <c r="B19" s="4" t="s">
        <v>43</v>
      </c>
      <c r="C19" s="4" t="s">
        <v>44</v>
      </c>
      <c r="D19" s="4">
        <v>35910</v>
      </c>
      <c r="E19" s="7">
        <f t="shared" si="2"/>
        <v>16288.488719999999</v>
      </c>
      <c r="F19" s="7">
        <f t="shared" si="0"/>
        <v>16.28848872</v>
      </c>
      <c r="G19" s="4">
        <v>36</v>
      </c>
      <c r="H19" s="4" t="s">
        <v>15</v>
      </c>
      <c r="I19" s="4" t="s">
        <v>45</v>
      </c>
      <c r="J19" s="5">
        <v>2600</v>
      </c>
      <c r="K19" s="5">
        <f t="shared" si="3"/>
        <v>0.15962192961508834</v>
      </c>
      <c r="L19" s="5">
        <f t="shared" si="1"/>
        <v>159.62192961508831</v>
      </c>
      <c r="M19" s="4"/>
    </row>
    <row r="20" spans="1:13" ht="15.9" x14ac:dyDescent="0.4">
      <c r="A20" s="3">
        <v>44936</v>
      </c>
      <c r="B20" s="4" t="s">
        <v>46</v>
      </c>
      <c r="C20" s="4" t="s">
        <v>47</v>
      </c>
      <c r="D20" s="4">
        <v>20520</v>
      </c>
      <c r="E20" s="7">
        <f t="shared" si="2"/>
        <v>9307.7078399999991</v>
      </c>
      <c r="F20" s="7">
        <f t="shared" si="0"/>
        <v>9.3077078399999991</v>
      </c>
      <c r="G20" s="4">
        <v>21</v>
      </c>
      <c r="H20" s="4" t="s">
        <v>11</v>
      </c>
      <c r="I20" s="4" t="s">
        <v>25</v>
      </c>
      <c r="J20" s="5">
        <v>2800</v>
      </c>
      <c r="K20" s="5">
        <f t="shared" si="3"/>
        <v>0.30082594427458953</v>
      </c>
      <c r="L20" s="5">
        <f t="shared" si="1"/>
        <v>300.82594427458957</v>
      </c>
      <c r="M20" s="4"/>
    </row>
    <row r="21" spans="1:13" ht="15.9" x14ac:dyDescent="0.4">
      <c r="A21" s="3">
        <v>44936</v>
      </c>
      <c r="B21" s="4" t="s">
        <v>31</v>
      </c>
      <c r="C21" s="4" t="s">
        <v>48</v>
      </c>
      <c r="D21" s="4">
        <v>40392</v>
      </c>
      <c r="E21" s="7">
        <f t="shared" si="2"/>
        <v>18321.488064000001</v>
      </c>
      <c r="F21" s="7">
        <f t="shared" si="0"/>
        <v>18.321488064</v>
      </c>
      <c r="G21" s="4">
        <v>44</v>
      </c>
      <c r="H21" s="4" t="s">
        <v>11</v>
      </c>
      <c r="I21" s="4" t="s">
        <v>25</v>
      </c>
      <c r="J21" s="5">
        <v>6007.39</v>
      </c>
      <c r="K21" s="5">
        <f t="shared" si="3"/>
        <v>0.32788766824043925</v>
      </c>
      <c r="L21" s="5">
        <f t="shared" si="1"/>
        <v>327.88766824043927</v>
      </c>
      <c r="M21" s="4"/>
    </row>
    <row r="22" spans="1:13" ht="15.9" x14ac:dyDescent="0.4">
      <c r="A22" s="3">
        <v>44936</v>
      </c>
      <c r="B22" s="4" t="s">
        <v>49</v>
      </c>
      <c r="C22" s="4" t="s">
        <v>50</v>
      </c>
      <c r="D22" s="4">
        <v>1704</v>
      </c>
      <c r="E22" s="7">
        <f t="shared" si="2"/>
        <v>772.92076799999995</v>
      </c>
      <c r="F22" s="7">
        <f t="shared" si="0"/>
        <v>0.77292076799999998</v>
      </c>
      <c r="G22" s="4">
        <v>2</v>
      </c>
      <c r="H22" s="4" t="s">
        <v>35</v>
      </c>
      <c r="I22" s="4" t="s">
        <v>51</v>
      </c>
      <c r="J22" s="5">
        <v>464.65</v>
      </c>
      <c r="K22" s="5">
        <f t="shared" si="3"/>
        <v>0.60116123053896253</v>
      </c>
      <c r="L22" s="5">
        <f t="shared" si="1"/>
        <v>601.16123053896251</v>
      </c>
      <c r="M22" s="4"/>
    </row>
    <row r="23" spans="1:13" ht="31.75" x14ac:dyDescent="0.4">
      <c r="A23" s="3">
        <v>44936</v>
      </c>
      <c r="B23" s="4" t="s">
        <v>52</v>
      </c>
      <c r="C23" s="6" t="s">
        <v>53</v>
      </c>
      <c r="D23" s="4">
        <v>6033</v>
      </c>
      <c r="E23" s="7">
        <f t="shared" si="2"/>
        <v>2736.520536</v>
      </c>
      <c r="F23" s="7">
        <f t="shared" si="0"/>
        <v>2.736520536</v>
      </c>
      <c r="G23" s="4">
        <v>6</v>
      </c>
      <c r="H23" s="4" t="s">
        <v>35</v>
      </c>
      <c r="I23" s="4" t="s">
        <v>54</v>
      </c>
      <c r="J23" s="5">
        <v>1177</v>
      </c>
      <c r="K23" s="5">
        <f t="shared" si="3"/>
        <v>0.43010822850261993</v>
      </c>
      <c r="L23" s="5">
        <f t="shared" si="1"/>
        <v>430.10822850261997</v>
      </c>
      <c r="M23" s="4"/>
    </row>
    <row r="24" spans="1:13" ht="15.9" x14ac:dyDescent="0.4">
      <c r="A24" s="3">
        <v>44937</v>
      </c>
      <c r="B24" s="4" t="s">
        <v>31</v>
      </c>
      <c r="C24" s="4" t="s">
        <v>55</v>
      </c>
      <c r="D24" s="4">
        <v>40352</v>
      </c>
      <c r="E24" s="7">
        <f t="shared" si="2"/>
        <v>18303.344384</v>
      </c>
      <c r="F24" s="7">
        <f t="shared" si="0"/>
        <v>18.303344383999999</v>
      </c>
      <c r="G24" s="4">
        <v>44</v>
      </c>
      <c r="H24" s="4" t="s">
        <v>11</v>
      </c>
      <c r="I24" s="4" t="s">
        <v>25</v>
      </c>
      <c r="J24" s="5">
        <v>6007.39</v>
      </c>
      <c r="K24" s="5">
        <f t="shared" si="3"/>
        <v>0.32821269566732314</v>
      </c>
      <c r="L24" s="5">
        <f t="shared" si="1"/>
        <v>328.21269566732315</v>
      </c>
      <c r="M24" s="4"/>
    </row>
    <row r="25" spans="1:13" ht="15.9" x14ac:dyDescent="0.4">
      <c r="A25" s="3">
        <v>44937</v>
      </c>
      <c r="B25" s="4" t="s">
        <v>56</v>
      </c>
      <c r="C25" s="6" t="s">
        <v>57</v>
      </c>
      <c r="D25" s="4">
        <v>33052</v>
      </c>
      <c r="E25" s="7">
        <f t="shared" si="2"/>
        <v>14992.122783999999</v>
      </c>
      <c r="F25" s="7">
        <f t="shared" si="0"/>
        <v>14.992122783999999</v>
      </c>
      <c r="G25" s="4">
        <v>33</v>
      </c>
      <c r="H25" s="4" t="s">
        <v>15</v>
      </c>
      <c r="I25" s="4" t="s">
        <v>45</v>
      </c>
      <c r="J25" s="5">
        <v>1900</v>
      </c>
      <c r="K25" s="5">
        <f t="shared" si="3"/>
        <v>0.12673322033006104</v>
      </c>
      <c r="L25" s="5">
        <f t="shared" si="1"/>
        <v>126.73322033006104</v>
      </c>
      <c r="M25" s="4"/>
    </row>
    <row r="26" spans="1:13" ht="15.9" x14ac:dyDescent="0.4">
      <c r="A26" s="3">
        <v>44937</v>
      </c>
      <c r="B26" s="4" t="s">
        <v>58</v>
      </c>
      <c r="C26" s="4" t="s">
        <v>59</v>
      </c>
      <c r="D26" s="4">
        <v>5956</v>
      </c>
      <c r="E26" s="7">
        <f t="shared" si="2"/>
        <v>2701.5939520000002</v>
      </c>
      <c r="F26" s="7">
        <f t="shared" si="0"/>
        <v>2.7015939520000001</v>
      </c>
      <c r="G26" s="4">
        <v>8</v>
      </c>
      <c r="H26" s="4" t="s">
        <v>35</v>
      </c>
      <c r="I26" s="4" t="s">
        <v>16</v>
      </c>
      <c r="J26" s="5">
        <v>991.7</v>
      </c>
      <c r="K26" s="5">
        <f t="shared" si="3"/>
        <v>0.36707958990870587</v>
      </c>
      <c r="L26" s="5">
        <f t="shared" si="1"/>
        <v>367.07958990870588</v>
      </c>
      <c r="M26" s="4"/>
    </row>
    <row r="27" spans="1:13" ht="15.9" x14ac:dyDescent="0.4">
      <c r="A27" s="3">
        <v>44937</v>
      </c>
      <c r="B27" s="4" t="s">
        <v>60</v>
      </c>
      <c r="C27" s="4" t="s">
        <v>61</v>
      </c>
      <c r="D27" s="4">
        <v>1656</v>
      </c>
      <c r="E27" s="7">
        <f t="shared" si="2"/>
        <v>751.14835200000005</v>
      </c>
      <c r="F27" s="7">
        <f t="shared" si="0"/>
        <v>0.75114835200000007</v>
      </c>
      <c r="G27" s="4">
        <v>2</v>
      </c>
      <c r="H27" s="4" t="s">
        <v>35</v>
      </c>
      <c r="I27" s="4" t="s">
        <v>51</v>
      </c>
      <c r="J27" s="5">
        <v>326.07</v>
      </c>
      <c r="K27" s="5">
        <f t="shared" si="3"/>
        <v>0.43409534099596875</v>
      </c>
      <c r="L27" s="5">
        <f t="shared" si="1"/>
        <v>434.09534099596874</v>
      </c>
      <c r="M27" s="4"/>
    </row>
    <row r="28" spans="1:13" ht="15.9" x14ac:dyDescent="0.4">
      <c r="A28" s="3">
        <v>44937</v>
      </c>
      <c r="B28" s="4" t="s">
        <v>62</v>
      </c>
      <c r="C28" s="4" t="s">
        <v>63</v>
      </c>
      <c r="D28" s="4">
        <v>643</v>
      </c>
      <c r="E28" s="7">
        <f t="shared" si="2"/>
        <v>291.65965599999998</v>
      </c>
      <c r="F28" s="7">
        <f t="shared" si="0"/>
        <v>0.29165965599999999</v>
      </c>
      <c r="G28" s="4">
        <v>1</v>
      </c>
      <c r="H28" s="4" t="s">
        <v>35</v>
      </c>
      <c r="I28" s="4" t="s">
        <v>51</v>
      </c>
      <c r="J28" s="5">
        <v>470.7</v>
      </c>
      <c r="K28" s="5">
        <f t="shared" si="3"/>
        <v>1.6138673632667249</v>
      </c>
      <c r="L28" s="5">
        <f t="shared" si="1"/>
        <v>1613.8673632667249</v>
      </c>
      <c r="M28" s="4"/>
    </row>
    <row r="29" spans="1:13" ht="15.9" x14ac:dyDescent="0.4">
      <c r="A29" s="3">
        <v>44937</v>
      </c>
      <c r="B29" s="4" t="s">
        <v>64</v>
      </c>
      <c r="C29" s="4" t="s">
        <v>65</v>
      </c>
      <c r="D29" s="4">
        <v>19557</v>
      </c>
      <c r="E29" s="7">
        <f t="shared" si="2"/>
        <v>8870.8987440000001</v>
      </c>
      <c r="F29" s="7">
        <f t="shared" si="0"/>
        <v>8.8708987439999998</v>
      </c>
      <c r="G29" s="4">
        <v>21</v>
      </c>
      <c r="H29" s="4" t="s">
        <v>15</v>
      </c>
      <c r="I29" s="4" t="s">
        <v>16</v>
      </c>
      <c r="J29" s="5">
        <v>3963.92</v>
      </c>
      <c r="K29" s="5">
        <f t="shared" si="3"/>
        <v>0.44684536644960265</v>
      </c>
      <c r="L29" s="5">
        <f t="shared" si="1"/>
        <v>446.84536644960269</v>
      </c>
      <c r="M29" s="4"/>
    </row>
    <row r="30" spans="1:13" ht="15.9" x14ac:dyDescent="0.4">
      <c r="A30" s="3">
        <v>44937</v>
      </c>
      <c r="B30" s="4" t="s">
        <v>66</v>
      </c>
      <c r="C30" s="4" t="s">
        <v>67</v>
      </c>
      <c r="D30" s="4">
        <v>31461</v>
      </c>
      <c r="E30" s="7">
        <f t="shared" si="2"/>
        <v>14270.457912</v>
      </c>
      <c r="F30" s="7">
        <f t="shared" si="0"/>
        <v>14.270457911999999</v>
      </c>
      <c r="G30" s="4">
        <v>33</v>
      </c>
      <c r="H30" s="4" t="s">
        <v>15</v>
      </c>
      <c r="I30" s="4" t="s">
        <v>25</v>
      </c>
      <c r="J30" s="5">
        <v>4594.74</v>
      </c>
      <c r="K30" s="5">
        <f t="shared" si="3"/>
        <v>0.32197565266187372</v>
      </c>
      <c r="L30" s="5">
        <f t="shared" si="1"/>
        <v>321.97565266187377</v>
      </c>
      <c r="M30" s="4"/>
    </row>
    <row r="31" spans="1:13" ht="15.9" x14ac:dyDescent="0.4">
      <c r="A31" s="3">
        <v>44937</v>
      </c>
      <c r="B31" s="4" t="s">
        <v>68</v>
      </c>
      <c r="C31" s="4" t="s">
        <v>69</v>
      </c>
      <c r="D31" s="4">
        <v>42548</v>
      </c>
      <c r="E31" s="7">
        <f t="shared" si="2"/>
        <v>19299.432416</v>
      </c>
      <c r="F31" s="7">
        <f t="shared" si="0"/>
        <v>19.299432415999998</v>
      </c>
      <c r="G31" s="4">
        <v>44</v>
      </c>
      <c r="H31" s="4" t="s">
        <v>11</v>
      </c>
      <c r="I31" s="4" t="s">
        <v>19</v>
      </c>
      <c r="J31" s="5">
        <v>4080</v>
      </c>
      <c r="K31" s="5">
        <f t="shared" si="3"/>
        <v>0.21140518083928297</v>
      </c>
      <c r="L31" s="5">
        <f t="shared" si="1"/>
        <v>211.40518083928299</v>
      </c>
      <c r="M31" s="4"/>
    </row>
    <row r="32" spans="1:13" ht="15.9" x14ac:dyDescent="0.4">
      <c r="A32" s="3">
        <v>44937</v>
      </c>
      <c r="B32" s="4" t="s">
        <v>68</v>
      </c>
      <c r="C32" s="4" t="s">
        <v>70</v>
      </c>
      <c r="D32" s="4">
        <v>8210</v>
      </c>
      <c r="E32" s="7">
        <f t="shared" si="2"/>
        <v>3723.9903199999999</v>
      </c>
      <c r="F32" s="7">
        <f t="shared" si="0"/>
        <v>3.72399032</v>
      </c>
      <c r="G32" s="4">
        <v>8</v>
      </c>
      <c r="H32" s="4" t="s">
        <v>11</v>
      </c>
      <c r="I32" s="4" t="s">
        <v>19</v>
      </c>
      <c r="J32" s="5">
        <v>1900</v>
      </c>
      <c r="K32" s="5">
        <f t="shared" si="3"/>
        <v>0.51020540783790225</v>
      </c>
      <c r="L32" s="5">
        <f t="shared" si="1"/>
        <v>510.20540783790221</v>
      </c>
      <c r="M32" s="4"/>
    </row>
    <row r="33" spans="1:13" ht="15.9" x14ac:dyDescent="0.4">
      <c r="A33" s="3">
        <v>44937</v>
      </c>
      <c r="B33" s="4" t="s">
        <v>71</v>
      </c>
      <c r="C33" s="4" t="s">
        <v>72</v>
      </c>
      <c r="D33" s="4">
        <v>21168</v>
      </c>
      <c r="E33" s="7">
        <f t="shared" si="2"/>
        <v>9601.635456</v>
      </c>
      <c r="F33" s="7">
        <f t="shared" si="0"/>
        <v>9.6016354560000003</v>
      </c>
      <c r="G33" s="4">
        <v>23</v>
      </c>
      <c r="H33" s="4" t="s">
        <v>15</v>
      </c>
      <c r="I33" s="4" t="s">
        <v>16</v>
      </c>
      <c r="J33" s="5">
        <v>2988.04</v>
      </c>
      <c r="K33" s="5">
        <f t="shared" si="3"/>
        <v>0.31120115043867791</v>
      </c>
      <c r="L33" s="5">
        <f t="shared" si="1"/>
        <v>311.20115043867793</v>
      </c>
      <c r="M33" s="4"/>
    </row>
    <row r="34" spans="1:13" ht="15.9" x14ac:dyDescent="0.4">
      <c r="A34" s="3">
        <v>44937</v>
      </c>
      <c r="B34" s="4" t="s">
        <v>73</v>
      </c>
      <c r="C34" s="4" t="s">
        <v>74</v>
      </c>
      <c r="D34" s="4">
        <v>2925</v>
      </c>
      <c r="E34" s="7">
        <f t="shared" si="2"/>
        <v>1326.7565999999999</v>
      </c>
      <c r="F34" s="7">
        <f t="shared" si="0"/>
        <v>1.3267566</v>
      </c>
      <c r="G34" s="4">
        <v>4</v>
      </c>
      <c r="H34" s="4" t="s">
        <v>35</v>
      </c>
      <c r="I34" s="4" t="s">
        <v>12</v>
      </c>
      <c r="J34" s="5"/>
      <c r="K34" s="5"/>
      <c r="L34" s="5"/>
      <c r="M34" s="4"/>
    </row>
    <row r="35" spans="1:13" ht="15.9" x14ac:dyDescent="0.4">
      <c r="A35" s="3">
        <v>44937</v>
      </c>
      <c r="B35" s="4" t="s">
        <v>75</v>
      </c>
      <c r="C35" s="4" t="s">
        <v>76</v>
      </c>
      <c r="D35" s="4">
        <v>1440</v>
      </c>
      <c r="E35" s="7">
        <f t="shared" si="2"/>
        <v>653.17247999999995</v>
      </c>
      <c r="F35" s="7">
        <f t="shared" si="0"/>
        <v>0.65317247999999994</v>
      </c>
      <c r="G35" s="4">
        <v>1</v>
      </c>
      <c r="H35" s="4" t="s">
        <v>35</v>
      </c>
      <c r="I35" s="4" t="s">
        <v>12</v>
      </c>
      <c r="J35" s="5"/>
      <c r="K35" s="5"/>
      <c r="L35" s="5"/>
      <c r="M35" s="4"/>
    </row>
    <row r="36" spans="1:13" ht="15.9" x14ac:dyDescent="0.4">
      <c r="A36" s="3">
        <v>44938</v>
      </c>
      <c r="B36" s="4" t="s">
        <v>77</v>
      </c>
      <c r="C36" s="4" t="s">
        <v>78</v>
      </c>
      <c r="D36" s="4">
        <v>7600</v>
      </c>
      <c r="E36" s="7">
        <f t="shared" ref="E36:E44" si="4">D36*0.453592</f>
        <v>3447.2991999999999</v>
      </c>
      <c r="F36" s="7">
        <f t="shared" si="0"/>
        <v>3.4472991999999998</v>
      </c>
      <c r="G36" s="4">
        <v>8</v>
      </c>
      <c r="H36" s="4" t="s">
        <v>35</v>
      </c>
      <c r="I36" s="4" t="s">
        <v>54</v>
      </c>
      <c r="J36" s="5">
        <v>2385.5</v>
      </c>
      <c r="K36" s="5">
        <f t="shared" si="3"/>
        <v>0.69199099399321073</v>
      </c>
      <c r="L36" s="5">
        <f t="shared" si="1"/>
        <v>691.99099399321074</v>
      </c>
      <c r="M36" s="4"/>
    </row>
    <row r="37" spans="1:13" ht="15.9" x14ac:dyDescent="0.4">
      <c r="A37" s="3">
        <v>44938</v>
      </c>
      <c r="B37" s="4" t="s">
        <v>79</v>
      </c>
      <c r="C37" s="4" t="s">
        <v>80</v>
      </c>
      <c r="D37" s="4">
        <v>10300</v>
      </c>
      <c r="E37" s="7">
        <f t="shared" si="4"/>
        <v>4671.9975999999997</v>
      </c>
      <c r="F37" s="7">
        <f t="shared" si="0"/>
        <v>4.6719976000000001</v>
      </c>
      <c r="G37" s="4">
        <v>11</v>
      </c>
      <c r="H37" s="4" t="s">
        <v>11</v>
      </c>
      <c r="I37" s="4" t="s">
        <v>19</v>
      </c>
      <c r="J37" s="5">
        <v>1100</v>
      </c>
      <c r="K37" s="5">
        <f t="shared" si="3"/>
        <v>0.23544532642739374</v>
      </c>
      <c r="L37" s="5">
        <f t="shared" si="1"/>
        <v>235.4453264273937</v>
      </c>
      <c r="M37" s="4"/>
    </row>
    <row r="38" spans="1:13" ht="15.9" x14ac:dyDescent="0.4">
      <c r="A38" s="3">
        <v>44938</v>
      </c>
      <c r="B38" s="4" t="s">
        <v>81</v>
      </c>
      <c r="C38" s="4" t="s">
        <v>82</v>
      </c>
      <c r="D38" s="4">
        <v>9906</v>
      </c>
      <c r="E38" s="7">
        <f t="shared" si="4"/>
        <v>4493.2823520000002</v>
      </c>
      <c r="F38" s="7">
        <f t="shared" si="0"/>
        <v>4.4932823520000005</v>
      </c>
      <c r="G38" s="4">
        <v>12</v>
      </c>
      <c r="H38" s="4" t="s">
        <v>15</v>
      </c>
      <c r="I38" s="4" t="s">
        <v>16</v>
      </c>
      <c r="J38" s="5">
        <v>1288.79</v>
      </c>
      <c r="K38" s="5">
        <f t="shared" si="3"/>
        <v>0.2868259546223148</v>
      </c>
      <c r="L38" s="5">
        <f t="shared" si="1"/>
        <v>286.82595462231478</v>
      </c>
      <c r="M38" s="4"/>
    </row>
    <row r="39" spans="1:13" ht="15.9" x14ac:dyDescent="0.4">
      <c r="A39" s="3">
        <v>44938</v>
      </c>
      <c r="B39" s="4" t="s">
        <v>83</v>
      </c>
      <c r="C39" s="4" t="s">
        <v>84</v>
      </c>
      <c r="D39" s="4">
        <v>39151</v>
      </c>
      <c r="E39" s="7">
        <f t="shared" si="4"/>
        <v>17758.580392</v>
      </c>
      <c r="F39" s="7">
        <f t="shared" si="0"/>
        <v>17.758580391999999</v>
      </c>
      <c r="G39" s="4">
        <v>41</v>
      </c>
      <c r="H39" s="4" t="s">
        <v>11</v>
      </c>
      <c r="I39" s="4" t="s">
        <v>19</v>
      </c>
      <c r="J39" s="5">
        <v>6500</v>
      </c>
      <c r="K39" s="5">
        <f t="shared" si="3"/>
        <v>0.3660202480446107</v>
      </c>
      <c r="L39" s="5">
        <f t="shared" si="1"/>
        <v>366.02024804461075</v>
      </c>
      <c r="M39" s="4"/>
    </row>
    <row r="40" spans="1:13" ht="15.9" x14ac:dyDescent="0.4">
      <c r="A40" s="3">
        <v>44938</v>
      </c>
      <c r="B40" s="4" t="s">
        <v>83</v>
      </c>
      <c r="C40" s="4" t="s">
        <v>85</v>
      </c>
      <c r="D40" s="4">
        <v>42812</v>
      </c>
      <c r="E40" s="7">
        <f t="shared" si="4"/>
        <v>19419.180703999999</v>
      </c>
      <c r="F40" s="7">
        <f t="shared" si="0"/>
        <v>19.419180703999999</v>
      </c>
      <c r="G40" s="4">
        <v>44</v>
      </c>
      <c r="H40" s="4" t="s">
        <v>11</v>
      </c>
      <c r="I40" s="4" t="s">
        <v>19</v>
      </c>
      <c r="J40" s="5">
        <v>6500</v>
      </c>
      <c r="K40" s="5">
        <f t="shared" si="3"/>
        <v>0.33472060943647935</v>
      </c>
      <c r="L40" s="5">
        <f t="shared" si="1"/>
        <v>334.72060943647938</v>
      </c>
      <c r="M40" s="4"/>
    </row>
    <row r="41" spans="1:13" ht="15.9" x14ac:dyDescent="0.4">
      <c r="A41" s="3">
        <v>44938</v>
      </c>
      <c r="B41" s="4" t="s">
        <v>52</v>
      </c>
      <c r="C41" s="4" t="s">
        <v>86</v>
      </c>
      <c r="D41" s="4">
        <v>37082</v>
      </c>
      <c r="E41" s="7">
        <f t="shared" si="4"/>
        <v>16820.098544</v>
      </c>
      <c r="F41" s="7">
        <f t="shared" si="0"/>
        <v>16.820098544</v>
      </c>
      <c r="G41" s="4">
        <v>37</v>
      </c>
      <c r="H41" s="4" t="s">
        <v>15</v>
      </c>
      <c r="I41" s="4" t="s">
        <v>25</v>
      </c>
      <c r="J41" s="5">
        <v>3050.4</v>
      </c>
      <c r="K41" s="5">
        <f t="shared" si="3"/>
        <v>0.18135446662339127</v>
      </c>
      <c r="L41" s="5">
        <f t="shared" si="1"/>
        <v>181.35446662339126</v>
      </c>
      <c r="M41" s="4"/>
    </row>
    <row r="42" spans="1:13" ht="15.9" x14ac:dyDescent="0.4">
      <c r="A42" s="3">
        <v>44938</v>
      </c>
      <c r="B42" s="4" t="s">
        <v>31</v>
      </c>
      <c r="C42" s="4" t="s">
        <v>91</v>
      </c>
      <c r="D42" s="4">
        <v>40392</v>
      </c>
      <c r="E42" s="7">
        <f t="shared" si="4"/>
        <v>18321.488064000001</v>
      </c>
      <c r="F42" s="7">
        <f t="shared" si="0"/>
        <v>18.321488064</v>
      </c>
      <c r="G42" s="4">
        <v>44</v>
      </c>
      <c r="H42" s="4" t="s">
        <v>11</v>
      </c>
      <c r="I42" s="4" t="s">
        <v>25</v>
      </c>
      <c r="J42" s="5">
        <v>6007.39</v>
      </c>
      <c r="K42" s="5">
        <f t="shared" si="3"/>
        <v>0.32788766824043925</v>
      </c>
      <c r="L42" s="5">
        <f t="shared" si="1"/>
        <v>327.88766824043927</v>
      </c>
      <c r="M42" s="4"/>
    </row>
    <row r="43" spans="1:13" ht="15.9" x14ac:dyDescent="0.4">
      <c r="A43" s="3">
        <v>44939</v>
      </c>
      <c r="B43" s="4" t="s">
        <v>87</v>
      </c>
      <c r="C43" s="4" t="s">
        <v>88</v>
      </c>
      <c r="D43" s="4">
        <v>39644</v>
      </c>
      <c r="E43" s="7">
        <f t="shared" si="4"/>
        <v>17982.201248000001</v>
      </c>
      <c r="F43" s="7">
        <f t="shared" si="0"/>
        <v>17.982201248000003</v>
      </c>
      <c r="G43" s="4">
        <v>44</v>
      </c>
      <c r="H43" s="4" t="s">
        <v>11</v>
      </c>
      <c r="I43" s="4" t="s">
        <v>12</v>
      </c>
      <c r="J43" s="5"/>
      <c r="K43" s="5"/>
      <c r="L43" s="5"/>
      <c r="M43" s="4" t="s">
        <v>89</v>
      </c>
    </row>
    <row r="44" spans="1:13" ht="15.9" x14ac:dyDescent="0.4">
      <c r="A44" s="3">
        <v>44939</v>
      </c>
      <c r="B44" s="4" t="s">
        <v>87</v>
      </c>
      <c r="C44" s="4" t="s">
        <v>90</v>
      </c>
      <c r="D44" s="4">
        <v>39644</v>
      </c>
      <c r="E44" s="7">
        <f t="shared" si="4"/>
        <v>17982.201248000001</v>
      </c>
      <c r="F44" s="7">
        <f t="shared" si="0"/>
        <v>17.982201248000003</v>
      </c>
      <c r="G44" s="4">
        <v>44</v>
      </c>
      <c r="H44" s="4" t="s">
        <v>11</v>
      </c>
      <c r="I44" s="4" t="s">
        <v>12</v>
      </c>
      <c r="J44" s="5"/>
      <c r="K44" s="5"/>
      <c r="L44" s="5"/>
      <c r="M44" s="4" t="s">
        <v>89</v>
      </c>
    </row>
    <row r="45" spans="1:13" ht="15.9" x14ac:dyDescent="0.4">
      <c r="A45" s="3">
        <v>44943</v>
      </c>
      <c r="B45" s="4" t="s">
        <v>92</v>
      </c>
      <c r="C45" s="4" t="s">
        <v>93</v>
      </c>
      <c r="D45" s="4">
        <v>31611</v>
      </c>
      <c r="E45" s="7">
        <f>D45*0.453592</f>
        <v>14338.496712</v>
      </c>
      <c r="F45" s="7">
        <f t="shared" si="0"/>
        <v>14.338496712</v>
      </c>
      <c r="G45" s="4">
        <v>41</v>
      </c>
      <c r="H45" s="4" t="s">
        <v>11</v>
      </c>
      <c r="I45" s="4" t="s">
        <v>19</v>
      </c>
      <c r="J45" s="5">
        <v>1400</v>
      </c>
      <c r="K45" s="5">
        <f t="shared" si="3"/>
        <v>9.7639245460671556E-2</v>
      </c>
      <c r="L45" s="5">
        <f t="shared" si="1"/>
        <v>97.63924546067156</v>
      </c>
      <c r="M45" s="4"/>
    </row>
    <row r="46" spans="1:13" ht="15.9" x14ac:dyDescent="0.4">
      <c r="A46" s="3">
        <v>44943</v>
      </c>
      <c r="B46" s="4" t="s">
        <v>94</v>
      </c>
      <c r="C46" s="4" t="s">
        <v>95</v>
      </c>
      <c r="D46" s="4">
        <v>4085</v>
      </c>
      <c r="E46" s="7">
        <f t="shared" ref="E46:E47" si="5">D46*0.453592</f>
        <v>1852.9233199999999</v>
      </c>
      <c r="F46" s="7">
        <f t="shared" si="0"/>
        <v>1.8529233199999999</v>
      </c>
      <c r="G46" s="4">
        <v>5</v>
      </c>
      <c r="H46" s="4" t="s">
        <v>35</v>
      </c>
      <c r="I46" s="4" t="s">
        <v>12</v>
      </c>
      <c r="J46" s="5"/>
      <c r="K46" s="5"/>
      <c r="L46" s="5"/>
      <c r="M46" s="4"/>
    </row>
    <row r="47" spans="1:13" ht="15.9" x14ac:dyDescent="0.4">
      <c r="A47" s="3">
        <v>44943</v>
      </c>
      <c r="B47" s="4" t="s">
        <v>96</v>
      </c>
      <c r="C47" s="4" t="s">
        <v>97</v>
      </c>
      <c r="D47" s="4">
        <v>1000</v>
      </c>
      <c r="E47" s="7">
        <f t="shared" si="5"/>
        <v>453.59199999999998</v>
      </c>
      <c r="F47" s="7">
        <f t="shared" si="0"/>
        <v>0.453592</v>
      </c>
      <c r="G47" s="4">
        <v>1</v>
      </c>
      <c r="H47" s="4" t="s">
        <v>35</v>
      </c>
      <c r="I47" s="4" t="s">
        <v>12</v>
      </c>
      <c r="J47" s="5"/>
      <c r="K47" s="5"/>
      <c r="L47" s="5"/>
      <c r="M47" s="4"/>
    </row>
    <row r="48" spans="1:13" ht="15.9" x14ac:dyDescent="0.4">
      <c r="A48" s="3">
        <v>44943</v>
      </c>
      <c r="B48" s="4" t="s">
        <v>58</v>
      </c>
      <c r="C48" s="4" t="s">
        <v>98</v>
      </c>
      <c r="D48" s="4">
        <v>30040</v>
      </c>
      <c r="E48" s="7">
        <f>D48*0.453592</f>
        <v>13625.903679999999</v>
      </c>
      <c r="F48" s="7">
        <f t="shared" si="0"/>
        <v>13.62590368</v>
      </c>
      <c r="G48" s="4">
        <v>33</v>
      </c>
      <c r="H48" s="4" t="s">
        <v>15</v>
      </c>
      <c r="I48" s="4" t="s">
        <v>25</v>
      </c>
      <c r="J48" s="5">
        <v>1600</v>
      </c>
      <c r="K48" s="5">
        <f t="shared" si="3"/>
        <v>0.11742340453708536</v>
      </c>
      <c r="L48" s="5">
        <f t="shared" si="1"/>
        <v>117.42340453708535</v>
      </c>
      <c r="M48" s="4"/>
    </row>
    <row r="49" spans="1:13" ht="15.9" x14ac:dyDescent="0.4">
      <c r="A49" s="3">
        <v>44944</v>
      </c>
      <c r="B49" s="4" t="s">
        <v>99</v>
      </c>
      <c r="C49" s="4" t="s">
        <v>100</v>
      </c>
      <c r="D49" s="4">
        <v>16340</v>
      </c>
      <c r="E49" s="7">
        <f>D49*0.453592</f>
        <v>7411.6932799999995</v>
      </c>
      <c r="F49" s="7">
        <f t="shared" si="0"/>
        <v>7.4116932799999997</v>
      </c>
      <c r="G49" s="4">
        <v>20</v>
      </c>
      <c r="H49" s="4" t="s">
        <v>15</v>
      </c>
      <c r="I49" s="4" t="s">
        <v>12</v>
      </c>
      <c r="J49" s="5"/>
      <c r="K49" s="5"/>
      <c r="L49" s="5"/>
      <c r="M49" s="4"/>
    </row>
    <row r="50" spans="1:13" ht="15.9" x14ac:dyDescent="0.4">
      <c r="A50" s="3">
        <v>44944</v>
      </c>
      <c r="B50" s="4" t="s">
        <v>101</v>
      </c>
      <c r="C50" s="4" t="s">
        <v>102</v>
      </c>
      <c r="D50" s="4">
        <v>3900</v>
      </c>
      <c r="E50" s="7">
        <f t="shared" ref="E50:E70" si="6">D50*0.453592</f>
        <v>1769.0088000000001</v>
      </c>
      <c r="F50" s="7">
        <f t="shared" si="0"/>
        <v>1.7690088000000002</v>
      </c>
      <c r="G50" s="4">
        <v>6</v>
      </c>
      <c r="H50" s="4" t="s">
        <v>35</v>
      </c>
      <c r="I50" s="4" t="s">
        <v>54</v>
      </c>
      <c r="J50" s="5">
        <v>587.02</v>
      </c>
      <c r="K50" s="5">
        <f t="shared" si="3"/>
        <v>0.33183554541955923</v>
      </c>
      <c r="L50" s="5">
        <f t="shared" si="1"/>
        <v>331.8355454195592</v>
      </c>
      <c r="M50" s="4"/>
    </row>
    <row r="51" spans="1:13" ht="15.9" x14ac:dyDescent="0.4">
      <c r="A51" s="3">
        <v>44944</v>
      </c>
      <c r="B51" s="4" t="s">
        <v>103</v>
      </c>
      <c r="C51" s="4" t="s">
        <v>104</v>
      </c>
      <c r="D51" s="4">
        <v>31246</v>
      </c>
      <c r="E51" s="7">
        <f t="shared" si="6"/>
        <v>14172.935632000001</v>
      </c>
      <c r="F51" s="7">
        <f t="shared" si="0"/>
        <v>14.172935632000002</v>
      </c>
      <c r="G51" s="4">
        <v>34</v>
      </c>
      <c r="H51" s="4" t="s">
        <v>11</v>
      </c>
      <c r="I51" s="4" t="s">
        <v>19</v>
      </c>
      <c r="J51" s="5">
        <v>4080</v>
      </c>
      <c r="K51" s="5">
        <f t="shared" si="3"/>
        <v>0.28787261199352915</v>
      </c>
      <c r="L51" s="5">
        <f t="shared" si="1"/>
        <v>287.87261199352912</v>
      </c>
      <c r="M51" s="4"/>
    </row>
    <row r="52" spans="1:13" ht="15.9" x14ac:dyDescent="0.4">
      <c r="A52" s="3">
        <v>44944</v>
      </c>
      <c r="B52" s="4" t="s">
        <v>105</v>
      </c>
      <c r="C52" s="4" t="s">
        <v>106</v>
      </c>
      <c r="D52" s="4">
        <v>1578</v>
      </c>
      <c r="E52" s="7">
        <f t="shared" si="6"/>
        <v>715.76817600000004</v>
      </c>
      <c r="F52" s="7">
        <f t="shared" si="0"/>
        <v>0.71576817600000009</v>
      </c>
      <c r="G52" s="4">
        <v>2</v>
      </c>
      <c r="H52" s="4" t="s">
        <v>35</v>
      </c>
      <c r="I52" s="4" t="s">
        <v>51</v>
      </c>
      <c r="J52" s="5">
        <v>269.74</v>
      </c>
      <c r="K52" s="5">
        <f t="shared" si="3"/>
        <v>0.3768538600129101</v>
      </c>
      <c r="L52" s="5">
        <f t="shared" si="1"/>
        <v>376.85386001291005</v>
      </c>
      <c r="M52" s="4"/>
    </row>
    <row r="53" spans="1:13" ht="15.9" x14ac:dyDescent="0.4">
      <c r="A53" s="3">
        <v>44944</v>
      </c>
      <c r="B53" s="4" t="s">
        <v>107</v>
      </c>
      <c r="C53" s="4" t="s">
        <v>108</v>
      </c>
      <c r="D53" s="4">
        <v>20218</v>
      </c>
      <c r="E53" s="7">
        <f t="shared" si="6"/>
        <v>9170.7230560000007</v>
      </c>
      <c r="F53" s="7">
        <f t="shared" si="0"/>
        <v>9.1707230560000017</v>
      </c>
      <c r="G53" s="4">
        <v>22</v>
      </c>
      <c r="H53" s="4" t="s">
        <v>15</v>
      </c>
      <c r="I53" s="4" t="s">
        <v>25</v>
      </c>
      <c r="J53" s="5">
        <v>3800</v>
      </c>
      <c r="K53" s="5">
        <f t="shared" si="3"/>
        <v>0.41436209302098892</v>
      </c>
      <c r="L53" s="5">
        <f t="shared" si="1"/>
        <v>414.36209302098888</v>
      </c>
      <c r="M53" s="4"/>
    </row>
    <row r="54" spans="1:13" ht="15.9" x14ac:dyDescent="0.4">
      <c r="A54" s="3">
        <v>44945</v>
      </c>
      <c r="B54" s="4" t="s">
        <v>38</v>
      </c>
      <c r="C54" s="4" t="s">
        <v>109</v>
      </c>
      <c r="D54" s="4">
        <v>12421</v>
      </c>
      <c r="E54" s="7">
        <f t="shared" si="6"/>
        <v>5634.0662320000001</v>
      </c>
      <c r="F54" s="7">
        <f t="shared" si="0"/>
        <v>5.6340662320000003</v>
      </c>
      <c r="G54" s="4">
        <v>13</v>
      </c>
      <c r="H54" s="4" t="s">
        <v>15</v>
      </c>
      <c r="I54" s="4" t="s">
        <v>16</v>
      </c>
      <c r="J54" s="5">
        <v>3114</v>
      </c>
      <c r="K54" s="5">
        <f t="shared" si="3"/>
        <v>0.55270915743114746</v>
      </c>
      <c r="L54" s="5">
        <f t="shared" si="1"/>
        <v>552.70915743114745</v>
      </c>
      <c r="M54" s="4"/>
    </row>
    <row r="55" spans="1:13" ht="15.9" x14ac:dyDescent="0.4">
      <c r="A55" s="3">
        <v>44949</v>
      </c>
      <c r="B55" s="4" t="s">
        <v>17</v>
      </c>
      <c r="C55" s="4" t="s">
        <v>110</v>
      </c>
      <c r="D55" s="4">
        <v>44088</v>
      </c>
      <c r="E55" s="7">
        <f t="shared" si="6"/>
        <v>19997.964096</v>
      </c>
      <c r="F55" s="7">
        <f t="shared" si="0"/>
        <v>19.997964096</v>
      </c>
      <c r="G55" s="4">
        <v>44</v>
      </c>
      <c r="H55" s="4" t="s">
        <v>15</v>
      </c>
      <c r="I55" s="4" t="s">
        <v>19</v>
      </c>
      <c r="J55" s="5">
        <v>1675</v>
      </c>
      <c r="K55" s="5">
        <f t="shared" si="3"/>
        <v>8.3758526215927859E-2</v>
      </c>
      <c r="L55" s="5">
        <f t="shared" si="1"/>
        <v>83.758526215927859</v>
      </c>
      <c r="M55" s="4"/>
    </row>
    <row r="56" spans="1:13" ht="15.9" x14ac:dyDescent="0.4">
      <c r="A56" s="3">
        <v>44949</v>
      </c>
      <c r="B56" s="4" t="s">
        <v>17</v>
      </c>
      <c r="C56" s="4" t="s">
        <v>111</v>
      </c>
      <c r="D56" s="4">
        <v>20304</v>
      </c>
      <c r="E56" s="7">
        <f t="shared" si="6"/>
        <v>9209.7319680000001</v>
      </c>
      <c r="F56" s="7">
        <f t="shared" si="0"/>
        <v>9.2097319679999998</v>
      </c>
      <c r="G56" s="4">
        <v>20</v>
      </c>
      <c r="H56" s="4" t="s">
        <v>15</v>
      </c>
      <c r="I56" s="4" t="s">
        <v>19</v>
      </c>
      <c r="J56" s="5">
        <v>1675</v>
      </c>
      <c r="K56" s="5">
        <f t="shared" si="3"/>
        <v>0.18187282820172515</v>
      </c>
      <c r="L56" s="5">
        <f t="shared" si="1"/>
        <v>181.87282820172516</v>
      </c>
      <c r="M56" s="4"/>
    </row>
    <row r="57" spans="1:13" ht="15.9" x14ac:dyDescent="0.4">
      <c r="A57" s="3">
        <v>44949</v>
      </c>
      <c r="B57" s="4" t="s">
        <v>52</v>
      </c>
      <c r="C57" s="4" t="s">
        <v>112</v>
      </c>
      <c r="D57" s="4">
        <v>33060</v>
      </c>
      <c r="E57" s="7">
        <f t="shared" si="6"/>
        <v>14995.75152</v>
      </c>
      <c r="F57" s="7">
        <f t="shared" si="0"/>
        <v>14.995751520000001</v>
      </c>
      <c r="G57" s="4">
        <v>38</v>
      </c>
      <c r="H57" s="4" t="s">
        <v>15</v>
      </c>
      <c r="I57" s="4" t="s">
        <v>25</v>
      </c>
      <c r="J57" s="5">
        <v>3050.4</v>
      </c>
      <c r="K57" s="5">
        <f t="shared" si="3"/>
        <v>0.20341761437775546</v>
      </c>
      <c r="L57" s="5">
        <f t="shared" si="1"/>
        <v>203.41761437775543</v>
      </c>
      <c r="M57" s="4"/>
    </row>
    <row r="58" spans="1:13" ht="15.9" x14ac:dyDescent="0.4">
      <c r="A58" s="3">
        <v>44950</v>
      </c>
      <c r="B58" s="4" t="s">
        <v>113</v>
      </c>
      <c r="C58" s="4" t="s">
        <v>114</v>
      </c>
      <c r="D58" s="4">
        <v>10131</v>
      </c>
      <c r="E58" s="7">
        <f t="shared" si="6"/>
        <v>4595.3405519999997</v>
      </c>
      <c r="F58" s="7">
        <f t="shared" si="0"/>
        <v>4.5953405519999997</v>
      </c>
      <c r="G58" s="4">
        <v>10</v>
      </c>
      <c r="H58" s="4" t="s">
        <v>35</v>
      </c>
      <c r="I58" s="4" t="s">
        <v>16</v>
      </c>
      <c r="J58" s="5">
        <v>981</v>
      </c>
      <c r="K58" s="5">
        <f t="shared" si="3"/>
        <v>0.2134771055374875</v>
      </c>
      <c r="L58" s="5">
        <f t="shared" si="1"/>
        <v>213.47710553748749</v>
      </c>
      <c r="M58" s="4"/>
    </row>
    <row r="59" spans="1:13" ht="15.9" x14ac:dyDescent="0.4">
      <c r="A59" s="3">
        <v>44951</v>
      </c>
      <c r="B59" s="4" t="s">
        <v>115</v>
      </c>
      <c r="C59" s="4" t="s">
        <v>116</v>
      </c>
      <c r="D59" s="4">
        <v>870</v>
      </c>
      <c r="E59" s="7">
        <f t="shared" si="6"/>
        <v>394.62504000000001</v>
      </c>
      <c r="F59" s="7">
        <f t="shared" si="0"/>
        <v>0.39462504000000004</v>
      </c>
      <c r="G59" s="4">
        <v>1</v>
      </c>
      <c r="H59" s="4" t="s">
        <v>35</v>
      </c>
      <c r="I59" s="4" t="s">
        <v>51</v>
      </c>
      <c r="J59" s="5">
        <v>251.56</v>
      </c>
      <c r="K59" s="5">
        <f t="shared" si="3"/>
        <v>0.63746588407061044</v>
      </c>
      <c r="L59" s="5">
        <f t="shared" si="1"/>
        <v>637.4658840706104</v>
      </c>
      <c r="M59" s="4"/>
    </row>
    <row r="60" spans="1:13" ht="15.9" x14ac:dyDescent="0.4">
      <c r="A60" s="3">
        <v>44951</v>
      </c>
      <c r="B60" s="4" t="s">
        <v>117</v>
      </c>
      <c r="C60" s="4" t="s">
        <v>118</v>
      </c>
      <c r="D60" s="4">
        <v>14700</v>
      </c>
      <c r="E60" s="7">
        <f t="shared" si="6"/>
        <v>6667.8023999999996</v>
      </c>
      <c r="F60" s="7">
        <f t="shared" si="0"/>
        <v>6.6678023999999994</v>
      </c>
      <c r="G60" s="4">
        <v>18</v>
      </c>
      <c r="H60" s="4" t="s">
        <v>15</v>
      </c>
      <c r="I60" s="4" t="s">
        <v>45</v>
      </c>
      <c r="J60" s="5">
        <v>3200</v>
      </c>
      <c r="K60" s="5">
        <f t="shared" si="3"/>
        <v>0.47991824112844139</v>
      </c>
      <c r="L60" s="5">
        <f t="shared" si="1"/>
        <v>479.91824112844142</v>
      </c>
      <c r="M60" s="4"/>
    </row>
    <row r="61" spans="1:13" ht="15.9" x14ac:dyDescent="0.4">
      <c r="A61" s="3">
        <v>44951</v>
      </c>
      <c r="B61" s="4" t="s">
        <v>52</v>
      </c>
      <c r="C61" s="4" t="s">
        <v>119</v>
      </c>
      <c r="D61" s="4">
        <v>27840</v>
      </c>
      <c r="E61" s="7">
        <f t="shared" si="6"/>
        <v>12628.00128</v>
      </c>
      <c r="F61" s="7">
        <f t="shared" si="0"/>
        <v>12.628001280000001</v>
      </c>
      <c r="G61" s="4">
        <v>32</v>
      </c>
      <c r="H61" s="4" t="s">
        <v>15</v>
      </c>
      <c r="I61" s="4" t="s">
        <v>25</v>
      </c>
      <c r="J61" s="5">
        <v>3050.4</v>
      </c>
      <c r="K61" s="5">
        <f t="shared" si="3"/>
        <v>0.24155841707358458</v>
      </c>
      <c r="L61" s="5">
        <f t="shared" si="1"/>
        <v>241.55841707358456</v>
      </c>
      <c r="M61" s="4"/>
    </row>
    <row r="62" spans="1:13" ht="15.9" x14ac:dyDescent="0.4">
      <c r="A62" s="3">
        <v>44951</v>
      </c>
      <c r="B62" s="4" t="s">
        <v>120</v>
      </c>
      <c r="C62" s="4" t="s">
        <v>121</v>
      </c>
      <c r="D62" s="4">
        <v>10904</v>
      </c>
      <c r="E62" s="7">
        <f t="shared" si="6"/>
        <v>4945.9671680000001</v>
      </c>
      <c r="F62" s="7">
        <f t="shared" si="0"/>
        <v>4.9459671680000001</v>
      </c>
      <c r="G62" s="4">
        <v>11</v>
      </c>
      <c r="H62" s="4" t="s">
        <v>35</v>
      </c>
      <c r="I62" s="4" t="s">
        <v>16</v>
      </c>
      <c r="J62" s="5">
        <v>1320</v>
      </c>
      <c r="K62" s="5">
        <f t="shared" si="3"/>
        <v>0.26688410075592317</v>
      </c>
      <c r="L62" s="5">
        <f t="shared" si="1"/>
        <v>266.88410075592316</v>
      </c>
      <c r="M62" s="4"/>
    </row>
    <row r="63" spans="1:13" ht="15.9" x14ac:dyDescent="0.4">
      <c r="A63" s="3">
        <v>44952</v>
      </c>
      <c r="B63" s="4" t="s">
        <v>52</v>
      </c>
      <c r="C63" s="4" t="s">
        <v>122</v>
      </c>
      <c r="D63" s="4">
        <v>38280</v>
      </c>
      <c r="E63" s="7">
        <f t="shared" si="6"/>
        <v>17363.501759999999</v>
      </c>
      <c r="F63" s="7">
        <f t="shared" si="0"/>
        <v>17.363501759999998</v>
      </c>
      <c r="G63" s="4">
        <v>44</v>
      </c>
      <c r="H63" s="4" t="s">
        <v>15</v>
      </c>
      <c r="I63" s="4" t="s">
        <v>25</v>
      </c>
      <c r="J63" s="5">
        <v>3050.4</v>
      </c>
      <c r="K63" s="5">
        <f t="shared" si="3"/>
        <v>0.17567884878078879</v>
      </c>
      <c r="L63" s="5">
        <f t="shared" si="1"/>
        <v>175.6788487807888</v>
      </c>
      <c r="M63" s="4"/>
    </row>
    <row r="64" spans="1:13" ht="15.9" x14ac:dyDescent="0.4">
      <c r="A64" s="3">
        <v>44952</v>
      </c>
      <c r="B64" s="4" t="s">
        <v>38</v>
      </c>
      <c r="C64" s="4" t="s">
        <v>123</v>
      </c>
      <c r="D64" s="4">
        <v>11154</v>
      </c>
      <c r="E64" s="7">
        <f t="shared" si="6"/>
        <v>5059.3651680000003</v>
      </c>
      <c r="F64" s="7">
        <f t="shared" si="0"/>
        <v>5.0593651680000002</v>
      </c>
      <c r="G64" s="4">
        <v>11</v>
      </c>
      <c r="H64" s="4" t="s">
        <v>35</v>
      </c>
      <c r="I64" s="4" t="s">
        <v>54</v>
      </c>
      <c r="J64" s="5">
        <v>2222.66</v>
      </c>
      <c r="K64" s="5">
        <f t="shared" si="3"/>
        <v>0.43931598653090143</v>
      </c>
      <c r="L64" s="5">
        <f t="shared" si="1"/>
        <v>439.3159865309014</v>
      </c>
      <c r="M64" s="4"/>
    </row>
    <row r="65" spans="1:13" ht="15.9" x14ac:dyDescent="0.4">
      <c r="A65" s="3">
        <v>44952</v>
      </c>
      <c r="B65" s="4" t="s">
        <v>81</v>
      </c>
      <c r="C65" s="4" t="s">
        <v>124</v>
      </c>
      <c r="D65" s="4">
        <v>2493</v>
      </c>
      <c r="E65" s="7">
        <f t="shared" si="6"/>
        <v>1130.804856</v>
      </c>
      <c r="F65" s="7">
        <f t="shared" si="0"/>
        <v>1.1308048559999999</v>
      </c>
      <c r="G65" s="4">
        <v>3</v>
      </c>
      <c r="H65" s="4" t="s">
        <v>35</v>
      </c>
      <c r="I65" s="4" t="s">
        <v>51</v>
      </c>
      <c r="J65" s="5">
        <v>425.72</v>
      </c>
      <c r="K65" s="5">
        <f t="shared" si="3"/>
        <v>0.37647521386307176</v>
      </c>
      <c r="L65" s="5">
        <f t="shared" si="1"/>
        <v>376.47521386307176</v>
      </c>
      <c r="M65" s="4"/>
    </row>
    <row r="66" spans="1:13" ht="15.9" x14ac:dyDescent="0.4">
      <c r="A66" s="3">
        <v>44952</v>
      </c>
      <c r="B66" s="4" t="s">
        <v>68</v>
      </c>
      <c r="C66" s="4" t="s">
        <v>125</v>
      </c>
      <c r="D66" s="4">
        <v>40480</v>
      </c>
      <c r="E66" s="7">
        <f t="shared" si="6"/>
        <v>18361.404159999998</v>
      </c>
      <c r="F66" s="7">
        <f t="shared" si="0"/>
        <v>18.361404159999999</v>
      </c>
      <c r="G66" s="4">
        <v>44</v>
      </c>
      <c r="H66" s="4" t="s">
        <v>11</v>
      </c>
      <c r="I66" s="4" t="s">
        <v>19</v>
      </c>
      <c r="J66" s="5">
        <v>4080</v>
      </c>
      <c r="K66" s="5">
        <f t="shared" si="3"/>
        <v>0.22220522812128984</v>
      </c>
      <c r="L66" s="5">
        <f t="shared" si="1"/>
        <v>222.20522812128982</v>
      </c>
      <c r="M66" s="4"/>
    </row>
    <row r="67" spans="1:13" ht="15.9" x14ac:dyDescent="0.4">
      <c r="A67" s="3">
        <v>44952</v>
      </c>
      <c r="B67" s="4" t="s">
        <v>120</v>
      </c>
      <c r="C67" s="4" t="s">
        <v>126</v>
      </c>
      <c r="D67" s="4">
        <v>13450</v>
      </c>
      <c r="E67" s="7">
        <f t="shared" si="6"/>
        <v>6100.8123999999998</v>
      </c>
      <c r="F67" s="7">
        <f t="shared" ref="F67:F130" si="7">E67*0.001</f>
        <v>6.1008123999999997</v>
      </c>
      <c r="G67" s="4">
        <v>15</v>
      </c>
      <c r="H67" s="4" t="s">
        <v>35</v>
      </c>
      <c r="I67" s="4" t="s">
        <v>16</v>
      </c>
      <c r="J67" s="5">
        <v>1475</v>
      </c>
      <c r="K67" s="5">
        <f t="shared" si="3"/>
        <v>0.24177107953688268</v>
      </c>
      <c r="L67" s="5">
        <f t="shared" ref="L67:L130" si="8">J67/F67</f>
        <v>241.77107953688267</v>
      </c>
      <c r="M67" s="4"/>
    </row>
    <row r="68" spans="1:13" ht="15.9" x14ac:dyDescent="0.4">
      <c r="A68" s="3">
        <v>44953</v>
      </c>
      <c r="B68" s="4" t="s">
        <v>107</v>
      </c>
      <c r="C68" s="4" t="s">
        <v>127</v>
      </c>
      <c r="D68" s="4">
        <v>39644</v>
      </c>
      <c r="E68" s="7">
        <f t="shared" si="6"/>
        <v>17982.201248000001</v>
      </c>
      <c r="F68" s="7">
        <f t="shared" si="7"/>
        <v>17.982201248000003</v>
      </c>
      <c r="G68" s="4">
        <v>44</v>
      </c>
      <c r="H68" s="4" t="s">
        <v>11</v>
      </c>
      <c r="I68" s="4" t="s">
        <v>19</v>
      </c>
      <c r="J68" s="5">
        <v>4900</v>
      </c>
      <c r="K68" s="5">
        <f t="shared" ref="K68:K131" si="9">J68/E68</f>
        <v>0.27249166731158586</v>
      </c>
      <c r="L68" s="5">
        <f t="shared" si="8"/>
        <v>272.49166731158584</v>
      </c>
      <c r="M68" s="4"/>
    </row>
    <row r="69" spans="1:13" ht="15.9" x14ac:dyDescent="0.4">
      <c r="A69" s="3">
        <v>44956</v>
      </c>
      <c r="B69" s="4" t="s">
        <v>107</v>
      </c>
      <c r="C69" s="4" t="s">
        <v>128</v>
      </c>
      <c r="D69" s="4">
        <v>39644</v>
      </c>
      <c r="E69" s="7">
        <f t="shared" si="6"/>
        <v>17982.201248000001</v>
      </c>
      <c r="F69" s="7">
        <f t="shared" si="7"/>
        <v>17.982201248000003</v>
      </c>
      <c r="G69" s="4">
        <v>44</v>
      </c>
      <c r="H69" s="4" t="s">
        <v>11</v>
      </c>
      <c r="I69" s="4" t="s">
        <v>19</v>
      </c>
      <c r="J69" s="5">
        <v>4900</v>
      </c>
      <c r="K69" s="5">
        <f t="shared" si="9"/>
        <v>0.27249166731158586</v>
      </c>
      <c r="L69" s="5">
        <f t="shared" si="8"/>
        <v>272.49166731158584</v>
      </c>
      <c r="M69" s="4"/>
    </row>
    <row r="70" spans="1:13" ht="15.9" x14ac:dyDescent="0.4">
      <c r="A70" s="3">
        <v>44956</v>
      </c>
      <c r="B70" s="4" t="s">
        <v>129</v>
      </c>
      <c r="C70" s="4" t="s">
        <v>130</v>
      </c>
      <c r="D70" s="4">
        <v>34070</v>
      </c>
      <c r="E70" s="7">
        <f t="shared" si="6"/>
        <v>15453.879440000001</v>
      </c>
      <c r="F70" s="7">
        <f t="shared" si="7"/>
        <v>15.453879440000001</v>
      </c>
      <c r="G70" s="4">
        <v>39</v>
      </c>
      <c r="H70" s="4" t="s">
        <v>15</v>
      </c>
      <c r="I70" s="4" t="s">
        <v>25</v>
      </c>
      <c r="J70" s="5">
        <v>3500</v>
      </c>
      <c r="K70" s="5">
        <f t="shared" si="9"/>
        <v>0.22648034841923162</v>
      </c>
      <c r="L70" s="5">
        <f t="shared" si="8"/>
        <v>226.4803484192316</v>
      </c>
      <c r="M70" s="4"/>
    </row>
    <row r="71" spans="1:13" ht="15.9" x14ac:dyDescent="0.4">
      <c r="A71" s="3">
        <v>44956</v>
      </c>
      <c r="B71" s="4" t="s">
        <v>131</v>
      </c>
      <c r="C71" s="4" t="s">
        <v>132</v>
      </c>
      <c r="D71" s="4">
        <v>924</v>
      </c>
      <c r="E71" s="7">
        <f>D71*0.453592</f>
        <v>419.11900800000001</v>
      </c>
      <c r="F71" s="7">
        <f t="shared" si="7"/>
        <v>0.41911900800000002</v>
      </c>
      <c r="G71" s="4">
        <v>1</v>
      </c>
      <c r="H71" s="4" t="s">
        <v>35</v>
      </c>
      <c r="I71" s="4" t="s">
        <v>12</v>
      </c>
      <c r="J71" s="5"/>
      <c r="K71" s="5"/>
      <c r="L71" s="5"/>
      <c r="M71" s="4"/>
    </row>
    <row r="72" spans="1:13" ht="15.9" x14ac:dyDescent="0.4">
      <c r="A72" s="3">
        <v>44956</v>
      </c>
      <c r="B72" s="4" t="s">
        <v>133</v>
      </c>
      <c r="C72" s="4" t="s">
        <v>134</v>
      </c>
      <c r="D72" s="4">
        <v>6090</v>
      </c>
      <c r="E72" s="7">
        <f t="shared" ref="E72:E74" si="10">D72*0.453592</f>
        <v>2762.3752799999997</v>
      </c>
      <c r="F72" s="7">
        <f t="shared" si="7"/>
        <v>2.7623752799999997</v>
      </c>
      <c r="G72" s="4">
        <v>7</v>
      </c>
      <c r="H72" s="4" t="s">
        <v>35</v>
      </c>
      <c r="I72" s="4" t="s">
        <v>54</v>
      </c>
      <c r="J72" s="5">
        <v>793</v>
      </c>
      <c r="K72" s="5">
        <f t="shared" si="9"/>
        <v>0.28707178410603212</v>
      </c>
      <c r="L72" s="5">
        <f t="shared" si="8"/>
        <v>287.07178410603217</v>
      </c>
      <c r="M72" s="4"/>
    </row>
    <row r="73" spans="1:13" ht="15.9" x14ac:dyDescent="0.4">
      <c r="A73" s="3">
        <v>44956</v>
      </c>
      <c r="B73" s="4" t="s">
        <v>68</v>
      </c>
      <c r="C73" s="4" t="s">
        <v>135</v>
      </c>
      <c r="D73" s="4">
        <v>19320</v>
      </c>
      <c r="E73" s="7">
        <f t="shared" si="10"/>
        <v>8763.3974400000006</v>
      </c>
      <c r="F73" s="7">
        <f t="shared" si="7"/>
        <v>8.7633974400000003</v>
      </c>
      <c r="G73" s="4">
        <v>21</v>
      </c>
      <c r="H73" s="4" t="s">
        <v>11</v>
      </c>
      <c r="I73" s="4" t="s">
        <v>19</v>
      </c>
      <c r="J73" s="5">
        <v>3380</v>
      </c>
      <c r="K73" s="5">
        <f t="shared" si="9"/>
        <v>0.3856951625373275</v>
      </c>
      <c r="L73" s="5">
        <f t="shared" si="8"/>
        <v>385.69516253732752</v>
      </c>
      <c r="M73" s="4"/>
    </row>
    <row r="74" spans="1:13" ht="15.9" x14ac:dyDescent="0.4">
      <c r="A74" s="3">
        <v>44956</v>
      </c>
      <c r="B74" s="4" t="s">
        <v>136</v>
      </c>
      <c r="C74" s="4" t="s">
        <v>137</v>
      </c>
      <c r="D74" s="4">
        <v>1045</v>
      </c>
      <c r="E74" s="7">
        <f t="shared" si="10"/>
        <v>474.00364000000002</v>
      </c>
      <c r="F74" s="7">
        <f t="shared" si="7"/>
        <v>0.47400364</v>
      </c>
      <c r="G74" s="4">
        <v>2</v>
      </c>
      <c r="H74" s="4" t="s">
        <v>35</v>
      </c>
      <c r="I74" s="4" t="s">
        <v>51</v>
      </c>
      <c r="J74" s="5">
        <v>422.22</v>
      </c>
      <c r="K74" s="5">
        <f t="shared" si="9"/>
        <v>0.89075265329186082</v>
      </c>
      <c r="L74" s="5">
        <f t="shared" si="8"/>
        <v>890.75265329186084</v>
      </c>
      <c r="M74" s="4"/>
    </row>
    <row r="75" spans="1:13" ht="15.9" x14ac:dyDescent="0.4">
      <c r="A75" s="3">
        <v>44956</v>
      </c>
      <c r="B75" s="4" t="s">
        <v>131</v>
      </c>
      <c r="C75" s="4" t="s">
        <v>138</v>
      </c>
      <c r="D75" s="4">
        <v>940</v>
      </c>
      <c r="E75" s="7">
        <f>D75*0.453592</f>
        <v>426.37648000000002</v>
      </c>
      <c r="F75" s="7">
        <f t="shared" si="7"/>
        <v>0.42637648</v>
      </c>
      <c r="G75" s="4">
        <v>1</v>
      </c>
      <c r="H75" s="4" t="s">
        <v>35</v>
      </c>
      <c r="I75" s="4" t="s">
        <v>12</v>
      </c>
      <c r="J75" s="5"/>
      <c r="K75" s="5"/>
      <c r="L75" s="5"/>
      <c r="M75" s="4"/>
    </row>
    <row r="76" spans="1:13" ht="15.9" x14ac:dyDescent="0.4">
      <c r="A76" s="3">
        <v>44956</v>
      </c>
      <c r="B76" s="4" t="s">
        <v>139</v>
      </c>
      <c r="C76" s="4" t="s">
        <v>140</v>
      </c>
      <c r="D76" s="4">
        <v>1900</v>
      </c>
      <c r="E76" s="7">
        <f t="shared" ref="E76:E87" si="11">D76*0.453592</f>
        <v>861.82479999999998</v>
      </c>
      <c r="F76" s="7">
        <f t="shared" si="7"/>
        <v>0.86182479999999995</v>
      </c>
      <c r="G76" s="4">
        <v>2</v>
      </c>
      <c r="H76" s="4" t="s">
        <v>35</v>
      </c>
      <c r="I76" s="4" t="s">
        <v>51</v>
      </c>
      <c r="J76" s="5">
        <v>427.04</v>
      </c>
      <c r="K76" s="5">
        <f t="shared" si="9"/>
        <v>0.49550674336593703</v>
      </c>
      <c r="L76" s="5">
        <f t="shared" si="8"/>
        <v>495.5067433659371</v>
      </c>
      <c r="M76" s="4"/>
    </row>
    <row r="77" spans="1:13" ht="15.9" x14ac:dyDescent="0.4">
      <c r="A77" s="3">
        <v>44956</v>
      </c>
      <c r="B77" s="4" t="s">
        <v>141</v>
      </c>
      <c r="C77" s="4" t="s">
        <v>142</v>
      </c>
      <c r="D77" s="4">
        <v>36072</v>
      </c>
      <c r="E77" s="7">
        <f t="shared" si="11"/>
        <v>16361.970624</v>
      </c>
      <c r="F77" s="7">
        <f t="shared" si="7"/>
        <v>16.361970624000001</v>
      </c>
      <c r="G77" s="4">
        <v>36</v>
      </c>
      <c r="H77" s="4" t="s">
        <v>15</v>
      </c>
      <c r="I77" s="4" t="s">
        <v>45</v>
      </c>
      <c r="J77" s="5">
        <v>1900</v>
      </c>
      <c r="K77" s="5">
        <f t="shared" si="9"/>
        <v>0.11612293186818522</v>
      </c>
      <c r="L77" s="5">
        <f t="shared" si="8"/>
        <v>116.1229318681852</v>
      </c>
      <c r="M77" s="4"/>
    </row>
    <row r="78" spans="1:13" ht="15.9" x14ac:dyDescent="0.4">
      <c r="A78" s="3">
        <v>44956</v>
      </c>
      <c r="B78" s="4" t="s">
        <v>143</v>
      </c>
      <c r="C78" s="4" t="s">
        <v>144</v>
      </c>
      <c r="D78" s="4">
        <v>240996</v>
      </c>
      <c r="E78" s="7">
        <f t="shared" si="11"/>
        <v>109313.857632</v>
      </c>
      <c r="F78" s="7">
        <f t="shared" si="7"/>
        <v>109.31385763200001</v>
      </c>
      <c r="G78" s="4">
        <v>26</v>
      </c>
      <c r="H78" s="4" t="s">
        <v>15</v>
      </c>
      <c r="I78" s="4" t="s">
        <v>45</v>
      </c>
      <c r="J78" s="5">
        <v>2000</v>
      </c>
      <c r="K78" s="5">
        <f t="shared" si="9"/>
        <v>1.8295942008861373E-2</v>
      </c>
      <c r="L78" s="5">
        <f t="shared" si="8"/>
        <v>18.29594200886137</v>
      </c>
      <c r="M78" s="4"/>
    </row>
    <row r="79" spans="1:13" ht="15.9" x14ac:dyDescent="0.4">
      <c r="A79" s="3">
        <v>44963</v>
      </c>
      <c r="B79" s="4" t="s">
        <v>107</v>
      </c>
      <c r="C79" s="4" t="s">
        <v>145</v>
      </c>
      <c r="D79" s="4">
        <v>39644</v>
      </c>
      <c r="E79" s="7">
        <f t="shared" si="11"/>
        <v>17982.201248000001</v>
      </c>
      <c r="F79" s="7">
        <f t="shared" si="7"/>
        <v>17.982201248000003</v>
      </c>
      <c r="G79" s="4">
        <v>44</v>
      </c>
      <c r="H79" s="4" t="s">
        <v>11</v>
      </c>
      <c r="I79" s="4" t="s">
        <v>19</v>
      </c>
      <c r="J79" s="5">
        <v>4900</v>
      </c>
      <c r="K79" s="5">
        <f t="shared" si="9"/>
        <v>0.27249166731158586</v>
      </c>
      <c r="L79" s="5">
        <f t="shared" si="8"/>
        <v>272.49166731158584</v>
      </c>
      <c r="M79" s="4"/>
    </row>
    <row r="80" spans="1:13" ht="15.9" x14ac:dyDescent="0.4">
      <c r="A80" s="3">
        <v>44963</v>
      </c>
      <c r="B80" s="4" t="s">
        <v>146</v>
      </c>
      <c r="C80" s="4" t="s">
        <v>147</v>
      </c>
      <c r="D80" s="4">
        <v>42460</v>
      </c>
      <c r="E80" s="7">
        <f t="shared" si="11"/>
        <v>19259.516319999999</v>
      </c>
      <c r="F80" s="7">
        <f t="shared" si="7"/>
        <v>19.259516319999999</v>
      </c>
      <c r="G80" s="4">
        <v>44</v>
      </c>
      <c r="H80" s="4" t="s">
        <v>15</v>
      </c>
      <c r="I80" s="4" t="s">
        <v>25</v>
      </c>
      <c r="J80" s="5">
        <v>4650</v>
      </c>
      <c r="K80" s="5">
        <f t="shared" si="9"/>
        <v>0.24143908511197754</v>
      </c>
      <c r="L80" s="5">
        <f t="shared" si="8"/>
        <v>241.43908511197753</v>
      </c>
      <c r="M80" s="4"/>
    </row>
    <row r="81" spans="1:13" ht="15.9" x14ac:dyDescent="0.4">
      <c r="A81" s="3">
        <v>44963</v>
      </c>
      <c r="B81" s="4" t="s">
        <v>146</v>
      </c>
      <c r="C81" s="4" t="s">
        <v>148</v>
      </c>
      <c r="D81" s="4">
        <v>39151</v>
      </c>
      <c r="E81" s="7">
        <f t="shared" si="11"/>
        <v>17758.580392</v>
      </c>
      <c r="F81" s="7">
        <f t="shared" si="7"/>
        <v>17.758580391999999</v>
      </c>
      <c r="G81" s="4">
        <v>41</v>
      </c>
      <c r="H81" s="4" t="s">
        <v>15</v>
      </c>
      <c r="I81" s="4" t="s">
        <v>25</v>
      </c>
      <c r="J81" s="5">
        <v>4650</v>
      </c>
      <c r="K81" s="5">
        <f t="shared" si="9"/>
        <v>0.26184525437037537</v>
      </c>
      <c r="L81" s="5">
        <f t="shared" si="8"/>
        <v>261.84525437037536</v>
      </c>
      <c r="M81" s="4"/>
    </row>
    <row r="82" spans="1:13" ht="15.9" x14ac:dyDescent="0.4">
      <c r="A82" s="3">
        <v>44964</v>
      </c>
      <c r="B82" s="4" t="s">
        <v>107</v>
      </c>
      <c r="C82" s="4" t="s">
        <v>149</v>
      </c>
      <c r="D82" s="4">
        <v>41484</v>
      </c>
      <c r="E82" s="7">
        <f t="shared" si="11"/>
        <v>18816.810527999998</v>
      </c>
      <c r="F82" s="7">
        <f t="shared" si="7"/>
        <v>18.816810527999998</v>
      </c>
      <c r="G82" s="4">
        <v>46</v>
      </c>
      <c r="H82" s="4" t="s">
        <v>11</v>
      </c>
      <c r="I82" s="4" t="s">
        <v>25</v>
      </c>
      <c r="J82" s="5">
        <v>4900</v>
      </c>
      <c r="K82" s="5">
        <f t="shared" si="9"/>
        <v>0.26040544930335818</v>
      </c>
      <c r="L82" s="5">
        <f t="shared" si="8"/>
        <v>260.40544930335818</v>
      </c>
      <c r="M82" s="4"/>
    </row>
    <row r="83" spans="1:13" ht="15.9" x14ac:dyDescent="0.4">
      <c r="A83" s="3">
        <v>44964</v>
      </c>
      <c r="B83" s="4" t="s">
        <v>150</v>
      </c>
      <c r="C83" s="4" t="s">
        <v>151</v>
      </c>
      <c r="D83" s="4">
        <v>40480</v>
      </c>
      <c r="E83" s="7">
        <f t="shared" si="11"/>
        <v>18361.404159999998</v>
      </c>
      <c r="F83" s="7">
        <f t="shared" si="7"/>
        <v>18.361404159999999</v>
      </c>
      <c r="G83" s="4">
        <v>44</v>
      </c>
      <c r="H83" s="4" t="s">
        <v>15</v>
      </c>
      <c r="I83" s="4" t="s">
        <v>25</v>
      </c>
      <c r="J83" s="5">
        <v>3200</v>
      </c>
      <c r="K83" s="5">
        <f t="shared" si="9"/>
        <v>0.17427861029120773</v>
      </c>
      <c r="L83" s="5">
        <f t="shared" si="8"/>
        <v>174.27861029120771</v>
      </c>
      <c r="M83" s="4"/>
    </row>
    <row r="84" spans="1:13" ht="15.9" x14ac:dyDescent="0.4">
      <c r="A84" s="3">
        <v>44964</v>
      </c>
      <c r="B84" s="4" t="s">
        <v>99</v>
      </c>
      <c r="C84" s="4" t="s">
        <v>152</v>
      </c>
      <c r="D84" s="4">
        <v>20010</v>
      </c>
      <c r="E84" s="7">
        <f t="shared" si="11"/>
        <v>9076.3759200000004</v>
      </c>
      <c r="F84" s="7">
        <f t="shared" si="7"/>
        <v>9.0763759200000003</v>
      </c>
      <c r="G84" s="4">
        <v>23</v>
      </c>
      <c r="H84" s="4" t="s">
        <v>15</v>
      </c>
      <c r="I84" s="4" t="s">
        <v>12</v>
      </c>
      <c r="J84" s="5"/>
      <c r="K84" s="5"/>
      <c r="L84" s="5"/>
      <c r="M84" s="4"/>
    </row>
    <row r="85" spans="1:13" ht="15.9" x14ac:dyDescent="0.4">
      <c r="A85" s="3">
        <v>44964</v>
      </c>
      <c r="B85" s="4" t="s">
        <v>153</v>
      </c>
      <c r="C85" s="4" t="s">
        <v>154</v>
      </c>
      <c r="D85" s="4">
        <v>39842</v>
      </c>
      <c r="E85" s="7">
        <f t="shared" si="11"/>
        <v>18072.012463999999</v>
      </c>
      <c r="F85" s="7">
        <f t="shared" si="7"/>
        <v>18.072012464</v>
      </c>
      <c r="G85" s="4">
        <v>44</v>
      </c>
      <c r="H85" s="4" t="s">
        <v>15</v>
      </c>
      <c r="I85" s="4" t="s">
        <v>12</v>
      </c>
      <c r="J85" s="5"/>
      <c r="K85" s="5"/>
      <c r="L85" s="5"/>
      <c r="M85" s="4"/>
    </row>
    <row r="86" spans="1:13" ht="15.9" x14ac:dyDescent="0.4">
      <c r="A86" s="3">
        <v>44964</v>
      </c>
      <c r="B86" s="4" t="s">
        <v>153</v>
      </c>
      <c r="C86" s="4" t="s">
        <v>155</v>
      </c>
      <c r="D86" s="4">
        <v>39842</v>
      </c>
      <c r="E86" s="7">
        <f t="shared" si="11"/>
        <v>18072.012463999999</v>
      </c>
      <c r="F86" s="7">
        <f t="shared" si="7"/>
        <v>18.072012464</v>
      </c>
      <c r="G86" s="4">
        <v>44</v>
      </c>
      <c r="H86" s="4" t="s">
        <v>15</v>
      </c>
      <c r="I86" s="4" t="s">
        <v>12</v>
      </c>
      <c r="J86" s="5"/>
      <c r="K86" s="5"/>
      <c r="L86" s="5"/>
      <c r="M86" s="4"/>
    </row>
    <row r="87" spans="1:13" ht="15.9" x14ac:dyDescent="0.4">
      <c r="A87" s="3">
        <v>44964</v>
      </c>
      <c r="B87" s="4" t="s">
        <v>153</v>
      </c>
      <c r="C87" s="4" t="s">
        <v>158</v>
      </c>
      <c r="D87" s="4">
        <v>40480</v>
      </c>
      <c r="E87" s="7">
        <f t="shared" si="11"/>
        <v>18361.404159999998</v>
      </c>
      <c r="F87" s="7">
        <f t="shared" si="7"/>
        <v>18.361404159999999</v>
      </c>
      <c r="G87" s="4">
        <v>44</v>
      </c>
      <c r="H87" s="4" t="s">
        <v>15</v>
      </c>
      <c r="I87" s="4" t="s">
        <v>12</v>
      </c>
      <c r="J87" s="5"/>
      <c r="K87" s="5"/>
      <c r="L87" s="5"/>
      <c r="M87" s="4"/>
    </row>
    <row r="88" spans="1:13" ht="15.9" x14ac:dyDescent="0.4">
      <c r="A88" s="3">
        <v>44964</v>
      </c>
      <c r="B88" s="4" t="s">
        <v>159</v>
      </c>
      <c r="C88" s="4" t="s">
        <v>160</v>
      </c>
      <c r="D88" s="4">
        <v>1140</v>
      </c>
      <c r="E88" s="7">
        <f t="shared" ref="E88:E96" si="12">D88*0.453592</f>
        <v>517.09487999999999</v>
      </c>
      <c r="F88" s="7">
        <f t="shared" si="7"/>
        <v>0.51709488000000003</v>
      </c>
      <c r="G88" s="4">
        <v>1</v>
      </c>
      <c r="H88" s="4" t="s">
        <v>35</v>
      </c>
      <c r="I88" s="4" t="s">
        <v>161</v>
      </c>
      <c r="J88" s="5">
        <v>183.83</v>
      </c>
      <c r="K88" s="5">
        <f t="shared" si="9"/>
        <v>0.35550535715998582</v>
      </c>
      <c r="L88" s="5">
        <f t="shared" si="8"/>
        <v>355.50535715998581</v>
      </c>
      <c r="M88" s="4"/>
    </row>
    <row r="89" spans="1:13" ht="15.9" x14ac:dyDescent="0.4">
      <c r="A89" s="3">
        <v>44964</v>
      </c>
      <c r="B89" s="4" t="s">
        <v>150</v>
      </c>
      <c r="C89" s="4" t="s">
        <v>162</v>
      </c>
      <c r="D89" s="4">
        <v>40480</v>
      </c>
      <c r="E89" s="7">
        <f t="shared" si="12"/>
        <v>18361.404159999998</v>
      </c>
      <c r="F89" s="7">
        <f t="shared" si="7"/>
        <v>18.361404159999999</v>
      </c>
      <c r="G89" s="4">
        <v>44</v>
      </c>
      <c r="H89" s="4" t="s">
        <v>15</v>
      </c>
      <c r="I89" s="4" t="s">
        <v>25</v>
      </c>
      <c r="J89" s="5">
        <v>3200</v>
      </c>
      <c r="K89" s="5">
        <f t="shared" si="9"/>
        <v>0.17427861029120773</v>
      </c>
      <c r="L89" s="5">
        <f t="shared" si="8"/>
        <v>174.27861029120771</v>
      </c>
      <c r="M89" s="4"/>
    </row>
    <row r="90" spans="1:13" ht="15.9" x14ac:dyDescent="0.4">
      <c r="A90" s="3">
        <v>44964</v>
      </c>
      <c r="B90" s="4" t="s">
        <v>163</v>
      </c>
      <c r="C90" s="4" t="s">
        <v>164</v>
      </c>
      <c r="D90" s="4">
        <v>650</v>
      </c>
      <c r="E90" s="7">
        <f t="shared" si="12"/>
        <v>294.83479999999997</v>
      </c>
      <c r="F90" s="7">
        <f t="shared" si="7"/>
        <v>0.29483479999999995</v>
      </c>
      <c r="G90" s="4">
        <v>1</v>
      </c>
      <c r="H90" s="4" t="s">
        <v>35</v>
      </c>
      <c r="I90" s="4" t="s">
        <v>161</v>
      </c>
      <c r="J90" s="5">
        <v>209.99</v>
      </c>
      <c r="K90" s="5">
        <f t="shared" si="9"/>
        <v>0.71222935691444844</v>
      </c>
      <c r="L90" s="5">
        <f t="shared" si="8"/>
        <v>712.22935691444854</v>
      </c>
      <c r="M90" s="4"/>
    </row>
    <row r="91" spans="1:13" ht="15.9" x14ac:dyDescent="0.4">
      <c r="A91" s="3">
        <v>44964</v>
      </c>
      <c r="B91" s="4" t="s">
        <v>165</v>
      </c>
      <c r="C91" s="4" t="s">
        <v>166</v>
      </c>
      <c r="D91" s="4">
        <v>6700</v>
      </c>
      <c r="E91" s="7">
        <f t="shared" si="12"/>
        <v>3039.0664000000002</v>
      </c>
      <c r="F91" s="7">
        <f t="shared" si="7"/>
        <v>3.0390664000000003</v>
      </c>
      <c r="G91" s="4">
        <v>7</v>
      </c>
      <c r="H91" s="4" t="s">
        <v>35</v>
      </c>
      <c r="I91" s="4" t="s">
        <v>54</v>
      </c>
      <c r="J91" s="5">
        <v>605.74</v>
      </c>
      <c r="K91" s="5">
        <f t="shared" si="9"/>
        <v>0.19931779048986886</v>
      </c>
      <c r="L91" s="5">
        <f t="shared" si="8"/>
        <v>199.31779048986886</v>
      </c>
      <c r="M91" s="4"/>
    </row>
    <row r="92" spans="1:13" ht="15.9" x14ac:dyDescent="0.4">
      <c r="A92" s="3">
        <v>44964</v>
      </c>
      <c r="B92" s="4" t="s">
        <v>52</v>
      </c>
      <c r="C92" s="4" t="s">
        <v>167</v>
      </c>
      <c r="D92" s="4">
        <v>940</v>
      </c>
      <c r="E92" s="7">
        <f t="shared" si="12"/>
        <v>426.37648000000002</v>
      </c>
      <c r="F92" s="7">
        <f t="shared" si="7"/>
        <v>0.42637648</v>
      </c>
      <c r="G92" s="4">
        <v>1</v>
      </c>
      <c r="H92" s="4" t="s">
        <v>35</v>
      </c>
      <c r="I92" s="4" t="s">
        <v>161</v>
      </c>
      <c r="J92" s="5">
        <v>307.58999999999997</v>
      </c>
      <c r="K92" s="5">
        <f t="shared" si="9"/>
        <v>0.72140470787694477</v>
      </c>
      <c r="L92" s="5">
        <f t="shared" si="8"/>
        <v>721.40470787694471</v>
      </c>
      <c r="M92" s="4"/>
    </row>
    <row r="93" spans="1:13" ht="15.9" x14ac:dyDescent="0.4">
      <c r="A93" s="3">
        <v>44964</v>
      </c>
      <c r="B93" s="4" t="s">
        <v>168</v>
      </c>
      <c r="C93" s="4" t="s">
        <v>169</v>
      </c>
      <c r="D93" s="4">
        <v>30360</v>
      </c>
      <c r="E93" s="7">
        <f t="shared" si="12"/>
        <v>13771.05312</v>
      </c>
      <c r="F93" s="7">
        <f t="shared" si="7"/>
        <v>13.771053120000001</v>
      </c>
      <c r="G93" s="4">
        <v>33</v>
      </c>
      <c r="H93" s="4" t="s">
        <v>15</v>
      </c>
      <c r="I93" s="4" t="s">
        <v>45</v>
      </c>
      <c r="J93" s="5">
        <v>2500</v>
      </c>
      <c r="K93" s="5">
        <f t="shared" si="9"/>
        <v>0.18154021905334136</v>
      </c>
      <c r="L93" s="5">
        <f t="shared" si="8"/>
        <v>181.54021905334133</v>
      </c>
      <c r="M93" s="4"/>
    </row>
    <row r="94" spans="1:13" ht="15.9" x14ac:dyDescent="0.4">
      <c r="A94" s="3">
        <v>44964</v>
      </c>
      <c r="B94" s="4" t="s">
        <v>153</v>
      </c>
      <c r="C94" s="4" t="s">
        <v>170</v>
      </c>
      <c r="D94" s="4">
        <v>32769</v>
      </c>
      <c r="E94" s="7">
        <f t="shared" si="12"/>
        <v>14863.756248</v>
      </c>
      <c r="F94" s="7">
        <f t="shared" si="7"/>
        <v>14.863756248</v>
      </c>
      <c r="G94" s="4">
        <v>37</v>
      </c>
      <c r="H94" s="4" t="s">
        <v>15</v>
      </c>
      <c r="I94" s="4" t="s">
        <v>12</v>
      </c>
      <c r="J94" s="5"/>
      <c r="K94" s="5"/>
      <c r="L94" s="5"/>
      <c r="M94" s="4"/>
    </row>
    <row r="95" spans="1:13" ht="15.9" x14ac:dyDescent="0.4">
      <c r="A95" s="3">
        <v>44965</v>
      </c>
      <c r="B95" s="4" t="s">
        <v>171</v>
      </c>
      <c r="C95" s="4" t="s">
        <v>172</v>
      </c>
      <c r="D95" s="4">
        <v>17370</v>
      </c>
      <c r="E95" s="7">
        <f t="shared" si="12"/>
        <v>7878.8930399999999</v>
      </c>
      <c r="F95" s="7">
        <f t="shared" si="7"/>
        <v>7.8788930400000003</v>
      </c>
      <c r="G95" s="4">
        <v>18</v>
      </c>
      <c r="H95" s="4" t="s">
        <v>15</v>
      </c>
      <c r="I95" s="4" t="s">
        <v>12</v>
      </c>
      <c r="J95" s="5"/>
      <c r="K95" s="5"/>
      <c r="L95" s="5"/>
      <c r="M95" s="4"/>
    </row>
    <row r="96" spans="1:13" ht="15.9" x14ac:dyDescent="0.4">
      <c r="A96" s="3">
        <v>44965</v>
      </c>
      <c r="B96" s="4" t="s">
        <v>156</v>
      </c>
      <c r="C96" s="4" t="s">
        <v>157</v>
      </c>
      <c r="D96" s="4">
        <v>6020</v>
      </c>
      <c r="E96" s="7">
        <f t="shared" si="12"/>
        <v>2730.6238399999997</v>
      </c>
      <c r="F96" s="7">
        <f t="shared" si="7"/>
        <v>2.7306238399999998</v>
      </c>
      <c r="G96" s="4">
        <v>7</v>
      </c>
      <c r="H96" s="4" t="s">
        <v>35</v>
      </c>
      <c r="I96" s="4" t="s">
        <v>12</v>
      </c>
      <c r="J96" s="5"/>
      <c r="K96" s="5"/>
      <c r="L96" s="5"/>
      <c r="M96" s="4"/>
    </row>
    <row r="97" spans="1:13" ht="15.9" x14ac:dyDescent="0.4">
      <c r="A97" s="3">
        <v>44965</v>
      </c>
      <c r="B97" s="4" t="s">
        <v>107</v>
      </c>
      <c r="C97" s="4" t="s">
        <v>173</v>
      </c>
      <c r="D97" s="4">
        <v>43450</v>
      </c>
      <c r="E97" s="7">
        <f t="shared" ref="E97:E100" si="13">D97*0.453592</f>
        <v>19708.572400000001</v>
      </c>
      <c r="F97" s="7">
        <f t="shared" si="7"/>
        <v>19.708572400000001</v>
      </c>
      <c r="G97" s="4">
        <v>44</v>
      </c>
      <c r="H97" s="4" t="s">
        <v>11</v>
      </c>
      <c r="I97" s="4" t="s">
        <v>19</v>
      </c>
      <c r="J97" s="5">
        <v>4900</v>
      </c>
      <c r="K97" s="5">
        <f t="shared" si="9"/>
        <v>0.24862277695973553</v>
      </c>
      <c r="L97" s="5">
        <f t="shared" si="8"/>
        <v>248.62277695973555</v>
      </c>
      <c r="M97" s="4"/>
    </row>
    <row r="98" spans="1:13" ht="15.9" x14ac:dyDescent="0.4">
      <c r="A98" s="3">
        <v>44965</v>
      </c>
      <c r="B98" s="4" t="s">
        <v>150</v>
      </c>
      <c r="C98" s="4" t="s">
        <v>174</v>
      </c>
      <c r="D98" s="4">
        <v>11040</v>
      </c>
      <c r="E98" s="7">
        <f t="shared" si="13"/>
        <v>5007.6556799999998</v>
      </c>
      <c r="F98" s="7">
        <f t="shared" si="7"/>
        <v>5.0076556800000001</v>
      </c>
      <c r="G98" s="4">
        <v>12</v>
      </c>
      <c r="H98" s="4" t="s">
        <v>35</v>
      </c>
      <c r="I98" s="4" t="s">
        <v>16</v>
      </c>
      <c r="J98" s="5">
        <v>1643</v>
      </c>
      <c r="K98" s="5">
        <f t="shared" si="9"/>
        <v>0.32809763789510388</v>
      </c>
      <c r="L98" s="5">
        <f t="shared" si="8"/>
        <v>328.09763789510384</v>
      </c>
      <c r="M98" s="4"/>
    </row>
    <row r="99" spans="1:13" ht="15.9" x14ac:dyDescent="0.4">
      <c r="A99" s="3">
        <v>44965</v>
      </c>
      <c r="B99" s="4" t="s">
        <v>175</v>
      </c>
      <c r="C99" s="4" t="s">
        <v>176</v>
      </c>
      <c r="D99" s="4">
        <v>1720</v>
      </c>
      <c r="E99" s="7">
        <f t="shared" si="13"/>
        <v>780.17823999999996</v>
      </c>
      <c r="F99" s="7">
        <f t="shared" si="7"/>
        <v>0.78017824000000002</v>
      </c>
      <c r="G99" s="4">
        <v>2</v>
      </c>
      <c r="H99" s="4" t="s">
        <v>35</v>
      </c>
      <c r="I99" s="4" t="s">
        <v>161</v>
      </c>
      <c r="J99" s="5">
        <v>545.04</v>
      </c>
      <c r="K99" s="5">
        <f t="shared" si="9"/>
        <v>0.69860958952149188</v>
      </c>
      <c r="L99" s="5">
        <f t="shared" si="8"/>
        <v>698.6095895214919</v>
      </c>
      <c r="M99" s="4"/>
    </row>
    <row r="100" spans="1:13" ht="15.9" x14ac:dyDescent="0.4">
      <c r="A100" s="3">
        <v>44965</v>
      </c>
      <c r="B100" s="4" t="s">
        <v>13</v>
      </c>
      <c r="C100" s="4" t="s">
        <v>177</v>
      </c>
      <c r="D100" s="4">
        <v>13564</v>
      </c>
      <c r="E100" s="7">
        <f t="shared" si="13"/>
        <v>6152.5218880000002</v>
      </c>
      <c r="F100" s="7">
        <f t="shared" si="7"/>
        <v>6.1525218880000008</v>
      </c>
      <c r="G100" s="4">
        <v>14</v>
      </c>
      <c r="H100" s="4" t="s">
        <v>35</v>
      </c>
      <c r="I100" s="4" t="s">
        <v>16</v>
      </c>
      <c r="J100" s="5">
        <v>1004</v>
      </c>
      <c r="K100" s="5">
        <f t="shared" si="9"/>
        <v>0.16318511632737484</v>
      </c>
      <c r="L100" s="5">
        <f t="shared" si="8"/>
        <v>163.18511632737483</v>
      </c>
      <c r="M100" s="4"/>
    </row>
    <row r="101" spans="1:13" ht="15.9" x14ac:dyDescent="0.4">
      <c r="A101" s="3">
        <v>44966</v>
      </c>
      <c r="B101" s="4" t="s">
        <v>179</v>
      </c>
      <c r="C101" s="4" t="s">
        <v>178</v>
      </c>
      <c r="D101" s="4">
        <v>6020</v>
      </c>
      <c r="E101" s="7">
        <f>D101*0.453592</f>
        <v>2730.6238399999997</v>
      </c>
      <c r="F101" s="7">
        <f t="shared" si="7"/>
        <v>2.7306238399999998</v>
      </c>
      <c r="G101" s="4">
        <v>7</v>
      </c>
      <c r="H101" s="4" t="s">
        <v>11</v>
      </c>
      <c r="I101" s="4" t="s">
        <v>12</v>
      </c>
      <c r="J101" s="5"/>
      <c r="K101" s="5"/>
      <c r="L101" s="5"/>
      <c r="M101" s="4"/>
    </row>
    <row r="102" spans="1:13" ht="15.9" x14ac:dyDescent="0.4">
      <c r="A102" s="3">
        <v>44966</v>
      </c>
      <c r="B102" s="4" t="s">
        <v>143</v>
      </c>
      <c r="C102" s="4" t="s">
        <v>180</v>
      </c>
      <c r="D102" s="4">
        <v>20961</v>
      </c>
      <c r="E102" s="7">
        <f t="shared" ref="E102:E107" si="14">D102*0.453592</f>
        <v>9507.7419119999995</v>
      </c>
      <c r="F102" s="7">
        <f t="shared" si="7"/>
        <v>9.5077419120000002</v>
      </c>
      <c r="G102" s="4">
        <v>23</v>
      </c>
      <c r="H102" s="4" t="s">
        <v>15</v>
      </c>
      <c r="I102" s="4" t="s">
        <v>16</v>
      </c>
      <c r="J102" s="5">
        <v>1306</v>
      </c>
      <c r="K102" s="5">
        <f t="shared" si="9"/>
        <v>0.13736174289203823</v>
      </c>
      <c r="L102" s="5">
        <f t="shared" si="8"/>
        <v>137.36174289203822</v>
      </c>
      <c r="M102" s="4"/>
    </row>
    <row r="103" spans="1:13" ht="15.9" x14ac:dyDescent="0.4">
      <c r="A103" s="3">
        <v>44966</v>
      </c>
      <c r="B103" s="4" t="s">
        <v>146</v>
      </c>
      <c r="C103" s="4" t="s">
        <v>181</v>
      </c>
      <c r="D103" s="4">
        <v>28020</v>
      </c>
      <c r="E103" s="7">
        <f t="shared" si="14"/>
        <v>12709.64784</v>
      </c>
      <c r="F103" s="7">
        <f t="shared" si="7"/>
        <v>12.709647840000001</v>
      </c>
      <c r="G103" s="4">
        <v>29</v>
      </c>
      <c r="H103" s="4" t="s">
        <v>15</v>
      </c>
      <c r="I103" s="4" t="s">
        <v>25</v>
      </c>
      <c r="J103" s="5">
        <v>4650</v>
      </c>
      <c r="K103" s="5">
        <f t="shared" si="9"/>
        <v>0.36586379564077681</v>
      </c>
      <c r="L103" s="5">
        <f t="shared" si="8"/>
        <v>365.86379564077674</v>
      </c>
      <c r="M103" s="4"/>
    </row>
    <row r="104" spans="1:13" ht="15.9" x14ac:dyDescent="0.4">
      <c r="A104" s="3">
        <v>44966</v>
      </c>
      <c r="B104" s="4" t="s">
        <v>20</v>
      </c>
      <c r="C104" s="4" t="s">
        <v>182</v>
      </c>
      <c r="D104" s="4">
        <v>22380</v>
      </c>
      <c r="E104" s="7">
        <f t="shared" si="14"/>
        <v>10151.38896</v>
      </c>
      <c r="F104" s="7">
        <f t="shared" si="7"/>
        <v>10.15138896</v>
      </c>
      <c r="G104" s="4">
        <v>22</v>
      </c>
      <c r="H104" s="4" t="s">
        <v>11</v>
      </c>
      <c r="I104" s="4" t="s">
        <v>19</v>
      </c>
      <c r="J104" s="5">
        <v>3010</v>
      </c>
      <c r="K104" s="5">
        <f t="shared" si="9"/>
        <v>0.29651114855912286</v>
      </c>
      <c r="L104" s="5">
        <f t="shared" si="8"/>
        <v>296.51114855912289</v>
      </c>
      <c r="M104" s="4"/>
    </row>
    <row r="105" spans="1:13" ht="31.75" x14ac:dyDescent="0.4">
      <c r="A105" s="3">
        <v>44966</v>
      </c>
      <c r="B105" s="4" t="s">
        <v>183</v>
      </c>
      <c r="C105" s="6" t="s">
        <v>184</v>
      </c>
      <c r="D105" s="4">
        <v>39730</v>
      </c>
      <c r="E105" s="7">
        <f t="shared" si="14"/>
        <v>18021.210159999999</v>
      </c>
      <c r="F105" s="7">
        <f t="shared" si="7"/>
        <v>18.021210159999999</v>
      </c>
      <c r="G105" s="4">
        <v>42</v>
      </c>
      <c r="H105" s="4" t="s">
        <v>15</v>
      </c>
      <c r="I105" s="4" t="s">
        <v>25</v>
      </c>
      <c r="J105" s="5">
        <v>1500</v>
      </c>
      <c r="K105" s="5">
        <f t="shared" si="9"/>
        <v>8.3235253719498276E-2</v>
      </c>
      <c r="L105" s="5">
        <f t="shared" si="8"/>
        <v>83.235253719498274</v>
      </c>
      <c r="M105" s="4"/>
    </row>
    <row r="106" spans="1:13" ht="15.9" x14ac:dyDescent="0.4">
      <c r="A106" s="3">
        <v>44966</v>
      </c>
      <c r="B106" s="4" t="s">
        <v>17</v>
      </c>
      <c r="C106" s="4" t="s">
        <v>185</v>
      </c>
      <c r="D106" s="4">
        <v>35948</v>
      </c>
      <c r="E106" s="7">
        <f t="shared" si="14"/>
        <v>16305.725216000001</v>
      </c>
      <c r="F106" s="7">
        <f t="shared" si="7"/>
        <v>16.305725216000003</v>
      </c>
      <c r="G106" s="4">
        <v>44</v>
      </c>
      <c r="H106" s="4" t="s">
        <v>15</v>
      </c>
      <c r="I106" s="4" t="s">
        <v>25</v>
      </c>
      <c r="J106" s="5">
        <v>1722.22</v>
      </c>
      <c r="K106" s="5">
        <f t="shared" si="9"/>
        <v>0.10562057051654905</v>
      </c>
      <c r="L106" s="5">
        <f t="shared" si="8"/>
        <v>105.62057051654904</v>
      </c>
      <c r="M106" s="4"/>
    </row>
    <row r="107" spans="1:13" ht="15.9" x14ac:dyDescent="0.4">
      <c r="A107" s="3">
        <v>44967</v>
      </c>
      <c r="B107" s="4" t="s">
        <v>17</v>
      </c>
      <c r="C107" s="4" t="s">
        <v>186</v>
      </c>
      <c r="D107" s="4">
        <v>35948</v>
      </c>
      <c r="E107" s="7">
        <f t="shared" si="14"/>
        <v>16305.725216000001</v>
      </c>
      <c r="F107" s="7">
        <f t="shared" si="7"/>
        <v>16.305725216000003</v>
      </c>
      <c r="G107" s="4">
        <v>44</v>
      </c>
      <c r="H107" s="4" t="s">
        <v>15</v>
      </c>
      <c r="I107" s="4" t="s">
        <v>25</v>
      </c>
      <c r="J107" s="5">
        <v>1722.22</v>
      </c>
      <c r="K107" s="5">
        <f t="shared" si="9"/>
        <v>0.10562057051654905</v>
      </c>
      <c r="L107" s="5">
        <f t="shared" si="8"/>
        <v>105.62057051654904</v>
      </c>
      <c r="M107" s="4"/>
    </row>
    <row r="108" spans="1:13" ht="15.9" x14ac:dyDescent="0.4">
      <c r="A108" s="3">
        <v>44970</v>
      </c>
      <c r="B108" s="4" t="s">
        <v>131</v>
      </c>
      <c r="C108" s="4" t="s">
        <v>187</v>
      </c>
      <c r="D108" s="4">
        <v>930</v>
      </c>
      <c r="E108" s="7">
        <f>D108*0.453592</f>
        <v>421.84055999999998</v>
      </c>
      <c r="F108" s="7">
        <f t="shared" si="7"/>
        <v>0.42184055999999998</v>
      </c>
      <c r="G108" s="4">
        <v>1</v>
      </c>
      <c r="H108" s="4" t="s">
        <v>35</v>
      </c>
      <c r="I108" s="4" t="s">
        <v>12</v>
      </c>
      <c r="J108" s="5"/>
      <c r="K108" s="5"/>
      <c r="L108" s="5"/>
      <c r="M108" s="4"/>
    </row>
    <row r="109" spans="1:13" ht="15.9" x14ac:dyDescent="0.4">
      <c r="A109" s="3">
        <v>44970</v>
      </c>
      <c r="B109" s="4" t="s">
        <v>17</v>
      </c>
      <c r="C109" s="4" t="s">
        <v>188</v>
      </c>
      <c r="D109" s="4">
        <v>35948</v>
      </c>
      <c r="E109" s="7">
        <f t="shared" ref="E109:E111" si="15">D109*0.453592</f>
        <v>16305.725216000001</v>
      </c>
      <c r="F109" s="7">
        <f t="shared" si="7"/>
        <v>16.305725216000003</v>
      </c>
      <c r="G109" s="4">
        <v>44</v>
      </c>
      <c r="H109" s="4" t="s">
        <v>15</v>
      </c>
      <c r="I109" s="4" t="s">
        <v>25</v>
      </c>
      <c r="J109" s="5">
        <v>1722.22</v>
      </c>
      <c r="K109" s="5">
        <f t="shared" si="9"/>
        <v>0.10562057051654905</v>
      </c>
      <c r="L109" s="5">
        <f t="shared" si="8"/>
        <v>105.62057051654904</v>
      </c>
      <c r="M109" s="4"/>
    </row>
    <row r="110" spans="1:13" ht="15.9" x14ac:dyDescent="0.4">
      <c r="A110" s="3">
        <v>44970</v>
      </c>
      <c r="B110" s="4" t="s">
        <v>189</v>
      </c>
      <c r="C110" s="4" t="s">
        <v>190</v>
      </c>
      <c r="D110" s="4">
        <v>22258</v>
      </c>
      <c r="E110" s="7">
        <f t="shared" si="15"/>
        <v>10096.050735999999</v>
      </c>
      <c r="F110" s="7">
        <f t="shared" si="7"/>
        <v>10.096050735999999</v>
      </c>
      <c r="G110" s="4">
        <v>20</v>
      </c>
      <c r="H110" s="4" t="s">
        <v>11</v>
      </c>
      <c r="I110" s="4" t="s">
        <v>19</v>
      </c>
      <c r="J110" s="5">
        <v>3640</v>
      </c>
      <c r="K110" s="5">
        <f t="shared" si="9"/>
        <v>0.36053701543125843</v>
      </c>
      <c r="L110" s="5">
        <f t="shared" si="8"/>
        <v>360.53701543125845</v>
      </c>
      <c r="M110" s="4"/>
    </row>
    <row r="111" spans="1:13" ht="15.9" x14ac:dyDescent="0.4">
      <c r="A111" s="3">
        <v>44970</v>
      </c>
      <c r="B111" s="4" t="s">
        <v>191</v>
      </c>
      <c r="C111" s="6" t="s">
        <v>192</v>
      </c>
      <c r="D111" s="4">
        <v>24768</v>
      </c>
      <c r="E111" s="7">
        <f t="shared" si="15"/>
        <v>11234.566655999999</v>
      </c>
      <c r="F111" s="7">
        <f t="shared" si="7"/>
        <v>11.234566656</v>
      </c>
      <c r="G111" s="4">
        <v>29</v>
      </c>
      <c r="H111" s="4" t="s">
        <v>15</v>
      </c>
      <c r="I111" s="4" t="s">
        <v>25</v>
      </c>
      <c r="J111" s="5">
        <v>2200</v>
      </c>
      <c r="K111" s="5">
        <f t="shared" si="9"/>
        <v>0.19582419752924382</v>
      </c>
      <c r="L111" s="5">
        <f t="shared" si="8"/>
        <v>195.8241975292438</v>
      </c>
      <c r="M111" s="4"/>
    </row>
    <row r="112" spans="1:13" ht="15.9" x14ac:dyDescent="0.4">
      <c r="A112" s="3">
        <v>44971</v>
      </c>
      <c r="B112" s="4" t="s">
        <v>193</v>
      </c>
      <c r="C112" s="4" t="s">
        <v>194</v>
      </c>
      <c r="D112" s="4">
        <v>17892</v>
      </c>
      <c r="E112" s="7">
        <f>D112*0.453592</f>
        <v>8115.6680639999995</v>
      </c>
      <c r="F112" s="7">
        <f t="shared" si="7"/>
        <v>8.1156680639999994</v>
      </c>
      <c r="G112" s="4">
        <v>18</v>
      </c>
      <c r="H112" s="4" t="s">
        <v>15</v>
      </c>
      <c r="I112" s="4" t="s">
        <v>12</v>
      </c>
      <c r="J112" s="5"/>
      <c r="K112" s="5"/>
      <c r="L112" s="5"/>
      <c r="M112" s="4"/>
    </row>
    <row r="113" spans="1:13" ht="15.9" x14ac:dyDescent="0.4">
      <c r="A113" s="3">
        <v>44971</v>
      </c>
      <c r="B113" s="4" t="s">
        <v>195</v>
      </c>
      <c r="C113" s="4" t="s">
        <v>196</v>
      </c>
      <c r="D113" s="4">
        <v>36835</v>
      </c>
      <c r="E113" s="7">
        <f t="shared" ref="E113:E122" si="16">D113*0.453592</f>
        <v>16708.061320000001</v>
      </c>
      <c r="F113" s="7">
        <f t="shared" si="7"/>
        <v>16.708061320000002</v>
      </c>
      <c r="G113" s="4">
        <v>39</v>
      </c>
      <c r="H113" s="4" t="s">
        <v>11</v>
      </c>
      <c r="I113" s="4" t="s">
        <v>19</v>
      </c>
      <c r="J113" s="5">
        <v>5480</v>
      </c>
      <c r="K113" s="5">
        <f t="shared" si="9"/>
        <v>0.3279853895101697</v>
      </c>
      <c r="L113" s="5">
        <f t="shared" si="8"/>
        <v>327.98538951016963</v>
      </c>
      <c r="M113" s="4"/>
    </row>
    <row r="114" spans="1:13" ht="15.9" x14ac:dyDescent="0.4">
      <c r="A114" s="3">
        <v>44971</v>
      </c>
      <c r="B114" s="4" t="s">
        <v>195</v>
      </c>
      <c r="C114" s="4" t="s">
        <v>197</v>
      </c>
      <c r="D114" s="4">
        <v>42460</v>
      </c>
      <c r="E114" s="7">
        <f t="shared" si="16"/>
        <v>19259.516319999999</v>
      </c>
      <c r="F114" s="7">
        <f t="shared" si="7"/>
        <v>19.259516319999999</v>
      </c>
      <c r="G114" s="4">
        <v>44</v>
      </c>
      <c r="H114" s="4" t="s">
        <v>11</v>
      </c>
      <c r="I114" s="4" t="s">
        <v>19</v>
      </c>
      <c r="J114" s="5">
        <v>5480</v>
      </c>
      <c r="K114" s="5">
        <f t="shared" si="9"/>
        <v>0.28453466374486813</v>
      </c>
      <c r="L114" s="5">
        <f t="shared" si="8"/>
        <v>284.53466374486811</v>
      </c>
      <c r="M114" s="4"/>
    </row>
    <row r="115" spans="1:13" ht="15.9" x14ac:dyDescent="0.4">
      <c r="A115" s="3">
        <v>44971</v>
      </c>
      <c r="B115" s="4" t="s">
        <v>107</v>
      </c>
      <c r="C115" s="4" t="s">
        <v>198</v>
      </c>
      <c r="D115" s="4">
        <v>37180</v>
      </c>
      <c r="E115" s="7">
        <f t="shared" si="16"/>
        <v>16864.55056</v>
      </c>
      <c r="F115" s="7">
        <f t="shared" si="7"/>
        <v>16.864550560000001</v>
      </c>
      <c r="G115" s="4">
        <v>44</v>
      </c>
      <c r="H115" s="4" t="s">
        <v>11</v>
      </c>
      <c r="I115" s="4" t="s">
        <v>19</v>
      </c>
      <c r="J115" s="5">
        <v>4900</v>
      </c>
      <c r="K115" s="5">
        <f t="shared" si="9"/>
        <v>0.29055028668371463</v>
      </c>
      <c r="L115" s="5">
        <f t="shared" si="8"/>
        <v>290.5502866837146</v>
      </c>
      <c r="M115" s="4"/>
    </row>
    <row r="116" spans="1:13" ht="15.9" x14ac:dyDescent="0.4">
      <c r="A116" s="3">
        <v>44971</v>
      </c>
      <c r="B116" s="4" t="s">
        <v>141</v>
      </c>
      <c r="C116" s="4" t="s">
        <v>199</v>
      </c>
      <c r="D116" s="4">
        <v>30210</v>
      </c>
      <c r="E116" s="7">
        <f t="shared" si="16"/>
        <v>13703.01432</v>
      </c>
      <c r="F116" s="7">
        <f t="shared" si="7"/>
        <v>13.703014320000001</v>
      </c>
      <c r="G116" s="4">
        <v>31</v>
      </c>
      <c r="H116" s="4" t="s">
        <v>15</v>
      </c>
      <c r="I116" s="4" t="s">
        <v>45</v>
      </c>
      <c r="J116" s="5">
        <v>1900</v>
      </c>
      <c r="K116" s="5">
        <f t="shared" si="9"/>
        <v>0.13865562391092939</v>
      </c>
      <c r="L116" s="5">
        <f t="shared" si="8"/>
        <v>138.65562391092939</v>
      </c>
      <c r="M116" s="4"/>
    </row>
    <row r="117" spans="1:13" ht="15.9" x14ac:dyDescent="0.4">
      <c r="A117" s="3">
        <v>44972</v>
      </c>
      <c r="B117" s="4" t="s">
        <v>107</v>
      </c>
      <c r="C117" s="4" t="s">
        <v>200</v>
      </c>
      <c r="D117" s="4">
        <v>40480</v>
      </c>
      <c r="E117" s="7">
        <f t="shared" si="16"/>
        <v>18361.404159999998</v>
      </c>
      <c r="F117" s="7">
        <f t="shared" si="7"/>
        <v>18.361404159999999</v>
      </c>
      <c r="G117" s="4">
        <v>44</v>
      </c>
      <c r="H117" s="4" t="s">
        <v>11</v>
      </c>
      <c r="I117" s="4" t="s">
        <v>19</v>
      </c>
      <c r="J117" s="5">
        <v>4900</v>
      </c>
      <c r="K117" s="5">
        <f t="shared" si="9"/>
        <v>0.26686412200841181</v>
      </c>
      <c r="L117" s="5">
        <f t="shared" si="8"/>
        <v>266.86412200841181</v>
      </c>
      <c r="M117" s="4"/>
    </row>
    <row r="118" spans="1:13" ht="15.9" x14ac:dyDescent="0.4">
      <c r="A118" s="3">
        <v>44972</v>
      </c>
      <c r="B118" s="4" t="s">
        <v>195</v>
      </c>
      <c r="C118" s="4" t="s">
        <v>201</v>
      </c>
      <c r="D118" s="4">
        <v>36120</v>
      </c>
      <c r="E118" s="7">
        <f t="shared" si="16"/>
        <v>16383.743039999999</v>
      </c>
      <c r="F118" s="7">
        <f t="shared" si="7"/>
        <v>16.383743039999999</v>
      </c>
      <c r="G118" s="4">
        <v>42</v>
      </c>
      <c r="H118" s="4" t="s">
        <v>11</v>
      </c>
      <c r="I118" s="4" t="s">
        <v>19</v>
      </c>
      <c r="J118" s="5">
        <v>5480</v>
      </c>
      <c r="K118" s="5">
        <f t="shared" si="9"/>
        <v>0.33447790206553435</v>
      </c>
      <c r="L118" s="5">
        <f t="shared" si="8"/>
        <v>334.47790206553435</v>
      </c>
      <c r="M118" s="4"/>
    </row>
    <row r="119" spans="1:13" ht="15.9" x14ac:dyDescent="0.4">
      <c r="A119" s="3">
        <v>44972</v>
      </c>
      <c r="B119" s="4" t="s">
        <v>202</v>
      </c>
      <c r="C119" s="4" t="s">
        <v>203</v>
      </c>
      <c r="D119" s="4">
        <v>20860</v>
      </c>
      <c r="E119" s="7">
        <f t="shared" si="16"/>
        <v>9461.9291200000007</v>
      </c>
      <c r="F119" s="7">
        <f t="shared" si="7"/>
        <v>9.4619291200000006</v>
      </c>
      <c r="G119" s="4">
        <v>23</v>
      </c>
      <c r="H119" s="4" t="s">
        <v>15</v>
      </c>
      <c r="I119" s="4" t="s">
        <v>16</v>
      </c>
      <c r="J119" s="5">
        <v>1247</v>
      </c>
      <c r="K119" s="5">
        <f t="shared" si="9"/>
        <v>0.13179130642229964</v>
      </c>
      <c r="L119" s="5">
        <f t="shared" si="8"/>
        <v>131.79130642229964</v>
      </c>
      <c r="M119" s="4"/>
    </row>
    <row r="120" spans="1:13" ht="15.9" x14ac:dyDescent="0.4">
      <c r="A120" s="3">
        <v>44972</v>
      </c>
      <c r="B120" s="4" t="s">
        <v>204</v>
      </c>
      <c r="C120" s="4" t="s">
        <v>205</v>
      </c>
      <c r="D120" s="4">
        <v>6440</v>
      </c>
      <c r="E120" s="7">
        <f t="shared" si="16"/>
        <v>2921.1324799999998</v>
      </c>
      <c r="F120" s="7">
        <f t="shared" si="7"/>
        <v>2.9211324799999998</v>
      </c>
      <c r="G120" s="4">
        <v>7</v>
      </c>
      <c r="H120" s="4" t="s">
        <v>35</v>
      </c>
      <c r="I120" s="4" t="s">
        <v>12</v>
      </c>
      <c r="J120" s="5"/>
      <c r="K120" s="5"/>
      <c r="L120" s="5"/>
      <c r="M120" s="4"/>
    </row>
    <row r="121" spans="1:13" ht="15.9" x14ac:dyDescent="0.4">
      <c r="A121" s="3">
        <v>44972</v>
      </c>
      <c r="B121" s="4" t="s">
        <v>75</v>
      </c>
      <c r="C121" s="4" t="s">
        <v>206</v>
      </c>
      <c r="D121" s="4">
        <v>880</v>
      </c>
      <c r="E121" s="7">
        <f t="shared" si="16"/>
        <v>399.16095999999999</v>
      </c>
      <c r="F121" s="7">
        <f t="shared" si="7"/>
        <v>0.39916096000000001</v>
      </c>
      <c r="G121" s="4">
        <v>1</v>
      </c>
      <c r="H121" s="4" t="s">
        <v>35</v>
      </c>
      <c r="I121" s="4" t="s">
        <v>12</v>
      </c>
      <c r="J121" s="5"/>
      <c r="K121" s="5"/>
      <c r="L121" s="5"/>
      <c r="M121" s="4"/>
    </row>
    <row r="122" spans="1:13" ht="15.9" x14ac:dyDescent="0.4">
      <c r="A122" s="3">
        <v>44972</v>
      </c>
      <c r="B122" s="4" t="s">
        <v>207</v>
      </c>
      <c r="C122" s="4" t="s">
        <v>208</v>
      </c>
      <c r="D122" s="4">
        <v>41280</v>
      </c>
      <c r="E122" s="7">
        <f t="shared" si="16"/>
        <v>18724.277760000001</v>
      </c>
      <c r="F122" s="7">
        <f t="shared" si="7"/>
        <v>18.72427776</v>
      </c>
      <c r="G122" s="4">
        <v>48</v>
      </c>
      <c r="H122" s="4" t="s">
        <v>11</v>
      </c>
      <c r="I122" s="4" t="s">
        <v>12</v>
      </c>
      <c r="J122" s="5"/>
      <c r="K122" s="5"/>
      <c r="L122" s="5"/>
      <c r="M122" s="4"/>
    </row>
    <row r="123" spans="1:13" ht="15.9" x14ac:dyDescent="0.4">
      <c r="A123" s="3">
        <v>44973</v>
      </c>
      <c r="B123" s="4" t="s">
        <v>107</v>
      </c>
      <c r="C123" s="4" t="s">
        <v>209</v>
      </c>
      <c r="D123" s="4">
        <v>42812</v>
      </c>
      <c r="E123" s="7">
        <f t="shared" ref="E123:E133" si="17">D123*0.453592</f>
        <v>19419.180703999999</v>
      </c>
      <c r="F123" s="7">
        <f t="shared" si="7"/>
        <v>19.419180703999999</v>
      </c>
      <c r="G123" s="4">
        <v>44</v>
      </c>
      <c r="H123" s="4" t="s">
        <v>11</v>
      </c>
      <c r="I123" s="4" t="s">
        <v>19</v>
      </c>
      <c r="J123" s="5">
        <v>4900</v>
      </c>
      <c r="K123" s="5">
        <f t="shared" si="9"/>
        <v>0.25232784403673059</v>
      </c>
      <c r="L123" s="5">
        <f t="shared" si="8"/>
        <v>252.3278440367306</v>
      </c>
      <c r="M123" s="4"/>
    </row>
    <row r="124" spans="1:13" ht="15.9" x14ac:dyDescent="0.4">
      <c r="A124" s="3">
        <v>44973</v>
      </c>
      <c r="B124" s="4" t="s">
        <v>113</v>
      </c>
      <c r="C124" s="4" t="s">
        <v>210</v>
      </c>
      <c r="D124" s="4">
        <v>39270</v>
      </c>
      <c r="E124" s="7">
        <f t="shared" si="17"/>
        <v>17812.557840000001</v>
      </c>
      <c r="F124" s="7">
        <f t="shared" si="7"/>
        <v>17.81255784</v>
      </c>
      <c r="G124" s="4">
        <v>34</v>
      </c>
      <c r="H124" s="4" t="s">
        <v>15</v>
      </c>
      <c r="I124" s="4" t="s">
        <v>19</v>
      </c>
      <c r="J124" s="5">
        <v>1587</v>
      </c>
      <c r="K124" s="5">
        <f t="shared" si="9"/>
        <v>8.9094447538366553E-2</v>
      </c>
      <c r="L124" s="5">
        <f t="shared" si="8"/>
        <v>89.094447538366566</v>
      </c>
      <c r="M124" s="4"/>
    </row>
    <row r="125" spans="1:13" ht="15.9" x14ac:dyDescent="0.4">
      <c r="A125" s="3">
        <v>44974</v>
      </c>
      <c r="B125" s="4" t="s">
        <v>13</v>
      </c>
      <c r="C125" s="4" t="s">
        <v>211</v>
      </c>
      <c r="D125" s="4">
        <v>1840</v>
      </c>
      <c r="E125" s="7">
        <f t="shared" si="17"/>
        <v>834.60928000000001</v>
      </c>
      <c r="F125" s="7">
        <f t="shared" si="7"/>
        <v>0.83460928000000001</v>
      </c>
      <c r="G125" s="4">
        <v>2</v>
      </c>
      <c r="H125" s="4" t="s">
        <v>35</v>
      </c>
      <c r="I125" s="4" t="s">
        <v>161</v>
      </c>
      <c r="J125" s="5">
        <v>391.33</v>
      </c>
      <c r="K125" s="5">
        <f t="shared" si="9"/>
        <v>0.46887808388615088</v>
      </c>
      <c r="L125" s="5">
        <f t="shared" si="8"/>
        <v>468.87808388615088</v>
      </c>
      <c r="M125" s="4"/>
    </row>
    <row r="126" spans="1:13" ht="15.9" x14ac:dyDescent="0.4">
      <c r="A126" s="3">
        <v>44974</v>
      </c>
      <c r="B126" s="4" t="s">
        <v>212</v>
      </c>
      <c r="C126" s="4" t="s">
        <v>213</v>
      </c>
      <c r="D126" s="4">
        <v>255</v>
      </c>
      <c r="E126" s="7">
        <f t="shared" si="17"/>
        <v>115.66596</v>
      </c>
      <c r="F126" s="7">
        <f t="shared" si="7"/>
        <v>0.11566596</v>
      </c>
      <c r="G126" s="4">
        <v>1</v>
      </c>
      <c r="H126" s="4" t="s">
        <v>35</v>
      </c>
      <c r="I126" s="4" t="s">
        <v>161</v>
      </c>
      <c r="J126" s="5">
        <v>273.47000000000003</v>
      </c>
      <c r="K126" s="5">
        <f t="shared" si="9"/>
        <v>2.3643083928927755</v>
      </c>
      <c r="L126" s="5">
        <f t="shared" si="8"/>
        <v>2364.3083928927754</v>
      </c>
      <c r="M126" s="4"/>
    </row>
    <row r="127" spans="1:13" ht="15.9" x14ac:dyDescent="0.4">
      <c r="A127" s="3">
        <v>44974</v>
      </c>
      <c r="B127" s="4" t="s">
        <v>214</v>
      </c>
      <c r="C127" s="4" t="s">
        <v>215</v>
      </c>
      <c r="D127" s="4">
        <v>1740</v>
      </c>
      <c r="E127" s="7">
        <f t="shared" si="17"/>
        <v>789.25008000000003</v>
      </c>
      <c r="F127" s="7">
        <f t="shared" si="7"/>
        <v>0.78925008000000008</v>
      </c>
      <c r="G127" s="4">
        <v>2</v>
      </c>
      <c r="H127" s="4" t="s">
        <v>35</v>
      </c>
      <c r="I127" s="4" t="s">
        <v>161</v>
      </c>
      <c r="J127" s="5">
        <v>282.52999999999997</v>
      </c>
      <c r="K127" s="5">
        <f t="shared" si="9"/>
        <v>0.35797272266351871</v>
      </c>
      <c r="L127" s="5">
        <f t="shared" si="8"/>
        <v>357.97272266351871</v>
      </c>
      <c r="M127" s="4"/>
    </row>
    <row r="128" spans="1:13" ht="15.9" x14ac:dyDescent="0.4">
      <c r="A128" s="3">
        <v>44974</v>
      </c>
      <c r="B128" s="4" t="s">
        <v>17</v>
      </c>
      <c r="C128" s="4" t="s">
        <v>216</v>
      </c>
      <c r="D128" s="4">
        <v>36564</v>
      </c>
      <c r="E128" s="7">
        <f t="shared" si="17"/>
        <v>16585.137888000001</v>
      </c>
      <c r="F128" s="7">
        <f t="shared" si="7"/>
        <v>16.585137888000002</v>
      </c>
      <c r="G128" s="4">
        <v>44</v>
      </c>
      <c r="H128" s="4" t="s">
        <v>15</v>
      </c>
      <c r="I128" s="4" t="s">
        <v>25</v>
      </c>
      <c r="J128" s="5">
        <v>1722.22</v>
      </c>
      <c r="K128" s="5">
        <f t="shared" si="9"/>
        <v>0.10384116258967578</v>
      </c>
      <c r="L128" s="5">
        <f t="shared" si="8"/>
        <v>103.84116258967578</v>
      </c>
      <c r="M128" s="4"/>
    </row>
    <row r="129" spans="1:13" ht="15.9" x14ac:dyDescent="0.4">
      <c r="A129" s="3">
        <v>44974</v>
      </c>
      <c r="B129" s="4" t="s">
        <v>17</v>
      </c>
      <c r="C129" s="4" t="s">
        <v>217</v>
      </c>
      <c r="D129" s="4">
        <v>25761</v>
      </c>
      <c r="E129" s="7">
        <f t="shared" si="17"/>
        <v>11684.983512000001</v>
      </c>
      <c r="F129" s="7">
        <f t="shared" si="7"/>
        <v>11.684983512000001</v>
      </c>
      <c r="G129" s="4">
        <v>31</v>
      </c>
      <c r="H129" s="4" t="s">
        <v>15</v>
      </c>
      <c r="I129" s="4" t="s">
        <v>25</v>
      </c>
      <c r="J129" s="5">
        <v>1722.22</v>
      </c>
      <c r="K129" s="5">
        <f t="shared" si="9"/>
        <v>0.14738745657889465</v>
      </c>
      <c r="L129" s="5">
        <f t="shared" si="8"/>
        <v>147.38745657889464</v>
      </c>
      <c r="M129" s="4"/>
    </row>
    <row r="130" spans="1:13" ht="15.9" x14ac:dyDescent="0.4">
      <c r="A130" s="3">
        <v>44977</v>
      </c>
      <c r="B130" s="4" t="s">
        <v>17</v>
      </c>
      <c r="C130" s="4" t="s">
        <v>218</v>
      </c>
      <c r="D130" s="4">
        <v>35948</v>
      </c>
      <c r="E130" s="7">
        <f t="shared" si="17"/>
        <v>16305.725216000001</v>
      </c>
      <c r="F130" s="7">
        <f t="shared" si="7"/>
        <v>16.305725216000003</v>
      </c>
      <c r="G130" s="4">
        <v>44</v>
      </c>
      <c r="H130" s="4" t="s">
        <v>15</v>
      </c>
      <c r="I130" s="4" t="s">
        <v>25</v>
      </c>
      <c r="J130" s="5">
        <v>1722.22</v>
      </c>
      <c r="K130" s="5">
        <f t="shared" si="9"/>
        <v>0.10562057051654905</v>
      </c>
      <c r="L130" s="5">
        <f t="shared" si="8"/>
        <v>105.62057051654904</v>
      </c>
      <c r="M130" s="4"/>
    </row>
    <row r="131" spans="1:13" ht="15.9" x14ac:dyDescent="0.4">
      <c r="A131" s="3">
        <v>44977</v>
      </c>
      <c r="B131" s="4" t="s">
        <v>113</v>
      </c>
      <c r="C131" s="4" t="s">
        <v>219</v>
      </c>
      <c r="D131" s="4">
        <v>17595</v>
      </c>
      <c r="E131" s="7">
        <f t="shared" si="17"/>
        <v>7980.9512400000003</v>
      </c>
      <c r="F131" s="7">
        <f t="shared" ref="F131:F194" si="18">E131*0.001</f>
        <v>7.9809512400000004</v>
      </c>
      <c r="G131" s="4">
        <v>15</v>
      </c>
      <c r="H131" s="4" t="s">
        <v>15</v>
      </c>
      <c r="I131" s="4" t="s">
        <v>19</v>
      </c>
      <c r="J131" s="5">
        <v>1587</v>
      </c>
      <c r="K131" s="5">
        <f t="shared" si="9"/>
        <v>0.19884847711461523</v>
      </c>
      <c r="L131" s="5">
        <f t="shared" ref="L131:L194" si="19">J131/F131</f>
        <v>198.84847711461521</v>
      </c>
      <c r="M131" s="4"/>
    </row>
    <row r="132" spans="1:13" ht="15.9" x14ac:dyDescent="0.4">
      <c r="A132" s="3">
        <v>44977</v>
      </c>
      <c r="B132" s="4" t="s">
        <v>113</v>
      </c>
      <c r="C132" s="4" t="s">
        <v>220</v>
      </c>
      <c r="D132" s="4">
        <v>39270</v>
      </c>
      <c r="E132" s="7">
        <f t="shared" si="17"/>
        <v>17812.557840000001</v>
      </c>
      <c r="F132" s="7">
        <f t="shared" si="18"/>
        <v>17.81255784</v>
      </c>
      <c r="G132" s="4">
        <v>34</v>
      </c>
      <c r="H132" s="4" t="s">
        <v>15</v>
      </c>
      <c r="I132" s="4" t="s">
        <v>19</v>
      </c>
      <c r="J132" s="5">
        <v>1587</v>
      </c>
      <c r="K132" s="5">
        <f t="shared" ref="K132:K195" si="20">J132/E132</f>
        <v>8.9094447538366553E-2</v>
      </c>
      <c r="L132" s="5">
        <f t="shared" si="19"/>
        <v>89.094447538366566</v>
      </c>
      <c r="M132" s="4"/>
    </row>
    <row r="133" spans="1:13" ht="15.9" x14ac:dyDescent="0.4">
      <c r="A133" s="3">
        <v>44977</v>
      </c>
      <c r="B133" s="4" t="s">
        <v>81</v>
      </c>
      <c r="C133" s="4" t="s">
        <v>221</v>
      </c>
      <c r="D133" s="4">
        <v>1140</v>
      </c>
      <c r="E133" s="7">
        <f t="shared" si="17"/>
        <v>517.09487999999999</v>
      </c>
      <c r="F133" s="7">
        <f t="shared" si="18"/>
        <v>0.51709488000000003</v>
      </c>
      <c r="G133" s="4">
        <v>1</v>
      </c>
      <c r="H133" s="4" t="s">
        <v>35</v>
      </c>
      <c r="I133" s="4" t="s">
        <v>161</v>
      </c>
      <c r="J133" s="5">
        <v>283.08999999999997</v>
      </c>
      <c r="K133" s="5">
        <f t="shared" si="20"/>
        <v>0.54746239220160131</v>
      </c>
      <c r="L133" s="5">
        <f t="shared" si="19"/>
        <v>547.46239220160135</v>
      </c>
      <c r="M133" s="4"/>
    </row>
    <row r="134" spans="1:13" ht="15.9" x14ac:dyDescent="0.4">
      <c r="A134" s="3">
        <v>44977</v>
      </c>
      <c r="B134" s="4" t="s">
        <v>171</v>
      </c>
      <c r="C134" s="4" t="s">
        <v>222</v>
      </c>
      <c r="D134" s="4">
        <v>8511</v>
      </c>
      <c r="E134" s="7">
        <f>D134*0.453592</f>
        <v>3860.5215119999998</v>
      </c>
      <c r="F134" s="7">
        <f t="shared" si="18"/>
        <v>3.860521512</v>
      </c>
      <c r="G134" s="4">
        <v>10</v>
      </c>
      <c r="H134" s="4" t="s">
        <v>15</v>
      </c>
      <c r="I134" s="4" t="s">
        <v>12</v>
      </c>
      <c r="J134" s="5"/>
      <c r="K134" s="5"/>
      <c r="L134" s="5"/>
      <c r="M134" s="4"/>
    </row>
    <row r="135" spans="1:13" ht="15.9" x14ac:dyDescent="0.4">
      <c r="A135" s="3">
        <v>44977</v>
      </c>
      <c r="B135" s="4" t="s">
        <v>223</v>
      </c>
      <c r="C135" s="4" t="s">
        <v>224</v>
      </c>
      <c r="D135" s="4">
        <v>2230</v>
      </c>
      <c r="E135" s="7">
        <f t="shared" ref="E135:E140" si="21">D135*0.453592</f>
        <v>1011.51016</v>
      </c>
      <c r="F135" s="7">
        <f t="shared" si="18"/>
        <v>1.01151016</v>
      </c>
      <c r="G135" s="4">
        <v>2</v>
      </c>
      <c r="H135" s="4" t="s">
        <v>35</v>
      </c>
      <c r="I135" s="4" t="s">
        <v>161</v>
      </c>
      <c r="J135" s="5">
        <v>479.61</v>
      </c>
      <c r="K135" s="5">
        <f t="shared" si="20"/>
        <v>0.47415242967010829</v>
      </c>
      <c r="L135" s="5">
        <f t="shared" si="19"/>
        <v>474.15242967010829</v>
      </c>
      <c r="M135" s="4"/>
    </row>
    <row r="136" spans="1:13" ht="15.9" x14ac:dyDescent="0.4">
      <c r="A136" s="3">
        <v>44978</v>
      </c>
      <c r="B136" s="4" t="s">
        <v>225</v>
      </c>
      <c r="C136" s="4" t="s">
        <v>226</v>
      </c>
      <c r="D136" s="4">
        <v>11340</v>
      </c>
      <c r="E136" s="7">
        <f t="shared" si="21"/>
        <v>5143.7332800000004</v>
      </c>
      <c r="F136" s="7">
        <f t="shared" si="18"/>
        <v>5.1437332800000002</v>
      </c>
      <c r="G136" s="4">
        <v>10</v>
      </c>
      <c r="H136" s="4" t="s">
        <v>35</v>
      </c>
      <c r="I136" s="4" t="s">
        <v>16</v>
      </c>
      <c r="J136" s="5">
        <v>2195</v>
      </c>
      <c r="K136" s="5">
        <f t="shared" si="20"/>
        <v>0.42673285734597804</v>
      </c>
      <c r="L136" s="5">
        <f t="shared" si="19"/>
        <v>426.73285734597806</v>
      </c>
      <c r="M136" s="4"/>
    </row>
    <row r="137" spans="1:13" ht="15.9" x14ac:dyDescent="0.4">
      <c r="A137" s="3">
        <v>44978</v>
      </c>
      <c r="B137" s="4" t="s">
        <v>107</v>
      </c>
      <c r="C137" s="4" t="s">
        <v>227</v>
      </c>
      <c r="D137" s="4">
        <v>43940</v>
      </c>
      <c r="E137" s="7">
        <f t="shared" si="21"/>
        <v>19930.832480000001</v>
      </c>
      <c r="F137" s="7">
        <f t="shared" si="18"/>
        <v>19.930832480000003</v>
      </c>
      <c r="G137" s="4">
        <v>44</v>
      </c>
      <c r="H137" s="4" t="s">
        <v>11</v>
      </c>
      <c r="I137" s="4" t="s">
        <v>19</v>
      </c>
      <c r="J137" s="5">
        <v>4900</v>
      </c>
      <c r="K137" s="5">
        <f t="shared" si="20"/>
        <v>0.24585024257852775</v>
      </c>
      <c r="L137" s="5">
        <f t="shared" si="19"/>
        <v>245.85024257852771</v>
      </c>
      <c r="M137" s="4"/>
    </row>
    <row r="138" spans="1:13" ht="15.9" x14ac:dyDescent="0.4">
      <c r="A138" s="3">
        <v>44978</v>
      </c>
      <c r="B138" s="4" t="s">
        <v>17</v>
      </c>
      <c r="C138" s="4" t="s">
        <v>228</v>
      </c>
      <c r="D138" s="4">
        <v>36520</v>
      </c>
      <c r="E138" s="7">
        <f t="shared" si="21"/>
        <v>16565.179840000001</v>
      </c>
      <c r="F138" s="7">
        <f t="shared" si="18"/>
        <v>16.565179840000003</v>
      </c>
      <c r="G138" s="4">
        <v>44</v>
      </c>
      <c r="H138" s="4" t="s">
        <v>15</v>
      </c>
      <c r="I138" s="4" t="s">
        <v>25</v>
      </c>
      <c r="J138" s="5">
        <v>1722.22</v>
      </c>
      <c r="K138" s="5">
        <f t="shared" si="20"/>
        <v>0.10396627242412117</v>
      </c>
      <c r="L138" s="5">
        <f t="shared" si="19"/>
        <v>103.96627242412116</v>
      </c>
      <c r="M138" s="4"/>
    </row>
    <row r="139" spans="1:13" ht="15.9" x14ac:dyDescent="0.4">
      <c r="A139" s="3">
        <v>44978</v>
      </c>
      <c r="B139" s="4" t="s">
        <v>229</v>
      </c>
      <c r="C139" s="4" t="s">
        <v>230</v>
      </c>
      <c r="D139" s="4">
        <v>20880</v>
      </c>
      <c r="E139" s="7">
        <f t="shared" si="21"/>
        <v>9471.0009599999994</v>
      </c>
      <c r="F139" s="7">
        <f t="shared" si="18"/>
        <v>9.4710009599999996</v>
      </c>
      <c r="G139" s="4">
        <v>24</v>
      </c>
      <c r="H139" s="4" t="s">
        <v>15</v>
      </c>
      <c r="I139" s="4" t="s">
        <v>12</v>
      </c>
      <c r="J139" s="5"/>
      <c r="K139" s="5"/>
      <c r="L139" s="5"/>
      <c r="M139" s="4"/>
    </row>
    <row r="140" spans="1:13" ht="15.9" x14ac:dyDescent="0.4">
      <c r="A140" s="3">
        <v>44978</v>
      </c>
      <c r="B140" s="4" t="s">
        <v>77</v>
      </c>
      <c r="C140" s="4" t="s">
        <v>231</v>
      </c>
      <c r="D140" s="4">
        <v>1980</v>
      </c>
      <c r="E140" s="7">
        <f t="shared" si="21"/>
        <v>898.11216000000002</v>
      </c>
      <c r="F140" s="7">
        <f t="shared" si="18"/>
        <v>0.89811216000000005</v>
      </c>
      <c r="G140" s="4">
        <v>3</v>
      </c>
      <c r="H140" s="4" t="s">
        <v>35</v>
      </c>
      <c r="I140" s="4" t="s">
        <v>12</v>
      </c>
      <c r="J140" s="5"/>
      <c r="K140" s="5"/>
      <c r="L140" s="5"/>
      <c r="M140" s="4"/>
    </row>
    <row r="141" spans="1:13" ht="15.9" x14ac:dyDescent="0.4">
      <c r="A141" s="3">
        <v>44978</v>
      </c>
      <c r="B141" s="4" t="s">
        <v>17</v>
      </c>
      <c r="C141" s="4" t="s">
        <v>232</v>
      </c>
      <c r="D141" s="4">
        <v>29916</v>
      </c>
      <c r="E141" s="7">
        <f t="shared" ref="E141:E143" si="22">D141*0.453592</f>
        <v>13569.658272000001</v>
      </c>
      <c r="F141" s="7">
        <f t="shared" si="18"/>
        <v>13.569658272000002</v>
      </c>
      <c r="G141" s="4">
        <v>36</v>
      </c>
      <c r="H141" s="4" t="s">
        <v>15</v>
      </c>
      <c r="I141" s="4" t="s">
        <v>25</v>
      </c>
      <c r="J141" s="5">
        <v>1722.22</v>
      </c>
      <c r="K141" s="5">
        <f t="shared" si="20"/>
        <v>0.12691697649849262</v>
      </c>
      <c r="L141" s="5">
        <f t="shared" si="19"/>
        <v>126.9169764984926</v>
      </c>
      <c r="M141" s="4"/>
    </row>
    <row r="142" spans="1:13" ht="15.9" x14ac:dyDescent="0.4">
      <c r="A142" s="3">
        <v>44978</v>
      </c>
      <c r="B142" s="4" t="s">
        <v>129</v>
      </c>
      <c r="C142" s="4" t="s">
        <v>233</v>
      </c>
      <c r="D142" s="4">
        <v>10686</v>
      </c>
      <c r="E142" s="7">
        <f t="shared" si="22"/>
        <v>4847.0841119999995</v>
      </c>
      <c r="F142" s="7">
        <f t="shared" si="18"/>
        <v>4.8470841119999992</v>
      </c>
      <c r="G142" s="4">
        <v>13</v>
      </c>
      <c r="H142" s="4" t="s">
        <v>35</v>
      </c>
      <c r="I142" s="4" t="s">
        <v>16</v>
      </c>
      <c r="J142" s="5">
        <v>1677</v>
      </c>
      <c r="K142" s="5">
        <f t="shared" si="20"/>
        <v>0.34598120462738119</v>
      </c>
      <c r="L142" s="5">
        <f t="shared" si="19"/>
        <v>345.9812046273812</v>
      </c>
      <c r="M142" s="4"/>
    </row>
    <row r="143" spans="1:13" ht="15.9" x14ac:dyDescent="0.4">
      <c r="A143" s="3">
        <v>44979</v>
      </c>
      <c r="B143" s="4" t="s">
        <v>159</v>
      </c>
      <c r="C143" s="4" t="s">
        <v>234</v>
      </c>
      <c r="D143" s="4">
        <v>41040</v>
      </c>
      <c r="E143" s="7">
        <f t="shared" si="22"/>
        <v>18615.415679999998</v>
      </c>
      <c r="F143" s="7">
        <f t="shared" si="18"/>
        <v>18.615415679999998</v>
      </c>
      <c r="G143" s="4">
        <v>42</v>
      </c>
      <c r="H143" s="4" t="s">
        <v>15</v>
      </c>
      <c r="I143" s="4" t="s">
        <v>19</v>
      </c>
      <c r="J143" s="5">
        <v>1000</v>
      </c>
      <c r="K143" s="5">
        <f t="shared" si="20"/>
        <v>5.3718918620462422E-2</v>
      </c>
      <c r="L143" s="5">
        <f t="shared" si="19"/>
        <v>53.718918620462418</v>
      </c>
      <c r="M143" s="4"/>
    </row>
    <row r="144" spans="1:13" ht="15.9" x14ac:dyDescent="0.4">
      <c r="A144" s="3">
        <v>44979</v>
      </c>
      <c r="B144" s="4" t="s">
        <v>179</v>
      </c>
      <c r="C144" s="4" t="s">
        <v>235</v>
      </c>
      <c r="D144" s="4">
        <v>35971</v>
      </c>
      <c r="E144" s="7">
        <f>D144*0.453592</f>
        <v>16316.157831999999</v>
      </c>
      <c r="F144" s="7">
        <f t="shared" si="18"/>
        <v>16.316157831999998</v>
      </c>
      <c r="G144" s="4">
        <v>44</v>
      </c>
      <c r="H144" s="4" t="s">
        <v>11</v>
      </c>
      <c r="I144" s="4" t="s">
        <v>12</v>
      </c>
      <c r="J144" s="5"/>
      <c r="K144" s="5"/>
      <c r="L144" s="5"/>
      <c r="M144" s="4"/>
    </row>
    <row r="145" spans="1:13" ht="15.9" x14ac:dyDescent="0.4">
      <c r="A145" s="3">
        <v>44979</v>
      </c>
      <c r="B145" s="4" t="s">
        <v>107</v>
      </c>
      <c r="C145" s="4" t="s">
        <v>236</v>
      </c>
      <c r="D145" s="4">
        <v>42350</v>
      </c>
      <c r="E145" s="7">
        <f t="shared" ref="E145:E148" si="23">D145*0.453592</f>
        <v>19209.621200000001</v>
      </c>
      <c r="F145" s="7">
        <f t="shared" si="18"/>
        <v>19.209621200000001</v>
      </c>
      <c r="G145" s="4">
        <v>44</v>
      </c>
      <c r="H145" s="4" t="s">
        <v>11</v>
      </c>
      <c r="I145" s="4" t="s">
        <v>19</v>
      </c>
      <c r="J145" s="5">
        <v>4900</v>
      </c>
      <c r="K145" s="5">
        <f t="shared" si="20"/>
        <v>0.25508051142622218</v>
      </c>
      <c r="L145" s="5">
        <f t="shared" si="19"/>
        <v>255.08051142622219</v>
      </c>
      <c r="M145" s="4"/>
    </row>
    <row r="146" spans="1:13" ht="15.9" x14ac:dyDescent="0.4">
      <c r="A146" s="3">
        <v>44979</v>
      </c>
      <c r="B146" s="4" t="s">
        <v>17</v>
      </c>
      <c r="C146" s="4" t="s">
        <v>237</v>
      </c>
      <c r="D146" s="4">
        <v>38280</v>
      </c>
      <c r="E146" s="7">
        <f t="shared" si="23"/>
        <v>17363.501759999999</v>
      </c>
      <c r="F146" s="7">
        <f t="shared" si="18"/>
        <v>17.363501759999998</v>
      </c>
      <c r="G146" s="4">
        <v>44</v>
      </c>
      <c r="H146" s="4" t="s">
        <v>15</v>
      </c>
      <c r="I146" s="4" t="s">
        <v>25</v>
      </c>
      <c r="J146" s="5">
        <v>1722.22</v>
      </c>
      <c r="K146" s="5">
        <f t="shared" si="20"/>
        <v>9.9186213921862734E-2</v>
      </c>
      <c r="L146" s="5">
        <f t="shared" si="19"/>
        <v>99.186213921862745</v>
      </c>
      <c r="M146" s="4"/>
    </row>
    <row r="147" spans="1:13" ht="15.9" x14ac:dyDescent="0.4">
      <c r="A147" s="3">
        <v>44979</v>
      </c>
      <c r="B147" s="4" t="s">
        <v>238</v>
      </c>
      <c r="C147" s="4" t="s">
        <v>239</v>
      </c>
      <c r="D147" s="4">
        <v>1940</v>
      </c>
      <c r="E147" s="7">
        <f t="shared" si="23"/>
        <v>879.96848</v>
      </c>
      <c r="F147" s="7">
        <f t="shared" si="18"/>
        <v>0.87996848000000005</v>
      </c>
      <c r="G147" s="4">
        <v>2</v>
      </c>
      <c r="H147" s="4" t="s">
        <v>35</v>
      </c>
      <c r="I147" s="4" t="s">
        <v>12</v>
      </c>
      <c r="J147" s="5"/>
      <c r="K147" s="5"/>
      <c r="L147" s="5"/>
      <c r="M147" s="4"/>
    </row>
    <row r="148" spans="1:13" ht="15.9" x14ac:dyDescent="0.4">
      <c r="A148" s="3">
        <v>44980</v>
      </c>
      <c r="B148" s="4" t="s">
        <v>207</v>
      </c>
      <c r="C148" s="4" t="s">
        <v>240</v>
      </c>
      <c r="D148" s="4">
        <v>36144</v>
      </c>
      <c r="E148" s="7">
        <f t="shared" si="23"/>
        <v>16394.629248000001</v>
      </c>
      <c r="F148" s="7">
        <f t="shared" si="18"/>
        <v>16.394629248000001</v>
      </c>
      <c r="G148" s="4">
        <v>48</v>
      </c>
      <c r="H148" s="4" t="s">
        <v>11</v>
      </c>
      <c r="I148" s="4" t="s">
        <v>12</v>
      </c>
      <c r="J148" s="5"/>
      <c r="K148" s="5"/>
      <c r="L148" s="5"/>
      <c r="M148" s="4"/>
    </row>
    <row r="149" spans="1:13" ht="15.9" x14ac:dyDescent="0.4">
      <c r="A149" s="3">
        <v>44980</v>
      </c>
      <c r="B149" s="4" t="s">
        <v>107</v>
      </c>
      <c r="C149" s="4" t="s">
        <v>241</v>
      </c>
      <c r="D149" s="4">
        <v>9490</v>
      </c>
      <c r="E149" s="7">
        <f>D149*0.453592</f>
        <v>4304.5880799999995</v>
      </c>
      <c r="F149" s="7">
        <f t="shared" si="18"/>
        <v>4.3045880799999994</v>
      </c>
      <c r="G149" s="4">
        <v>10</v>
      </c>
      <c r="H149" s="4" t="s">
        <v>11</v>
      </c>
      <c r="I149" s="4" t="s">
        <v>19</v>
      </c>
      <c r="J149" s="5">
        <v>2000</v>
      </c>
      <c r="K149" s="5">
        <f t="shared" si="20"/>
        <v>0.4646205311240838</v>
      </c>
      <c r="L149" s="5">
        <f t="shared" si="19"/>
        <v>464.62053112408381</v>
      </c>
      <c r="M149" s="4"/>
    </row>
    <row r="150" spans="1:13" ht="15.9" x14ac:dyDescent="0.4">
      <c r="A150" s="3">
        <v>44980</v>
      </c>
      <c r="B150" s="4" t="s">
        <v>207</v>
      </c>
      <c r="C150" s="4" t="s">
        <v>242</v>
      </c>
      <c r="D150" s="4">
        <v>36144</v>
      </c>
      <c r="E150" s="7">
        <f>D150*0.453592</f>
        <v>16394.629248000001</v>
      </c>
      <c r="F150" s="7">
        <f t="shared" si="18"/>
        <v>16.394629248000001</v>
      </c>
      <c r="G150" s="4">
        <v>48</v>
      </c>
      <c r="H150" s="4" t="s">
        <v>11</v>
      </c>
      <c r="I150" s="4" t="s">
        <v>12</v>
      </c>
      <c r="J150" s="5"/>
      <c r="K150" s="5"/>
      <c r="L150" s="5"/>
      <c r="M150" s="4"/>
    </row>
    <row r="151" spans="1:13" ht="15.9" x14ac:dyDescent="0.4">
      <c r="A151" s="3">
        <v>44980</v>
      </c>
      <c r="B151" s="4" t="s">
        <v>243</v>
      </c>
      <c r="C151" s="4" t="s">
        <v>244</v>
      </c>
      <c r="D151" s="4">
        <v>1740</v>
      </c>
      <c r="E151" s="7">
        <f t="shared" ref="E151:E156" si="24">D151*0.453592</f>
        <v>789.25008000000003</v>
      </c>
      <c r="F151" s="7">
        <f t="shared" si="18"/>
        <v>0.78925008000000008</v>
      </c>
      <c r="G151" s="4">
        <v>2</v>
      </c>
      <c r="H151" s="4" t="s">
        <v>11</v>
      </c>
      <c r="I151" s="4" t="s">
        <v>19</v>
      </c>
      <c r="J151" s="5">
        <v>350</v>
      </c>
      <c r="K151" s="5">
        <f t="shared" si="20"/>
        <v>0.44345893509443801</v>
      </c>
      <c r="L151" s="5">
        <f t="shared" si="19"/>
        <v>443.45893509443795</v>
      </c>
      <c r="M151" s="4"/>
    </row>
    <row r="152" spans="1:13" ht="15.9" x14ac:dyDescent="0.4">
      <c r="A152" s="3">
        <v>44980</v>
      </c>
      <c r="B152" s="4" t="s">
        <v>168</v>
      </c>
      <c r="C152" s="4" t="s">
        <v>245</v>
      </c>
      <c r="D152" s="4">
        <v>40480</v>
      </c>
      <c r="E152" s="7">
        <f t="shared" si="24"/>
        <v>18361.404159999998</v>
      </c>
      <c r="F152" s="7">
        <f t="shared" si="18"/>
        <v>18.361404159999999</v>
      </c>
      <c r="G152" s="4">
        <v>44</v>
      </c>
      <c r="H152" s="4" t="s">
        <v>15</v>
      </c>
      <c r="I152" s="4" t="s">
        <v>25</v>
      </c>
      <c r="J152" s="5">
        <v>2564.1</v>
      </c>
      <c r="K152" s="5">
        <f t="shared" si="20"/>
        <v>0.13964618270240178</v>
      </c>
      <c r="L152" s="5">
        <f t="shared" si="19"/>
        <v>139.64618270240177</v>
      </c>
      <c r="M152" s="4"/>
    </row>
    <row r="153" spans="1:13" ht="15.9" x14ac:dyDescent="0.4">
      <c r="A153" s="3">
        <v>44980</v>
      </c>
      <c r="B153" s="4" t="s">
        <v>153</v>
      </c>
      <c r="C153" s="4" t="s">
        <v>246</v>
      </c>
      <c r="D153" s="4">
        <v>36168</v>
      </c>
      <c r="E153" s="7">
        <f t="shared" si="24"/>
        <v>16405.515456000001</v>
      </c>
      <c r="F153" s="7">
        <f t="shared" si="18"/>
        <v>16.405515456</v>
      </c>
      <c r="G153" s="4">
        <v>44</v>
      </c>
      <c r="H153" s="4" t="s">
        <v>15</v>
      </c>
      <c r="I153" s="4" t="s">
        <v>12</v>
      </c>
      <c r="J153" s="5"/>
      <c r="K153" s="5"/>
      <c r="L153" s="5"/>
      <c r="M153" s="4"/>
    </row>
    <row r="154" spans="1:13" ht="15.9" x14ac:dyDescent="0.4">
      <c r="A154" s="3">
        <v>44980</v>
      </c>
      <c r="B154" s="4" t="s">
        <v>247</v>
      </c>
      <c r="C154" s="4" t="s">
        <v>248</v>
      </c>
      <c r="D154" s="4">
        <v>1660</v>
      </c>
      <c r="E154" s="7">
        <f t="shared" si="24"/>
        <v>752.96271999999999</v>
      </c>
      <c r="F154" s="7">
        <f t="shared" si="18"/>
        <v>0.75296271999999997</v>
      </c>
      <c r="G154" s="4">
        <v>2</v>
      </c>
      <c r="H154" s="4" t="s">
        <v>35</v>
      </c>
      <c r="I154" s="4" t="s">
        <v>12</v>
      </c>
      <c r="J154" s="5"/>
      <c r="K154" s="5"/>
      <c r="L154" s="5"/>
      <c r="M154" s="4"/>
    </row>
    <row r="155" spans="1:13" ht="15.9" x14ac:dyDescent="0.4">
      <c r="A155" s="3">
        <v>44980</v>
      </c>
      <c r="B155" s="4" t="s">
        <v>207</v>
      </c>
      <c r="C155" s="4" t="s">
        <v>249</v>
      </c>
      <c r="D155" s="4">
        <v>36144</v>
      </c>
      <c r="E155" s="7">
        <f t="shared" si="24"/>
        <v>16394.629248000001</v>
      </c>
      <c r="F155" s="7">
        <f t="shared" si="18"/>
        <v>16.394629248000001</v>
      </c>
      <c r="G155" s="4">
        <v>48</v>
      </c>
      <c r="H155" s="4" t="s">
        <v>11</v>
      </c>
      <c r="I155" s="4" t="s">
        <v>12</v>
      </c>
      <c r="J155" s="5"/>
      <c r="K155" s="5"/>
      <c r="L155" s="5"/>
      <c r="M155" s="4"/>
    </row>
    <row r="156" spans="1:13" ht="15.9" x14ac:dyDescent="0.4">
      <c r="A156" s="3">
        <v>44980</v>
      </c>
      <c r="B156" s="4" t="s">
        <v>250</v>
      </c>
      <c r="C156" s="4" t="s">
        <v>251</v>
      </c>
      <c r="D156" s="4">
        <v>34200</v>
      </c>
      <c r="E156" s="7">
        <f t="shared" si="24"/>
        <v>15512.8464</v>
      </c>
      <c r="F156" s="7">
        <f t="shared" si="18"/>
        <v>15.512846400000001</v>
      </c>
      <c r="G156" s="4">
        <v>45</v>
      </c>
      <c r="H156" s="4" t="s">
        <v>11</v>
      </c>
      <c r="I156" s="4" t="s">
        <v>12</v>
      </c>
      <c r="J156" s="5"/>
      <c r="K156" s="5"/>
      <c r="L156" s="5"/>
      <c r="M156" s="4"/>
    </row>
    <row r="157" spans="1:13" ht="15.9" x14ac:dyDescent="0.4">
      <c r="A157" s="3">
        <v>44980</v>
      </c>
      <c r="B157" s="4" t="s">
        <v>202</v>
      </c>
      <c r="C157" s="4" t="s">
        <v>252</v>
      </c>
      <c r="D157" s="4">
        <v>23720</v>
      </c>
      <c r="E157" s="7">
        <f t="shared" ref="E157:E165" si="25">D157*0.453592</f>
        <v>10759.202240000001</v>
      </c>
      <c r="F157" s="7">
        <f t="shared" si="18"/>
        <v>10.75920224</v>
      </c>
      <c r="G157" s="4">
        <v>24</v>
      </c>
      <c r="H157" s="4" t="s">
        <v>15</v>
      </c>
      <c r="I157" s="4" t="s">
        <v>16</v>
      </c>
      <c r="J157" s="5">
        <v>1313</v>
      </c>
      <c r="K157" s="5">
        <f t="shared" si="20"/>
        <v>0.1220350701391779</v>
      </c>
      <c r="L157" s="5">
        <f t="shared" si="19"/>
        <v>122.0350701391779</v>
      </c>
      <c r="M157" s="4"/>
    </row>
    <row r="158" spans="1:13" ht="15.9" x14ac:dyDescent="0.4">
      <c r="A158" s="3">
        <v>44984</v>
      </c>
      <c r="B158" s="4" t="s">
        <v>168</v>
      </c>
      <c r="C158" s="4" t="s">
        <v>253</v>
      </c>
      <c r="D158" s="4">
        <v>22080</v>
      </c>
      <c r="E158" s="7">
        <f t="shared" si="25"/>
        <v>10015.31136</v>
      </c>
      <c r="F158" s="7">
        <f t="shared" si="18"/>
        <v>10.01531136</v>
      </c>
      <c r="G158" s="4">
        <v>24</v>
      </c>
      <c r="H158" s="4" t="s">
        <v>15</v>
      </c>
      <c r="I158" s="4" t="s">
        <v>25</v>
      </c>
      <c r="J158" s="5">
        <v>2564.1</v>
      </c>
      <c r="K158" s="5">
        <f t="shared" si="20"/>
        <v>0.25601800162106991</v>
      </c>
      <c r="L158" s="5">
        <f t="shared" si="19"/>
        <v>256.01800162106991</v>
      </c>
      <c r="M158" s="4"/>
    </row>
    <row r="159" spans="1:13" ht="15.9" x14ac:dyDescent="0.4">
      <c r="A159" s="3">
        <v>44984</v>
      </c>
      <c r="B159" s="4" t="s">
        <v>168</v>
      </c>
      <c r="C159" s="4" t="s">
        <v>254</v>
      </c>
      <c r="D159" s="4">
        <v>40436</v>
      </c>
      <c r="E159" s="7">
        <f t="shared" si="25"/>
        <v>18341.446112000001</v>
      </c>
      <c r="F159" s="7">
        <f t="shared" si="18"/>
        <v>18.341446112000003</v>
      </c>
      <c r="G159" s="4">
        <v>44</v>
      </c>
      <c r="H159" s="4" t="s">
        <v>15</v>
      </c>
      <c r="I159" s="4" t="s">
        <v>25</v>
      </c>
      <c r="J159" s="5">
        <v>2564.1</v>
      </c>
      <c r="K159" s="5">
        <f t="shared" si="20"/>
        <v>0.13979813719935757</v>
      </c>
      <c r="L159" s="5">
        <f t="shared" si="19"/>
        <v>139.79813719935757</v>
      </c>
      <c r="M159" s="4"/>
    </row>
    <row r="160" spans="1:13" ht="15.9" x14ac:dyDescent="0.4">
      <c r="A160" s="3">
        <v>44984</v>
      </c>
      <c r="B160" s="4" t="s">
        <v>255</v>
      </c>
      <c r="C160" s="4" t="s">
        <v>256</v>
      </c>
      <c r="D160" s="4">
        <v>29450</v>
      </c>
      <c r="E160" s="7">
        <f t="shared" si="25"/>
        <v>13358.2844</v>
      </c>
      <c r="F160" s="7">
        <f t="shared" si="18"/>
        <v>13.358284400000001</v>
      </c>
      <c r="G160" s="4">
        <v>31</v>
      </c>
      <c r="H160" s="4" t="s">
        <v>15</v>
      </c>
      <c r="I160" s="4" t="s">
        <v>19</v>
      </c>
      <c r="J160" s="5">
        <v>2200</v>
      </c>
      <c r="K160" s="5">
        <f t="shared" si="20"/>
        <v>0.16469180728028218</v>
      </c>
      <c r="L160" s="5">
        <f t="shared" si="19"/>
        <v>164.69180728028218</v>
      </c>
      <c r="M160" s="4"/>
    </row>
    <row r="161" spans="1:13" ht="15.9" x14ac:dyDescent="0.4">
      <c r="A161" s="3">
        <v>44984</v>
      </c>
      <c r="B161" s="4" t="s">
        <v>255</v>
      </c>
      <c r="C161" s="4" t="s">
        <v>257</v>
      </c>
      <c r="D161" s="4">
        <v>41800</v>
      </c>
      <c r="E161" s="7">
        <f t="shared" si="25"/>
        <v>18960.1456</v>
      </c>
      <c r="F161" s="7">
        <f t="shared" si="18"/>
        <v>18.960145600000001</v>
      </c>
      <c r="G161" s="4">
        <v>44</v>
      </c>
      <c r="H161" s="4" t="s">
        <v>15</v>
      </c>
      <c r="I161" s="4" t="s">
        <v>19</v>
      </c>
      <c r="J161" s="5">
        <v>2200</v>
      </c>
      <c r="K161" s="5">
        <f t="shared" si="20"/>
        <v>0.11603286422019882</v>
      </c>
      <c r="L161" s="5">
        <f t="shared" si="19"/>
        <v>116.03286422019882</v>
      </c>
      <c r="M161" s="4"/>
    </row>
    <row r="162" spans="1:13" ht="15.9" x14ac:dyDescent="0.4">
      <c r="A162" s="3">
        <v>44984</v>
      </c>
      <c r="B162" s="4" t="s">
        <v>13</v>
      </c>
      <c r="C162" s="4" t="s">
        <v>258</v>
      </c>
      <c r="D162" s="4">
        <v>26964</v>
      </c>
      <c r="E162" s="7">
        <f t="shared" si="25"/>
        <v>12230.654688000001</v>
      </c>
      <c r="F162" s="7">
        <f t="shared" si="18"/>
        <v>12.230654688000001</v>
      </c>
      <c r="G162" s="4">
        <v>28</v>
      </c>
      <c r="H162" s="4" t="s">
        <v>15</v>
      </c>
      <c r="I162" s="4" t="s">
        <v>25</v>
      </c>
      <c r="J162" s="5">
        <v>2000</v>
      </c>
      <c r="K162" s="5">
        <f t="shared" si="20"/>
        <v>0.16352354399820335</v>
      </c>
      <c r="L162" s="5">
        <f t="shared" si="19"/>
        <v>163.52354399820334</v>
      </c>
      <c r="M162" s="4"/>
    </row>
    <row r="163" spans="1:13" ht="15.9" x14ac:dyDescent="0.4">
      <c r="A163" s="3">
        <v>44984</v>
      </c>
      <c r="B163" s="4" t="s">
        <v>52</v>
      </c>
      <c r="C163" s="4" t="s">
        <v>259</v>
      </c>
      <c r="D163" s="4">
        <v>550</v>
      </c>
      <c r="E163" s="7">
        <f t="shared" si="25"/>
        <v>249.47559999999999</v>
      </c>
      <c r="F163" s="7">
        <f t="shared" si="18"/>
        <v>0.24947559999999999</v>
      </c>
      <c r="G163" s="4">
        <v>1</v>
      </c>
      <c r="H163" s="4" t="s">
        <v>35</v>
      </c>
      <c r="I163" s="4" t="s">
        <v>161</v>
      </c>
      <c r="J163" s="5">
        <v>230.02</v>
      </c>
      <c r="K163" s="5">
        <f t="shared" si="20"/>
        <v>0.92201401660122284</v>
      </c>
      <c r="L163" s="5">
        <f t="shared" si="19"/>
        <v>922.01401660122281</v>
      </c>
      <c r="M163" s="4"/>
    </row>
    <row r="164" spans="1:13" ht="15.9" x14ac:dyDescent="0.4">
      <c r="A164" s="3">
        <v>44984</v>
      </c>
      <c r="B164" s="4" t="s">
        <v>250</v>
      </c>
      <c r="C164" s="4" t="s">
        <v>260</v>
      </c>
      <c r="D164" s="4">
        <v>9864</v>
      </c>
      <c r="E164" s="7">
        <f t="shared" si="25"/>
        <v>4474.2314880000004</v>
      </c>
      <c r="F164" s="7">
        <f t="shared" si="18"/>
        <v>4.474231488</v>
      </c>
      <c r="G164" s="4">
        <v>12</v>
      </c>
      <c r="H164" s="4" t="s">
        <v>11</v>
      </c>
      <c r="I164" s="4" t="s">
        <v>12</v>
      </c>
      <c r="J164" s="5"/>
      <c r="K164" s="5"/>
      <c r="L164" s="5"/>
      <c r="M164" s="4"/>
    </row>
    <row r="165" spans="1:13" ht="15.9" x14ac:dyDescent="0.4">
      <c r="A165" s="3">
        <v>44984</v>
      </c>
      <c r="B165" s="4" t="s">
        <v>75</v>
      </c>
      <c r="C165" s="4" t="s">
        <v>261</v>
      </c>
      <c r="D165" s="4">
        <v>11310</v>
      </c>
      <c r="E165" s="7">
        <f t="shared" si="25"/>
        <v>5130.1255199999996</v>
      </c>
      <c r="F165" s="7">
        <f t="shared" si="18"/>
        <v>5.13012552</v>
      </c>
      <c r="G165" s="4">
        <v>13</v>
      </c>
      <c r="H165" s="4" t="s">
        <v>11</v>
      </c>
      <c r="I165" s="4" t="s">
        <v>12</v>
      </c>
      <c r="J165" s="5"/>
      <c r="K165" s="5"/>
      <c r="L165" s="5"/>
      <c r="M165" s="4"/>
    </row>
    <row r="166" spans="1:13" ht="15.9" x14ac:dyDescent="0.4">
      <c r="A166" s="3">
        <v>44985</v>
      </c>
      <c r="B166" s="4" t="s">
        <v>66</v>
      </c>
      <c r="C166" s="4" t="s">
        <v>262</v>
      </c>
      <c r="D166" s="4">
        <v>20640</v>
      </c>
      <c r="E166" s="7">
        <f t="shared" ref="E166:E168" si="26">D166*0.453592</f>
        <v>9362.1388800000004</v>
      </c>
      <c r="F166" s="7">
        <f t="shared" si="18"/>
        <v>9.3621388799999998</v>
      </c>
      <c r="G166" s="4">
        <v>22</v>
      </c>
      <c r="H166" s="4" t="s">
        <v>15</v>
      </c>
      <c r="I166" s="4" t="s">
        <v>25</v>
      </c>
      <c r="J166" s="5">
        <v>3800</v>
      </c>
      <c r="K166" s="5">
        <f t="shared" si="20"/>
        <v>0.40589015487879621</v>
      </c>
      <c r="L166" s="5">
        <f t="shared" si="19"/>
        <v>405.89015487879624</v>
      </c>
      <c r="M166" s="4"/>
    </row>
    <row r="167" spans="1:13" ht="15.9" x14ac:dyDescent="0.4">
      <c r="A167" s="3">
        <v>44985</v>
      </c>
      <c r="B167" s="4" t="s">
        <v>107</v>
      </c>
      <c r="C167" s="4" t="s">
        <v>263</v>
      </c>
      <c r="D167" s="4">
        <v>560</v>
      </c>
      <c r="E167" s="7">
        <f t="shared" si="26"/>
        <v>254.01151999999999</v>
      </c>
      <c r="F167" s="7">
        <f t="shared" si="18"/>
        <v>0.25401151999999999</v>
      </c>
      <c r="G167" s="4">
        <v>1</v>
      </c>
      <c r="H167" s="4" t="s">
        <v>35</v>
      </c>
      <c r="I167" s="4" t="s">
        <v>161</v>
      </c>
      <c r="J167" s="5">
        <v>246.71</v>
      </c>
      <c r="K167" s="5">
        <f t="shared" si="20"/>
        <v>0.9712551619706068</v>
      </c>
      <c r="L167" s="5">
        <f t="shared" si="19"/>
        <v>971.25516197060676</v>
      </c>
      <c r="M167" s="4"/>
    </row>
    <row r="168" spans="1:13" ht="15.9" x14ac:dyDescent="0.4">
      <c r="A168" s="3">
        <v>44985</v>
      </c>
      <c r="B168" s="4" t="s">
        <v>120</v>
      </c>
      <c r="C168" s="4" t="s">
        <v>264</v>
      </c>
      <c r="D168" s="4">
        <v>11322</v>
      </c>
      <c r="E168" s="7">
        <f t="shared" si="26"/>
        <v>5135.5686239999995</v>
      </c>
      <c r="F168" s="7">
        <f t="shared" si="18"/>
        <v>5.1355686239999994</v>
      </c>
      <c r="G168" s="4">
        <v>14</v>
      </c>
      <c r="H168" s="4" t="s">
        <v>15</v>
      </c>
      <c r="I168" s="4" t="s">
        <v>16</v>
      </c>
      <c r="J168" s="5">
        <v>2396</v>
      </c>
      <c r="K168" s="5">
        <f t="shared" si="20"/>
        <v>0.46655008927400915</v>
      </c>
      <c r="L168" s="5">
        <f t="shared" si="19"/>
        <v>466.55008927400917</v>
      </c>
      <c r="M168" s="4"/>
    </row>
    <row r="169" spans="1:13" ht="15.9" x14ac:dyDescent="0.4">
      <c r="A169" s="3">
        <v>44985</v>
      </c>
      <c r="B169" s="4" t="s">
        <v>265</v>
      </c>
      <c r="C169" s="4" t="s">
        <v>266</v>
      </c>
      <c r="D169" s="4">
        <v>21285</v>
      </c>
      <c r="E169" s="7">
        <f>D169*0.453592</f>
        <v>9654.7057199999999</v>
      </c>
      <c r="F169" s="7">
        <f t="shared" si="18"/>
        <v>9.6547057200000008</v>
      </c>
      <c r="G169" s="4">
        <v>22</v>
      </c>
      <c r="H169" s="4" t="s">
        <v>15</v>
      </c>
      <c r="I169" s="4" t="s">
        <v>12</v>
      </c>
      <c r="J169" s="4"/>
      <c r="K169" s="5"/>
      <c r="L169" s="5"/>
      <c r="M169" s="4"/>
    </row>
    <row r="170" spans="1:13" ht="15.9" x14ac:dyDescent="0.4">
      <c r="A170" s="3">
        <v>44985</v>
      </c>
      <c r="B170" s="4" t="s">
        <v>17</v>
      </c>
      <c r="C170" s="4" t="s">
        <v>267</v>
      </c>
      <c r="D170" s="4">
        <v>43780</v>
      </c>
      <c r="E170" s="7">
        <f t="shared" ref="E170:E177" si="27">D170*0.453592</f>
        <v>19858.25776</v>
      </c>
      <c r="F170" s="7">
        <f t="shared" si="18"/>
        <v>19.858257760000001</v>
      </c>
      <c r="G170" s="4">
        <v>44</v>
      </c>
      <c r="H170" s="4" t="s">
        <v>15</v>
      </c>
      <c r="I170" s="4" t="s">
        <v>25</v>
      </c>
      <c r="J170" s="5">
        <v>1722.22</v>
      </c>
      <c r="K170" s="5">
        <f t="shared" si="20"/>
        <v>8.6725634283437769E-2</v>
      </c>
      <c r="L170" s="5">
        <f t="shared" si="19"/>
        <v>86.725634283437756</v>
      </c>
      <c r="M170" s="4"/>
    </row>
    <row r="171" spans="1:13" ht="15.9" x14ac:dyDescent="0.4">
      <c r="A171" s="3">
        <v>44985</v>
      </c>
      <c r="B171" s="4" t="s">
        <v>268</v>
      </c>
      <c r="C171" s="4" t="s">
        <v>269</v>
      </c>
      <c r="D171" s="4">
        <v>35280</v>
      </c>
      <c r="E171" s="7">
        <f t="shared" si="27"/>
        <v>16002.725759999999</v>
      </c>
      <c r="F171" s="7">
        <f t="shared" si="18"/>
        <v>16.002725760000001</v>
      </c>
      <c r="G171" s="4">
        <v>48</v>
      </c>
      <c r="H171" s="4" t="s">
        <v>15</v>
      </c>
      <c r="I171" s="4" t="s">
        <v>19</v>
      </c>
      <c r="J171" s="5">
        <v>1800</v>
      </c>
      <c r="K171" s="5">
        <f t="shared" si="20"/>
        <v>0.11248083776447845</v>
      </c>
      <c r="L171" s="5">
        <f t="shared" si="19"/>
        <v>112.48083776447844</v>
      </c>
      <c r="M171" s="4"/>
    </row>
    <row r="172" spans="1:13" ht="15.9" x14ac:dyDescent="0.4">
      <c r="A172" s="3">
        <v>44985</v>
      </c>
      <c r="B172" s="4" t="s">
        <v>270</v>
      </c>
      <c r="C172" s="4" t="s">
        <v>271</v>
      </c>
      <c r="D172" s="4">
        <v>36451</v>
      </c>
      <c r="E172" s="7">
        <f t="shared" si="27"/>
        <v>16533.881991999999</v>
      </c>
      <c r="F172" s="7">
        <f t="shared" si="18"/>
        <v>16.533881991999998</v>
      </c>
      <c r="G172" s="4">
        <v>38</v>
      </c>
      <c r="H172" s="4" t="s">
        <v>15</v>
      </c>
      <c r="I172" s="4" t="s">
        <v>19</v>
      </c>
      <c r="J172" s="5">
        <v>1600</v>
      </c>
      <c r="K172" s="5">
        <f t="shared" si="20"/>
        <v>9.6770982203342681E-2</v>
      </c>
      <c r="L172" s="5">
        <f t="shared" si="19"/>
        <v>96.770982203342697</v>
      </c>
      <c r="M172" s="4"/>
    </row>
    <row r="173" spans="1:13" ht="15.9" x14ac:dyDescent="0.4">
      <c r="A173" s="3">
        <v>44986</v>
      </c>
      <c r="B173" s="4" t="s">
        <v>17</v>
      </c>
      <c r="C173" s="4" t="s">
        <v>272</v>
      </c>
      <c r="D173" s="4">
        <v>19953</v>
      </c>
      <c r="E173" s="7">
        <f t="shared" si="27"/>
        <v>9050.5211760000002</v>
      </c>
      <c r="F173" s="7">
        <f t="shared" si="18"/>
        <v>9.0505211760000002</v>
      </c>
      <c r="G173" s="4">
        <v>20</v>
      </c>
      <c r="H173" s="4" t="s">
        <v>15</v>
      </c>
      <c r="I173" s="4" t="s">
        <v>25</v>
      </c>
      <c r="J173" s="5">
        <v>1722.22</v>
      </c>
      <c r="K173" s="5">
        <f t="shared" si="20"/>
        <v>0.19028959399232723</v>
      </c>
      <c r="L173" s="5">
        <f t="shared" si="19"/>
        <v>190.28959399232724</v>
      </c>
      <c r="M173" s="4"/>
    </row>
    <row r="174" spans="1:13" ht="15.9" x14ac:dyDescent="0.4">
      <c r="A174" s="3">
        <v>44986</v>
      </c>
      <c r="B174" s="4" t="s">
        <v>273</v>
      </c>
      <c r="C174" s="4" t="s">
        <v>274</v>
      </c>
      <c r="D174" s="4">
        <v>3084</v>
      </c>
      <c r="E174" s="7">
        <f t="shared" si="27"/>
        <v>1398.8777279999999</v>
      </c>
      <c r="F174" s="7">
        <f t="shared" si="18"/>
        <v>1.398877728</v>
      </c>
      <c r="G174" s="4">
        <v>4</v>
      </c>
      <c r="H174" s="4" t="s">
        <v>35</v>
      </c>
      <c r="I174" s="4" t="s">
        <v>161</v>
      </c>
      <c r="J174" s="5">
        <v>443.02</v>
      </c>
      <c r="K174" s="5">
        <f t="shared" si="20"/>
        <v>0.31669672847918845</v>
      </c>
      <c r="L174" s="5">
        <f t="shared" si="19"/>
        <v>316.69672847918844</v>
      </c>
      <c r="M174" s="4"/>
    </row>
    <row r="175" spans="1:13" ht="15.9" x14ac:dyDescent="0.4">
      <c r="A175" s="3">
        <v>44986</v>
      </c>
      <c r="B175" s="4" t="s">
        <v>96</v>
      </c>
      <c r="C175" s="4" t="s">
        <v>275</v>
      </c>
      <c r="D175" s="4">
        <v>29220</v>
      </c>
      <c r="E175" s="7">
        <f t="shared" si="27"/>
        <v>13253.95824</v>
      </c>
      <c r="F175" s="7">
        <f t="shared" si="18"/>
        <v>13.253958239999999</v>
      </c>
      <c r="G175" s="4">
        <v>30</v>
      </c>
      <c r="H175" s="4" t="s">
        <v>15</v>
      </c>
      <c r="I175" s="4" t="s">
        <v>25</v>
      </c>
      <c r="J175" s="5">
        <v>3875</v>
      </c>
      <c r="K175" s="5">
        <f t="shared" si="20"/>
        <v>0.29236549035633602</v>
      </c>
      <c r="L175" s="5">
        <f t="shared" si="19"/>
        <v>292.36549035633601</v>
      </c>
      <c r="M175" s="4"/>
    </row>
    <row r="176" spans="1:13" ht="15.9" x14ac:dyDescent="0.4">
      <c r="A176" s="3">
        <v>44987</v>
      </c>
      <c r="B176" s="4" t="s">
        <v>276</v>
      </c>
      <c r="C176" s="4" t="s">
        <v>277</v>
      </c>
      <c r="D176" s="4">
        <v>35346</v>
      </c>
      <c r="E176" s="7">
        <f t="shared" si="27"/>
        <v>16032.662832</v>
      </c>
      <c r="F176" s="7">
        <f t="shared" si="18"/>
        <v>16.032662832</v>
      </c>
      <c r="G176" s="4">
        <v>43</v>
      </c>
      <c r="H176" s="4" t="s">
        <v>15</v>
      </c>
      <c r="I176" s="4" t="s">
        <v>19</v>
      </c>
      <c r="J176" s="5">
        <v>2800</v>
      </c>
      <c r="K176" s="5">
        <f t="shared" si="20"/>
        <v>0.17464347808845632</v>
      </c>
      <c r="L176" s="5">
        <f t="shared" si="19"/>
        <v>174.64347808845631</v>
      </c>
      <c r="M176" s="4"/>
    </row>
    <row r="177" spans="1:13" ht="15.9" x14ac:dyDescent="0.4">
      <c r="A177" s="3">
        <v>44987</v>
      </c>
      <c r="B177" s="4" t="s">
        <v>278</v>
      </c>
      <c r="C177" s="4" t="s">
        <v>279</v>
      </c>
      <c r="D177" s="4">
        <v>4950</v>
      </c>
      <c r="E177" s="7">
        <f t="shared" si="27"/>
        <v>2245.2804000000001</v>
      </c>
      <c r="F177" s="7">
        <f t="shared" si="18"/>
        <v>2.2452804</v>
      </c>
      <c r="G177" s="4">
        <v>5</v>
      </c>
      <c r="H177" s="4" t="s">
        <v>35</v>
      </c>
      <c r="I177" s="4" t="s">
        <v>54</v>
      </c>
      <c r="J177" s="5">
        <v>877.5</v>
      </c>
      <c r="K177" s="5">
        <f t="shared" si="20"/>
        <v>0.39081978357803326</v>
      </c>
      <c r="L177" s="5">
        <f t="shared" si="19"/>
        <v>390.81978357803331</v>
      </c>
      <c r="M177" s="4"/>
    </row>
    <row r="178" spans="1:13" ht="15.9" x14ac:dyDescent="0.4">
      <c r="A178" s="3">
        <v>44991</v>
      </c>
      <c r="B178" s="4" t="s">
        <v>77</v>
      </c>
      <c r="C178" s="4" t="s">
        <v>280</v>
      </c>
      <c r="D178" s="4">
        <v>3725</v>
      </c>
      <c r="E178" s="7">
        <f>D178*0.453592</f>
        <v>1689.6302000000001</v>
      </c>
      <c r="F178" s="7">
        <f t="shared" si="18"/>
        <v>1.6896302000000001</v>
      </c>
      <c r="G178" s="4">
        <v>5</v>
      </c>
      <c r="H178" s="4" t="s">
        <v>35</v>
      </c>
      <c r="I178" s="4" t="s">
        <v>12</v>
      </c>
      <c r="J178" s="5"/>
      <c r="K178" s="5"/>
      <c r="L178" s="5"/>
      <c r="M178" s="4"/>
    </row>
    <row r="179" spans="1:13" ht="15.9" x14ac:dyDescent="0.4">
      <c r="A179" s="3">
        <v>44992</v>
      </c>
      <c r="B179" s="4" t="s">
        <v>281</v>
      </c>
      <c r="C179" s="4" t="s">
        <v>282</v>
      </c>
      <c r="D179" s="4">
        <v>11030</v>
      </c>
      <c r="E179" s="7">
        <f t="shared" ref="E179:E180" si="28">D179*0.453592</f>
        <v>5003.1197599999996</v>
      </c>
      <c r="F179" s="7">
        <f t="shared" si="18"/>
        <v>5.0031197599999997</v>
      </c>
      <c r="G179" s="4">
        <v>10</v>
      </c>
      <c r="H179" s="4" t="s">
        <v>35</v>
      </c>
      <c r="I179" s="4" t="s">
        <v>16</v>
      </c>
      <c r="J179" s="5">
        <v>1988</v>
      </c>
      <c r="K179" s="5">
        <f t="shared" si="20"/>
        <v>0.39735207138035811</v>
      </c>
      <c r="L179" s="5">
        <f t="shared" si="19"/>
        <v>397.3520713803581</v>
      </c>
      <c r="M179" s="4"/>
    </row>
    <row r="180" spans="1:13" ht="15.9" x14ac:dyDescent="0.4">
      <c r="A180" s="3">
        <v>44992</v>
      </c>
      <c r="B180" s="4" t="s">
        <v>159</v>
      </c>
      <c r="C180" s="4" t="s">
        <v>283</v>
      </c>
      <c r="D180" s="4">
        <v>10104</v>
      </c>
      <c r="E180" s="7">
        <f t="shared" si="28"/>
        <v>4583.0935680000002</v>
      </c>
      <c r="F180" s="7">
        <f t="shared" si="18"/>
        <v>4.5830935680000007</v>
      </c>
      <c r="G180" s="4">
        <v>10</v>
      </c>
      <c r="H180" s="4" t="s">
        <v>35</v>
      </c>
      <c r="I180" s="4" t="s">
        <v>16</v>
      </c>
      <c r="J180" s="5">
        <v>609</v>
      </c>
      <c r="K180" s="5">
        <f t="shared" si="20"/>
        <v>0.13287967853245453</v>
      </c>
      <c r="L180" s="5">
        <f t="shared" si="19"/>
        <v>132.87967853245451</v>
      </c>
      <c r="M180" s="4"/>
    </row>
    <row r="181" spans="1:13" ht="15.9" x14ac:dyDescent="0.4">
      <c r="A181" s="3">
        <v>44992</v>
      </c>
      <c r="B181" s="4" t="s">
        <v>87</v>
      </c>
      <c r="C181" s="4" t="s">
        <v>284</v>
      </c>
      <c r="D181" s="4">
        <v>37840</v>
      </c>
      <c r="E181" s="7">
        <f>D181*0.453592</f>
        <v>17163.921279999999</v>
      </c>
      <c r="F181" s="7">
        <f t="shared" si="18"/>
        <v>17.16392128</v>
      </c>
      <c r="G181" s="4">
        <v>44</v>
      </c>
      <c r="H181" s="4" t="s">
        <v>11</v>
      </c>
      <c r="I181" s="4" t="s">
        <v>12</v>
      </c>
      <c r="J181" s="5"/>
      <c r="K181" s="5"/>
      <c r="L181" s="5"/>
      <c r="M181" s="4"/>
    </row>
    <row r="182" spans="1:13" ht="15.9" x14ac:dyDescent="0.4">
      <c r="A182" s="3">
        <v>44992</v>
      </c>
      <c r="B182" s="4" t="s">
        <v>139</v>
      </c>
      <c r="C182" s="4" t="s">
        <v>285</v>
      </c>
      <c r="D182" s="4">
        <v>7600</v>
      </c>
      <c r="E182" s="7">
        <f t="shared" ref="E182:E188" si="29">D182*0.453592</f>
        <v>3447.2991999999999</v>
      </c>
      <c r="F182" s="7">
        <f t="shared" si="18"/>
        <v>3.4472991999999998</v>
      </c>
      <c r="G182" s="4">
        <v>8</v>
      </c>
      <c r="H182" s="4" t="s">
        <v>35</v>
      </c>
      <c r="I182" s="4" t="s">
        <v>16</v>
      </c>
      <c r="J182" s="5">
        <v>1375</v>
      </c>
      <c r="K182" s="5">
        <f t="shared" si="20"/>
        <v>0.39886297075693344</v>
      </c>
      <c r="L182" s="5">
        <f t="shared" si="19"/>
        <v>398.86297075693346</v>
      </c>
      <c r="M182" s="4"/>
    </row>
    <row r="183" spans="1:13" ht="15.9" x14ac:dyDescent="0.4">
      <c r="A183" s="3">
        <v>44992</v>
      </c>
      <c r="B183" s="4" t="s">
        <v>286</v>
      </c>
      <c r="C183" s="4" t="s">
        <v>287</v>
      </c>
      <c r="D183" s="4">
        <v>758</v>
      </c>
      <c r="E183" s="7">
        <f t="shared" si="29"/>
        <v>343.82273600000002</v>
      </c>
      <c r="F183" s="7">
        <f t="shared" si="18"/>
        <v>0.34382273600000002</v>
      </c>
      <c r="G183" s="4">
        <v>1</v>
      </c>
      <c r="H183" s="4" t="s">
        <v>35</v>
      </c>
      <c r="I183" s="4" t="s">
        <v>16</v>
      </c>
      <c r="J183" s="5">
        <v>1270</v>
      </c>
      <c r="K183" s="5">
        <f t="shared" si="20"/>
        <v>3.6937638702287563</v>
      </c>
      <c r="L183" s="5">
        <f t="shared" si="19"/>
        <v>3693.7638702287563</v>
      </c>
      <c r="M183" s="4"/>
    </row>
    <row r="184" spans="1:13" ht="15.9" x14ac:dyDescent="0.4">
      <c r="A184" s="3">
        <v>44992</v>
      </c>
      <c r="B184" s="4" t="s">
        <v>288</v>
      </c>
      <c r="C184" s="4" t="s">
        <v>289</v>
      </c>
      <c r="D184" s="4">
        <v>11200</v>
      </c>
      <c r="E184" s="7">
        <f t="shared" si="29"/>
        <v>5080.2304000000004</v>
      </c>
      <c r="F184" s="7">
        <f t="shared" si="18"/>
        <v>5.0802304000000005</v>
      </c>
      <c r="G184" s="4">
        <v>10</v>
      </c>
      <c r="H184" s="4" t="s">
        <v>35</v>
      </c>
      <c r="I184" s="4" t="s">
        <v>54</v>
      </c>
      <c r="J184" s="5">
        <v>1916.1</v>
      </c>
      <c r="K184" s="5">
        <f t="shared" si="20"/>
        <v>0.37716793317090497</v>
      </c>
      <c r="L184" s="5">
        <f t="shared" si="19"/>
        <v>377.16793317090497</v>
      </c>
      <c r="M184" s="4"/>
    </row>
    <row r="185" spans="1:13" ht="15.9" x14ac:dyDescent="0.4">
      <c r="A185" s="3">
        <v>44992</v>
      </c>
      <c r="B185" s="4" t="s">
        <v>290</v>
      </c>
      <c r="C185" s="4" t="s">
        <v>291</v>
      </c>
      <c r="D185" s="4">
        <v>11030</v>
      </c>
      <c r="E185" s="7">
        <f t="shared" si="29"/>
        <v>5003.1197599999996</v>
      </c>
      <c r="F185" s="7">
        <f t="shared" si="18"/>
        <v>5.0031197599999997</v>
      </c>
      <c r="G185" s="4">
        <v>10</v>
      </c>
      <c r="H185" s="4" t="s">
        <v>35</v>
      </c>
      <c r="I185" s="4" t="s">
        <v>54</v>
      </c>
      <c r="J185" s="5">
        <v>2610.63</v>
      </c>
      <c r="K185" s="5">
        <f t="shared" si="20"/>
        <v>0.52180042158335227</v>
      </c>
      <c r="L185" s="5">
        <f t="shared" si="19"/>
        <v>521.80042158335232</v>
      </c>
      <c r="M185" s="4"/>
    </row>
    <row r="186" spans="1:13" ht="15.9" x14ac:dyDescent="0.4">
      <c r="A186" s="3">
        <v>44992</v>
      </c>
      <c r="B186" s="4" t="s">
        <v>143</v>
      </c>
      <c r="C186" s="4" t="s">
        <v>292</v>
      </c>
      <c r="D186" s="4">
        <v>12158</v>
      </c>
      <c r="E186" s="7">
        <f t="shared" si="29"/>
        <v>5514.7715360000002</v>
      </c>
      <c r="F186" s="7">
        <f t="shared" si="18"/>
        <v>5.5147715360000005</v>
      </c>
      <c r="G186" s="4">
        <v>15</v>
      </c>
      <c r="H186" s="4" t="s">
        <v>35</v>
      </c>
      <c r="I186" s="4" t="s">
        <v>16</v>
      </c>
      <c r="J186" s="5">
        <v>1275</v>
      </c>
      <c r="K186" s="5">
        <f t="shared" si="20"/>
        <v>0.23119724755176149</v>
      </c>
      <c r="L186" s="5">
        <f t="shared" si="19"/>
        <v>231.19724755176148</v>
      </c>
      <c r="M186" s="4"/>
    </row>
    <row r="187" spans="1:13" ht="15.9" x14ac:dyDescent="0.4">
      <c r="A187" s="3">
        <v>44993</v>
      </c>
      <c r="B187" s="4" t="s">
        <v>293</v>
      </c>
      <c r="C187" s="4" t="s">
        <v>294</v>
      </c>
      <c r="D187" s="4">
        <v>4950</v>
      </c>
      <c r="E187" s="7">
        <f t="shared" si="29"/>
        <v>2245.2804000000001</v>
      </c>
      <c r="F187" s="7">
        <f t="shared" si="18"/>
        <v>2.2452804</v>
      </c>
      <c r="G187" s="4">
        <v>5</v>
      </c>
      <c r="H187" s="4" t="s">
        <v>35</v>
      </c>
      <c r="I187" s="4" t="s">
        <v>161</v>
      </c>
      <c r="J187" s="5">
        <v>405</v>
      </c>
      <c r="K187" s="5">
        <f t="shared" si="20"/>
        <v>0.18037836165139998</v>
      </c>
      <c r="L187" s="5">
        <f t="shared" si="19"/>
        <v>180.37836165139998</v>
      </c>
      <c r="M187" s="4"/>
    </row>
    <row r="188" spans="1:13" ht="15.9" x14ac:dyDescent="0.4">
      <c r="A188" s="3">
        <v>44993</v>
      </c>
      <c r="B188" s="4" t="s">
        <v>52</v>
      </c>
      <c r="C188" s="4" t="s">
        <v>295</v>
      </c>
      <c r="D188" s="4">
        <v>4000</v>
      </c>
      <c r="E188" s="7">
        <f t="shared" si="29"/>
        <v>1814.3679999999999</v>
      </c>
      <c r="F188" s="7">
        <f t="shared" si="18"/>
        <v>1.814368</v>
      </c>
      <c r="G188" s="4">
        <v>4</v>
      </c>
      <c r="H188" s="4" t="s">
        <v>35</v>
      </c>
      <c r="I188" s="4" t="s">
        <v>161</v>
      </c>
      <c r="J188" s="5">
        <v>908.57</v>
      </c>
      <c r="K188" s="5">
        <f t="shared" si="20"/>
        <v>0.50076390236159374</v>
      </c>
      <c r="L188" s="5">
        <f t="shared" si="19"/>
        <v>500.76390236159369</v>
      </c>
      <c r="M188" s="4"/>
    </row>
    <row r="189" spans="1:13" ht="15.9" x14ac:dyDescent="0.4">
      <c r="A189" s="3">
        <v>44993</v>
      </c>
      <c r="B189" s="4" t="s">
        <v>296</v>
      </c>
      <c r="C189" s="4" t="s">
        <v>297</v>
      </c>
      <c r="D189" s="4">
        <v>11042</v>
      </c>
      <c r="E189" s="7">
        <f>D189*0.453592</f>
        <v>5008.5628639999995</v>
      </c>
      <c r="F189" s="7">
        <f t="shared" si="18"/>
        <v>5.0085628639999999</v>
      </c>
      <c r="G189" s="4">
        <v>12</v>
      </c>
      <c r="H189" s="4" t="s">
        <v>35</v>
      </c>
      <c r="I189" s="4" t="s">
        <v>12</v>
      </c>
      <c r="J189" s="5"/>
      <c r="K189" s="5"/>
      <c r="L189" s="5"/>
      <c r="M189" s="4"/>
    </row>
    <row r="190" spans="1:13" ht="15.9" x14ac:dyDescent="0.4">
      <c r="A190" s="3">
        <v>44994</v>
      </c>
      <c r="B190" s="4" t="s">
        <v>298</v>
      </c>
      <c r="C190" s="4" t="s">
        <v>299</v>
      </c>
      <c r="D190" s="4">
        <v>30687</v>
      </c>
      <c r="E190" s="7">
        <f>D190*0.453592</f>
        <v>13919.377704</v>
      </c>
      <c r="F190" s="7">
        <f t="shared" si="18"/>
        <v>13.919377704</v>
      </c>
      <c r="G190" s="4">
        <v>33</v>
      </c>
      <c r="H190" s="4" t="s">
        <v>11</v>
      </c>
      <c r="I190" s="4" t="s">
        <v>19</v>
      </c>
      <c r="J190" s="5">
        <v>4780</v>
      </c>
      <c r="K190" s="5">
        <f t="shared" si="20"/>
        <v>0.3434061566291412</v>
      </c>
      <c r="L190" s="5">
        <f t="shared" si="19"/>
        <v>343.40615662914121</v>
      </c>
      <c r="M190" s="4"/>
    </row>
    <row r="191" spans="1:13" ht="15.9" x14ac:dyDescent="0.4">
      <c r="A191" s="3">
        <v>44994</v>
      </c>
      <c r="B191" s="4" t="s">
        <v>207</v>
      </c>
      <c r="C191" s="4" t="s">
        <v>300</v>
      </c>
      <c r="D191" s="4">
        <v>16962</v>
      </c>
      <c r="E191" s="7">
        <f t="shared" ref="E191:E192" si="30">D191*0.453592</f>
        <v>7693.8275039999999</v>
      </c>
      <c r="F191" s="7">
        <f t="shared" si="18"/>
        <v>7.6938275039999997</v>
      </c>
      <c r="G191" s="4">
        <v>22</v>
      </c>
      <c r="H191" s="4" t="s">
        <v>11</v>
      </c>
      <c r="I191" s="4" t="s">
        <v>12</v>
      </c>
      <c r="J191" s="5"/>
      <c r="K191" s="5"/>
      <c r="L191" s="5"/>
      <c r="M191" s="4"/>
    </row>
    <row r="192" spans="1:13" ht="15.9" x14ac:dyDescent="0.4">
      <c r="A192" s="3">
        <v>44994</v>
      </c>
      <c r="B192" s="4" t="s">
        <v>207</v>
      </c>
      <c r="C192" s="4" t="s">
        <v>301</v>
      </c>
      <c r="D192" s="4">
        <v>37008</v>
      </c>
      <c r="E192" s="7">
        <f t="shared" si="30"/>
        <v>16786.532736000001</v>
      </c>
      <c r="F192" s="7">
        <f t="shared" si="18"/>
        <v>16.786532736000002</v>
      </c>
      <c r="G192" s="4">
        <v>48</v>
      </c>
      <c r="H192" s="4" t="s">
        <v>11</v>
      </c>
      <c r="I192" s="4" t="s">
        <v>12</v>
      </c>
      <c r="J192" s="5"/>
      <c r="K192" s="5"/>
      <c r="L192" s="5"/>
      <c r="M192" s="4"/>
    </row>
    <row r="193" spans="1:13" ht="15.9" x14ac:dyDescent="0.4">
      <c r="A193" s="3">
        <v>44994</v>
      </c>
      <c r="B193" s="4" t="s">
        <v>52</v>
      </c>
      <c r="C193" s="4" t="s">
        <v>302</v>
      </c>
      <c r="D193" s="4">
        <v>3245</v>
      </c>
      <c r="E193" s="7">
        <f t="shared" ref="E193:E205" si="31">D193*0.453592</f>
        <v>1471.9060400000001</v>
      </c>
      <c r="F193" s="7">
        <f t="shared" si="18"/>
        <v>1.4719060400000001</v>
      </c>
      <c r="G193" s="4">
        <v>3</v>
      </c>
      <c r="H193" s="4" t="s">
        <v>35</v>
      </c>
      <c r="I193" s="4" t="s">
        <v>161</v>
      </c>
      <c r="J193" s="5">
        <v>693.05</v>
      </c>
      <c r="K193" s="5">
        <f t="shared" si="20"/>
        <v>0.47085206607345664</v>
      </c>
      <c r="L193" s="5">
        <f t="shared" si="19"/>
        <v>470.85206607345663</v>
      </c>
      <c r="M193" s="4"/>
    </row>
    <row r="194" spans="1:13" ht="15.9" x14ac:dyDescent="0.4">
      <c r="A194" s="3">
        <v>44994</v>
      </c>
      <c r="B194" s="4" t="s">
        <v>20</v>
      </c>
      <c r="C194" s="4" t="s">
        <v>303</v>
      </c>
      <c r="D194" s="4">
        <v>10787</v>
      </c>
      <c r="E194" s="7">
        <f t="shared" si="31"/>
        <v>4892.8969040000002</v>
      </c>
      <c r="F194" s="7">
        <f t="shared" si="18"/>
        <v>4.8928969040000005</v>
      </c>
      <c r="G194" s="4">
        <v>11</v>
      </c>
      <c r="H194" s="4" t="s">
        <v>11</v>
      </c>
      <c r="I194" s="4" t="s">
        <v>19</v>
      </c>
      <c r="J194" s="5">
        <v>1850</v>
      </c>
      <c r="K194" s="5">
        <f t="shared" si="20"/>
        <v>0.37809911720960304</v>
      </c>
      <c r="L194" s="5">
        <f t="shared" si="19"/>
        <v>378.09911720960304</v>
      </c>
      <c r="M194" s="4"/>
    </row>
    <row r="195" spans="1:13" ht="15.9" x14ac:dyDescent="0.4">
      <c r="A195" s="3">
        <v>44995</v>
      </c>
      <c r="B195" s="4" t="s">
        <v>288</v>
      </c>
      <c r="C195" s="4" t="s">
        <v>304</v>
      </c>
      <c r="D195" s="4">
        <v>8770</v>
      </c>
      <c r="E195" s="7">
        <f t="shared" si="31"/>
        <v>3978.0018399999999</v>
      </c>
      <c r="F195" s="7">
        <f t="shared" ref="F195:F258" si="32">E195*0.001</f>
        <v>3.9780018400000001</v>
      </c>
      <c r="G195" s="4">
        <v>11</v>
      </c>
      <c r="H195" s="4" t="s">
        <v>35</v>
      </c>
      <c r="I195" s="4" t="s">
        <v>16</v>
      </c>
      <c r="J195" s="5">
        <v>1698.25</v>
      </c>
      <c r="K195" s="5">
        <f t="shared" si="20"/>
        <v>0.42691031032806159</v>
      </c>
      <c r="L195" s="5">
        <f t="shared" ref="L195:L258" si="33">J195/F195</f>
        <v>426.9103103280616</v>
      </c>
      <c r="M195" s="4"/>
    </row>
    <row r="196" spans="1:13" ht="15.9" x14ac:dyDescent="0.4">
      <c r="A196" s="3">
        <v>44995</v>
      </c>
      <c r="B196" s="4" t="s">
        <v>281</v>
      </c>
      <c r="C196" s="6" t="s">
        <v>305</v>
      </c>
      <c r="D196" s="4">
        <v>11400</v>
      </c>
      <c r="E196" s="7">
        <f t="shared" si="31"/>
        <v>5170.9488000000001</v>
      </c>
      <c r="F196" s="7">
        <f t="shared" si="32"/>
        <v>5.1709488000000006</v>
      </c>
      <c r="G196" s="4">
        <v>10</v>
      </c>
      <c r="H196" s="4" t="s">
        <v>35</v>
      </c>
      <c r="I196" s="4" t="s">
        <v>16</v>
      </c>
      <c r="J196" s="5">
        <v>2850.5</v>
      </c>
      <c r="K196" s="5">
        <f t="shared" ref="K196:K259" si="34">J196/E196</f>
        <v>0.55125279909946123</v>
      </c>
      <c r="L196" s="5">
        <f t="shared" si="33"/>
        <v>551.25279909946119</v>
      </c>
      <c r="M196" s="4"/>
    </row>
    <row r="197" spans="1:13" ht="15.9" x14ac:dyDescent="0.4">
      <c r="A197" s="3">
        <v>44998</v>
      </c>
      <c r="B197" s="4" t="s">
        <v>306</v>
      </c>
      <c r="C197" s="4" t="s">
        <v>307</v>
      </c>
      <c r="D197" s="4">
        <v>41800</v>
      </c>
      <c r="E197" s="7">
        <f t="shared" si="31"/>
        <v>18960.1456</v>
      </c>
      <c r="F197" s="7">
        <f t="shared" si="32"/>
        <v>18.960145600000001</v>
      </c>
      <c r="G197" s="4">
        <v>44</v>
      </c>
      <c r="H197" s="4" t="s">
        <v>15</v>
      </c>
      <c r="I197" s="4" t="s">
        <v>25</v>
      </c>
      <c r="J197" s="5">
        <v>3200</v>
      </c>
      <c r="K197" s="5">
        <f t="shared" si="34"/>
        <v>0.16877507522938009</v>
      </c>
      <c r="L197" s="5">
        <f t="shared" si="33"/>
        <v>168.77507522938009</v>
      </c>
      <c r="M197" s="4"/>
    </row>
    <row r="198" spans="1:13" ht="15.9" x14ac:dyDescent="0.4">
      <c r="A198" s="3">
        <v>44998</v>
      </c>
      <c r="B198" s="4" t="s">
        <v>306</v>
      </c>
      <c r="C198" s="4" t="s">
        <v>308</v>
      </c>
      <c r="D198" s="4">
        <v>19950</v>
      </c>
      <c r="E198" s="7">
        <f t="shared" si="31"/>
        <v>9049.1604000000007</v>
      </c>
      <c r="F198" s="7">
        <f t="shared" si="32"/>
        <v>9.0491604000000017</v>
      </c>
      <c r="G198" s="4">
        <v>21</v>
      </c>
      <c r="H198" s="4" t="s">
        <v>15</v>
      </c>
      <c r="I198" s="4" t="s">
        <v>25</v>
      </c>
      <c r="J198" s="5">
        <v>3200</v>
      </c>
      <c r="K198" s="5">
        <f t="shared" si="34"/>
        <v>0.35362396714727257</v>
      </c>
      <c r="L198" s="5">
        <f t="shared" si="33"/>
        <v>353.62396714727254</v>
      </c>
      <c r="M198" s="4"/>
    </row>
    <row r="199" spans="1:13" ht="15.9" x14ac:dyDescent="0.4">
      <c r="A199" s="3">
        <v>44998</v>
      </c>
      <c r="B199" s="4" t="s">
        <v>309</v>
      </c>
      <c r="C199" s="4" t="s">
        <v>310</v>
      </c>
      <c r="D199" s="4">
        <v>28035</v>
      </c>
      <c r="E199" s="7">
        <f t="shared" si="31"/>
        <v>12716.451719999999</v>
      </c>
      <c r="F199" s="7">
        <f t="shared" si="32"/>
        <v>12.71645172</v>
      </c>
      <c r="G199" s="4">
        <v>30</v>
      </c>
      <c r="H199" s="4" t="s">
        <v>15</v>
      </c>
      <c r="I199" s="4" t="s">
        <v>311</v>
      </c>
      <c r="J199" s="5">
        <v>1800</v>
      </c>
      <c r="K199" s="5">
        <f t="shared" si="34"/>
        <v>0.1415489194339504</v>
      </c>
      <c r="L199" s="5">
        <f t="shared" si="33"/>
        <v>141.5489194339504</v>
      </c>
      <c r="M199" s="4"/>
    </row>
    <row r="200" spans="1:13" ht="15.9" x14ac:dyDescent="0.4">
      <c r="A200" s="3">
        <v>44999</v>
      </c>
      <c r="B200" s="4" t="s">
        <v>312</v>
      </c>
      <c r="C200" s="4" t="s">
        <v>313</v>
      </c>
      <c r="D200" s="4">
        <v>42548</v>
      </c>
      <c r="E200" s="7">
        <f t="shared" si="31"/>
        <v>19299.432416</v>
      </c>
      <c r="F200" s="7">
        <f t="shared" si="32"/>
        <v>19.299432415999998</v>
      </c>
      <c r="G200" s="4">
        <v>44</v>
      </c>
      <c r="H200" s="4" t="s">
        <v>15</v>
      </c>
      <c r="I200" s="4" t="s">
        <v>311</v>
      </c>
      <c r="J200" s="5">
        <v>1800</v>
      </c>
      <c r="K200" s="5">
        <f t="shared" si="34"/>
        <v>9.3266991546742492E-2</v>
      </c>
      <c r="L200" s="5">
        <f t="shared" si="33"/>
        <v>93.266991546742503</v>
      </c>
      <c r="M200" s="4"/>
    </row>
    <row r="201" spans="1:13" ht="15.9" x14ac:dyDescent="0.4">
      <c r="A201" s="3">
        <v>44999</v>
      </c>
      <c r="B201" s="4" t="s">
        <v>276</v>
      </c>
      <c r="C201" s="4" t="s">
        <v>314</v>
      </c>
      <c r="D201" s="4">
        <v>39517</v>
      </c>
      <c r="E201" s="7">
        <f t="shared" si="31"/>
        <v>17924.595064000001</v>
      </c>
      <c r="F201" s="7">
        <f t="shared" si="32"/>
        <v>17.924595064000002</v>
      </c>
      <c r="G201" s="4">
        <v>43</v>
      </c>
      <c r="H201" s="4" t="s">
        <v>15</v>
      </c>
      <c r="I201" s="4" t="s">
        <v>19</v>
      </c>
      <c r="J201" s="5">
        <v>2800</v>
      </c>
      <c r="K201" s="5">
        <f t="shared" si="34"/>
        <v>0.15620994449261272</v>
      </c>
      <c r="L201" s="5">
        <f t="shared" si="33"/>
        <v>156.20994449261272</v>
      </c>
      <c r="M201" s="4"/>
    </row>
    <row r="202" spans="1:13" ht="15.9" x14ac:dyDescent="0.4">
      <c r="A202" s="3">
        <v>44999</v>
      </c>
      <c r="B202" s="4" t="s">
        <v>312</v>
      </c>
      <c r="C202" s="4" t="s">
        <v>315</v>
      </c>
      <c r="D202" s="4">
        <v>13838</v>
      </c>
      <c r="E202" s="7">
        <f t="shared" si="31"/>
        <v>6276.8060960000003</v>
      </c>
      <c r="F202" s="7">
        <f t="shared" si="32"/>
        <v>6.2768060960000005</v>
      </c>
      <c r="G202" s="4">
        <v>14</v>
      </c>
      <c r="H202" s="4" t="s">
        <v>35</v>
      </c>
      <c r="I202" s="4" t="s">
        <v>16</v>
      </c>
      <c r="J202" s="5">
        <v>892</v>
      </c>
      <c r="K202" s="5">
        <f t="shared" si="34"/>
        <v>0.14211049160311673</v>
      </c>
      <c r="L202" s="5">
        <f t="shared" si="33"/>
        <v>142.11049160311674</v>
      </c>
      <c r="M202" s="4"/>
    </row>
    <row r="203" spans="1:13" ht="15.9" x14ac:dyDescent="0.4">
      <c r="A203" s="3">
        <v>44999</v>
      </c>
      <c r="B203" s="4" t="s">
        <v>129</v>
      </c>
      <c r="C203" s="4" t="s">
        <v>316</v>
      </c>
      <c r="D203" s="4">
        <v>10753</v>
      </c>
      <c r="E203" s="7">
        <f t="shared" si="31"/>
        <v>4877.474776</v>
      </c>
      <c r="F203" s="7">
        <f t="shared" si="32"/>
        <v>4.8774747759999997</v>
      </c>
      <c r="G203" s="4">
        <v>11</v>
      </c>
      <c r="H203" s="4" t="s">
        <v>35</v>
      </c>
      <c r="I203" s="4" t="s">
        <v>16</v>
      </c>
      <c r="J203" s="5">
        <v>1528.5</v>
      </c>
      <c r="K203" s="5">
        <f t="shared" si="34"/>
        <v>0.31337937563944052</v>
      </c>
      <c r="L203" s="5">
        <f t="shared" si="33"/>
        <v>313.37937563944052</v>
      </c>
      <c r="M203" s="4"/>
    </row>
    <row r="204" spans="1:13" ht="15.9" x14ac:dyDescent="0.4">
      <c r="A204" s="3">
        <v>44999</v>
      </c>
      <c r="B204" s="4" t="s">
        <v>191</v>
      </c>
      <c r="C204" s="4" t="s">
        <v>317</v>
      </c>
      <c r="D204" s="4">
        <v>10753</v>
      </c>
      <c r="E204" s="7">
        <f t="shared" si="31"/>
        <v>4877.474776</v>
      </c>
      <c r="F204" s="7">
        <f t="shared" si="32"/>
        <v>4.8774747759999997</v>
      </c>
      <c r="G204" s="4">
        <v>11</v>
      </c>
      <c r="H204" s="4" t="s">
        <v>35</v>
      </c>
      <c r="I204" s="4" t="s">
        <v>16</v>
      </c>
      <c r="J204" s="5">
        <v>877.45</v>
      </c>
      <c r="K204" s="5">
        <f t="shared" si="34"/>
        <v>0.17989841881244822</v>
      </c>
      <c r="L204" s="5">
        <f t="shared" si="33"/>
        <v>179.89841881244823</v>
      </c>
      <c r="M204" s="4"/>
    </row>
    <row r="205" spans="1:13" ht="15.9" x14ac:dyDescent="0.4">
      <c r="A205" s="3">
        <v>44999</v>
      </c>
      <c r="B205" s="4" t="s">
        <v>131</v>
      </c>
      <c r="C205" s="4" t="s">
        <v>318</v>
      </c>
      <c r="D205" s="4">
        <v>1000</v>
      </c>
      <c r="E205" s="7">
        <f t="shared" si="31"/>
        <v>453.59199999999998</v>
      </c>
      <c r="F205" s="7">
        <f t="shared" si="32"/>
        <v>0.453592</v>
      </c>
      <c r="G205" s="4">
        <v>2</v>
      </c>
      <c r="H205" s="4" t="s">
        <v>35</v>
      </c>
      <c r="I205" s="4" t="s">
        <v>161</v>
      </c>
      <c r="J205" s="5">
        <v>433.09</v>
      </c>
      <c r="K205" s="5">
        <f t="shared" si="34"/>
        <v>0.95480079013739216</v>
      </c>
      <c r="L205" s="5">
        <f t="shared" si="33"/>
        <v>954.80079013739214</v>
      </c>
      <c r="M205" s="4"/>
    </row>
    <row r="206" spans="1:13" ht="15.9" x14ac:dyDescent="0.4">
      <c r="A206" s="3">
        <v>44999</v>
      </c>
      <c r="B206" s="4" t="s">
        <v>319</v>
      </c>
      <c r="C206" s="4" t="s">
        <v>320</v>
      </c>
      <c r="D206" s="4">
        <v>9702</v>
      </c>
      <c r="E206" s="7">
        <f>D206*0.453592</f>
        <v>4400.7495840000001</v>
      </c>
      <c r="F206" s="7">
        <f t="shared" si="32"/>
        <v>4.4007495840000006</v>
      </c>
      <c r="G206" s="4">
        <v>10</v>
      </c>
      <c r="H206" s="4" t="s">
        <v>35</v>
      </c>
      <c r="I206" s="4" t="s">
        <v>12</v>
      </c>
      <c r="J206" s="5"/>
      <c r="K206" s="5"/>
      <c r="L206" s="5"/>
      <c r="M206" s="4"/>
    </row>
    <row r="207" spans="1:13" ht="15.9" x14ac:dyDescent="0.4">
      <c r="A207" s="3">
        <v>45000</v>
      </c>
      <c r="B207" s="4" t="s">
        <v>321</v>
      </c>
      <c r="C207" s="4" t="s">
        <v>322</v>
      </c>
      <c r="D207" s="4">
        <v>27680</v>
      </c>
      <c r="E207" s="7">
        <f t="shared" ref="E207:E214" si="35">D207*0.453592</f>
        <v>12555.42656</v>
      </c>
      <c r="F207" s="7">
        <f t="shared" si="32"/>
        <v>12.555426560000001</v>
      </c>
      <c r="G207" s="4">
        <v>29</v>
      </c>
      <c r="H207" s="4" t="s">
        <v>15</v>
      </c>
      <c r="I207" s="4" t="s">
        <v>19</v>
      </c>
      <c r="J207" s="5">
        <v>3480</v>
      </c>
      <c r="K207" s="5">
        <f t="shared" si="34"/>
        <v>0.27717098924275818</v>
      </c>
      <c r="L207" s="5">
        <f t="shared" si="33"/>
        <v>277.17098924275814</v>
      </c>
      <c r="M207" s="4"/>
    </row>
    <row r="208" spans="1:13" ht="15.9" x14ac:dyDescent="0.4">
      <c r="A208" s="3">
        <v>45000</v>
      </c>
      <c r="B208" s="4" t="s">
        <v>323</v>
      </c>
      <c r="C208" s="4" t="s">
        <v>324</v>
      </c>
      <c r="D208" s="4">
        <v>26640</v>
      </c>
      <c r="E208" s="7">
        <f t="shared" si="35"/>
        <v>12083.69088</v>
      </c>
      <c r="F208" s="7">
        <f t="shared" si="32"/>
        <v>12.083690880000001</v>
      </c>
      <c r="G208" s="4">
        <v>27</v>
      </c>
      <c r="H208" s="4" t="s">
        <v>11</v>
      </c>
      <c r="I208" s="4" t="s">
        <v>19</v>
      </c>
      <c r="J208" s="5">
        <v>2276</v>
      </c>
      <c r="K208" s="5">
        <f t="shared" si="34"/>
        <v>0.18835304730999541</v>
      </c>
      <c r="L208" s="5">
        <f t="shared" si="33"/>
        <v>188.35304730999539</v>
      </c>
      <c r="M208" s="4"/>
    </row>
    <row r="209" spans="1:13" ht="15.9" x14ac:dyDescent="0.4">
      <c r="A209" s="3">
        <v>45000</v>
      </c>
      <c r="B209" s="4" t="s">
        <v>17</v>
      </c>
      <c r="C209" s="4" t="s">
        <v>325</v>
      </c>
      <c r="D209" s="4">
        <v>25327</v>
      </c>
      <c r="E209" s="7">
        <f t="shared" si="35"/>
        <v>11488.124583999999</v>
      </c>
      <c r="F209" s="7">
        <f t="shared" si="32"/>
        <v>11.488124583999999</v>
      </c>
      <c r="G209" s="4">
        <v>31</v>
      </c>
      <c r="H209" s="4" t="s">
        <v>15</v>
      </c>
      <c r="I209" s="4" t="s">
        <v>25</v>
      </c>
      <c r="J209" s="5">
        <v>1722.22</v>
      </c>
      <c r="K209" s="5">
        <f t="shared" si="34"/>
        <v>0.1499130678299406</v>
      </c>
      <c r="L209" s="5">
        <f t="shared" si="33"/>
        <v>149.91306782994059</v>
      </c>
      <c r="M209" s="4"/>
    </row>
    <row r="210" spans="1:13" ht="15.9" x14ac:dyDescent="0.4">
      <c r="A210" s="3">
        <v>45000</v>
      </c>
      <c r="B210" s="4" t="s">
        <v>17</v>
      </c>
      <c r="C210" s="4" t="s">
        <v>326</v>
      </c>
      <c r="D210" s="4">
        <v>35948</v>
      </c>
      <c r="E210" s="7">
        <f t="shared" si="35"/>
        <v>16305.725216000001</v>
      </c>
      <c r="F210" s="7">
        <f t="shared" si="32"/>
        <v>16.305725216000003</v>
      </c>
      <c r="G210" s="4">
        <v>44</v>
      </c>
      <c r="H210" s="4" t="s">
        <v>15</v>
      </c>
      <c r="I210" s="4" t="s">
        <v>25</v>
      </c>
      <c r="J210" s="5">
        <v>1722.22</v>
      </c>
      <c r="K210" s="5">
        <f t="shared" si="34"/>
        <v>0.10562057051654905</v>
      </c>
      <c r="L210" s="5">
        <f t="shared" si="33"/>
        <v>105.62057051654904</v>
      </c>
      <c r="M210" s="4"/>
    </row>
    <row r="211" spans="1:13" ht="15.9" x14ac:dyDescent="0.4">
      <c r="A211" s="3">
        <v>45000</v>
      </c>
      <c r="B211" s="4" t="s">
        <v>146</v>
      </c>
      <c r="C211" s="4" t="s">
        <v>327</v>
      </c>
      <c r="D211" s="4">
        <v>14337</v>
      </c>
      <c r="E211" s="7">
        <f t="shared" si="35"/>
        <v>6503.1485039999998</v>
      </c>
      <c r="F211" s="7">
        <f t="shared" si="32"/>
        <v>6.5031485040000003</v>
      </c>
      <c r="G211" s="4">
        <v>15</v>
      </c>
      <c r="H211" s="4" t="s">
        <v>35</v>
      </c>
      <c r="I211" s="4" t="s">
        <v>16</v>
      </c>
      <c r="J211" s="5">
        <v>2438.6799999999998</v>
      </c>
      <c r="K211" s="5">
        <f t="shared" si="34"/>
        <v>0.37499989405131995</v>
      </c>
      <c r="L211" s="5">
        <f t="shared" si="33"/>
        <v>374.99989405131993</v>
      </c>
      <c r="M211" s="4"/>
    </row>
    <row r="212" spans="1:13" ht="15.9" x14ac:dyDescent="0.4">
      <c r="A212" s="3">
        <v>45000</v>
      </c>
      <c r="B212" s="4" t="s">
        <v>146</v>
      </c>
      <c r="C212" s="4" t="s">
        <v>328</v>
      </c>
      <c r="D212" s="4">
        <v>42461</v>
      </c>
      <c r="E212" s="7">
        <f t="shared" si="35"/>
        <v>19259.969912</v>
      </c>
      <c r="F212" s="7">
        <f t="shared" si="32"/>
        <v>19.259969912000003</v>
      </c>
      <c r="G212" s="4">
        <v>43</v>
      </c>
      <c r="H212" s="4" t="s">
        <v>15</v>
      </c>
      <c r="I212" s="4" t="s">
        <v>25</v>
      </c>
      <c r="J212" s="5">
        <v>4650</v>
      </c>
      <c r="K212" s="5">
        <f t="shared" si="34"/>
        <v>0.24143339897446045</v>
      </c>
      <c r="L212" s="5">
        <f t="shared" si="33"/>
        <v>241.43339897446043</v>
      </c>
      <c r="M212" s="4"/>
    </row>
    <row r="213" spans="1:13" ht="15.9" x14ac:dyDescent="0.4">
      <c r="A213" s="3">
        <v>45001</v>
      </c>
      <c r="B213" s="4" t="s">
        <v>146</v>
      </c>
      <c r="C213" s="4" t="s">
        <v>329</v>
      </c>
      <c r="D213" s="4">
        <v>42461</v>
      </c>
      <c r="E213" s="7">
        <f t="shared" si="35"/>
        <v>19259.969912</v>
      </c>
      <c r="F213" s="7">
        <f t="shared" si="32"/>
        <v>19.259969912000003</v>
      </c>
      <c r="G213" s="4">
        <v>43</v>
      </c>
      <c r="H213" s="4" t="s">
        <v>15</v>
      </c>
      <c r="I213" s="4" t="s">
        <v>25</v>
      </c>
      <c r="J213" s="5">
        <v>4650</v>
      </c>
      <c r="K213" s="5">
        <f t="shared" si="34"/>
        <v>0.24143339897446045</v>
      </c>
      <c r="L213" s="5">
        <f t="shared" si="33"/>
        <v>241.43339897446043</v>
      </c>
      <c r="M213" s="4"/>
    </row>
    <row r="214" spans="1:13" ht="15.9" x14ac:dyDescent="0.4">
      <c r="A214" s="3">
        <v>45001</v>
      </c>
      <c r="B214" s="4" t="s">
        <v>330</v>
      </c>
      <c r="C214" s="4" t="s">
        <v>331</v>
      </c>
      <c r="D214" s="4">
        <v>2313</v>
      </c>
      <c r="E214" s="7">
        <f t="shared" si="35"/>
        <v>1049.1582960000001</v>
      </c>
      <c r="F214" s="7">
        <f t="shared" si="32"/>
        <v>1.0491582960000001</v>
      </c>
      <c r="G214" s="4">
        <v>3</v>
      </c>
      <c r="H214" s="4" t="s">
        <v>35</v>
      </c>
      <c r="I214" s="4" t="s">
        <v>161</v>
      </c>
      <c r="J214" s="5">
        <v>246.89</v>
      </c>
      <c r="K214" s="5">
        <f t="shared" si="34"/>
        <v>0.23532197280552217</v>
      </c>
      <c r="L214" s="5">
        <f t="shared" si="33"/>
        <v>235.32197280552217</v>
      </c>
      <c r="M214" s="4"/>
    </row>
    <row r="215" spans="1:13" ht="15.9" x14ac:dyDescent="0.4">
      <c r="A215" s="3">
        <v>45005</v>
      </c>
      <c r="B215" s="4" t="s">
        <v>207</v>
      </c>
      <c r="C215" s="4" t="s">
        <v>332</v>
      </c>
      <c r="D215" s="4">
        <v>34656</v>
      </c>
      <c r="E215" s="7">
        <f>D215*0.453592</f>
        <v>15719.684352</v>
      </c>
      <c r="F215" s="7">
        <f t="shared" si="32"/>
        <v>15.719684352</v>
      </c>
      <c r="G215" s="4">
        <v>48</v>
      </c>
      <c r="H215" s="4" t="s">
        <v>11</v>
      </c>
      <c r="I215" s="4" t="s">
        <v>12</v>
      </c>
      <c r="J215" s="5"/>
      <c r="K215" s="5"/>
      <c r="L215" s="5"/>
      <c r="M215" s="4"/>
    </row>
    <row r="216" spans="1:13" ht="15.9" x14ac:dyDescent="0.4">
      <c r="A216" s="3">
        <v>45005</v>
      </c>
      <c r="B216" s="4" t="s">
        <v>143</v>
      </c>
      <c r="C216" s="4" t="s">
        <v>333</v>
      </c>
      <c r="D216" s="4">
        <v>42856</v>
      </c>
      <c r="E216" s="7">
        <f t="shared" ref="E216:E222" si="36">D216*0.453592</f>
        <v>19439.138751999999</v>
      </c>
      <c r="F216" s="7">
        <f t="shared" si="32"/>
        <v>19.439138751999998</v>
      </c>
      <c r="G216" s="4">
        <v>44</v>
      </c>
      <c r="H216" s="4" t="s">
        <v>15</v>
      </c>
      <c r="I216" s="4" t="s">
        <v>19</v>
      </c>
      <c r="J216" s="5">
        <v>1776</v>
      </c>
      <c r="K216" s="5">
        <f t="shared" si="34"/>
        <v>9.1362072294343594E-2</v>
      </c>
      <c r="L216" s="5">
        <f t="shared" si="33"/>
        <v>91.362072294343591</v>
      </c>
      <c r="M216" s="4"/>
    </row>
    <row r="217" spans="1:13" ht="15.9" x14ac:dyDescent="0.4">
      <c r="A217" s="3">
        <v>45005</v>
      </c>
      <c r="B217" s="4" t="s">
        <v>143</v>
      </c>
      <c r="C217" s="4" t="s">
        <v>334</v>
      </c>
      <c r="D217" s="4">
        <v>31840</v>
      </c>
      <c r="E217" s="7">
        <f t="shared" si="36"/>
        <v>14442.369279999999</v>
      </c>
      <c r="F217" s="7">
        <f t="shared" si="32"/>
        <v>14.442369279999999</v>
      </c>
      <c r="G217" s="4">
        <v>32</v>
      </c>
      <c r="H217" s="4" t="s">
        <v>15</v>
      </c>
      <c r="I217" s="4" t="s">
        <v>19</v>
      </c>
      <c r="J217" s="5">
        <v>1776</v>
      </c>
      <c r="K217" s="5">
        <f t="shared" si="34"/>
        <v>0.12297151288462277</v>
      </c>
      <c r="L217" s="5">
        <f t="shared" si="33"/>
        <v>122.97151288462277</v>
      </c>
      <c r="M217" s="4"/>
    </row>
    <row r="218" spans="1:13" ht="15.9" x14ac:dyDescent="0.4">
      <c r="A218" s="3">
        <v>45005</v>
      </c>
      <c r="B218" s="4" t="s">
        <v>143</v>
      </c>
      <c r="C218" s="4" t="s">
        <v>335</v>
      </c>
      <c r="D218" s="4">
        <v>42856</v>
      </c>
      <c r="E218" s="7">
        <f t="shared" si="36"/>
        <v>19439.138751999999</v>
      </c>
      <c r="F218" s="7">
        <f t="shared" si="32"/>
        <v>19.439138751999998</v>
      </c>
      <c r="G218" s="4">
        <v>44</v>
      </c>
      <c r="H218" s="4" t="s">
        <v>15</v>
      </c>
      <c r="I218" s="4" t="s">
        <v>19</v>
      </c>
      <c r="J218" s="5">
        <v>1766</v>
      </c>
      <c r="K218" s="5">
        <f t="shared" si="34"/>
        <v>9.0847646211605168E-2</v>
      </c>
      <c r="L218" s="5">
        <f t="shared" si="33"/>
        <v>90.847646211605181</v>
      </c>
      <c r="M218" s="4"/>
    </row>
    <row r="219" spans="1:13" ht="15.9" x14ac:dyDescent="0.4">
      <c r="A219" s="3">
        <v>45005</v>
      </c>
      <c r="B219" s="4" t="s">
        <v>159</v>
      </c>
      <c r="C219" s="4" t="s">
        <v>336</v>
      </c>
      <c r="D219" s="4">
        <v>1980</v>
      </c>
      <c r="E219" s="7">
        <f t="shared" si="36"/>
        <v>898.11216000000002</v>
      </c>
      <c r="F219" s="7">
        <f t="shared" si="32"/>
        <v>0.89811216000000005</v>
      </c>
      <c r="G219" s="4">
        <v>3</v>
      </c>
      <c r="H219" s="4" t="s">
        <v>35</v>
      </c>
      <c r="I219" s="4" t="s">
        <v>161</v>
      </c>
      <c r="J219" s="5">
        <v>230.71</v>
      </c>
      <c r="K219" s="5">
        <f t="shared" si="34"/>
        <v>0.25688328281848449</v>
      </c>
      <c r="L219" s="5">
        <f t="shared" si="33"/>
        <v>256.88328281848447</v>
      </c>
      <c r="M219" s="4"/>
    </row>
    <row r="220" spans="1:13" ht="15.9" x14ac:dyDescent="0.4">
      <c r="A220" s="3">
        <v>45005</v>
      </c>
      <c r="B220" s="4" t="s">
        <v>306</v>
      </c>
      <c r="C220" s="4" t="s">
        <v>337</v>
      </c>
      <c r="D220" s="4">
        <v>41800</v>
      </c>
      <c r="E220" s="7">
        <f t="shared" si="36"/>
        <v>18960.1456</v>
      </c>
      <c r="F220" s="7">
        <f t="shared" si="32"/>
        <v>18.960145600000001</v>
      </c>
      <c r="G220" s="4">
        <v>44</v>
      </c>
      <c r="H220" s="4" t="s">
        <v>15</v>
      </c>
      <c r="I220" s="4" t="s">
        <v>25</v>
      </c>
      <c r="J220" s="5">
        <v>3200</v>
      </c>
      <c r="K220" s="5">
        <f t="shared" si="34"/>
        <v>0.16877507522938009</v>
      </c>
      <c r="L220" s="5">
        <f t="shared" si="33"/>
        <v>168.77507522938009</v>
      </c>
      <c r="M220" s="4"/>
    </row>
    <row r="221" spans="1:13" ht="15.9" x14ac:dyDescent="0.4">
      <c r="A221" s="3">
        <v>45005</v>
      </c>
      <c r="B221" s="4" t="s">
        <v>207</v>
      </c>
      <c r="C221" s="4" t="s">
        <v>338</v>
      </c>
      <c r="D221" s="4">
        <v>158686</v>
      </c>
      <c r="E221" s="7">
        <f t="shared" si="36"/>
        <v>71978.700112000006</v>
      </c>
      <c r="F221" s="7">
        <f t="shared" si="32"/>
        <v>71.978700112000013</v>
      </c>
      <c r="G221" s="4">
        <v>20</v>
      </c>
      <c r="H221" s="4" t="s">
        <v>11</v>
      </c>
      <c r="I221" s="4" t="s">
        <v>12</v>
      </c>
      <c r="J221" s="5"/>
      <c r="K221" s="5"/>
      <c r="L221" s="5"/>
      <c r="M221" s="4"/>
    </row>
    <row r="222" spans="1:13" ht="15.9" x14ac:dyDescent="0.4">
      <c r="A222" s="3">
        <v>45006</v>
      </c>
      <c r="B222" s="4" t="s">
        <v>75</v>
      </c>
      <c r="C222" s="4" t="s">
        <v>339</v>
      </c>
      <c r="D222" s="4">
        <v>13608</v>
      </c>
      <c r="E222" s="7">
        <f t="shared" si="36"/>
        <v>6172.4799359999997</v>
      </c>
      <c r="F222" s="7">
        <f t="shared" si="32"/>
        <v>6.1724799360000002</v>
      </c>
      <c r="G222" s="4">
        <v>12</v>
      </c>
      <c r="H222" s="4" t="s">
        <v>11</v>
      </c>
      <c r="I222" s="4" t="s">
        <v>12</v>
      </c>
      <c r="J222" s="5"/>
      <c r="K222" s="5"/>
      <c r="L222" s="5"/>
      <c r="M222" s="4"/>
    </row>
    <row r="223" spans="1:13" ht="15.9" x14ac:dyDescent="0.4">
      <c r="A223" s="3">
        <v>45006</v>
      </c>
      <c r="B223" s="4" t="s">
        <v>306</v>
      </c>
      <c r="C223" s="4" t="s">
        <v>340</v>
      </c>
      <c r="D223" s="4">
        <v>26600</v>
      </c>
      <c r="E223" s="7">
        <f t="shared" ref="E223:E229" si="37">D223*0.453592</f>
        <v>12065.547199999999</v>
      </c>
      <c r="F223" s="7">
        <f t="shared" si="32"/>
        <v>12.065547199999999</v>
      </c>
      <c r="G223" s="4">
        <v>28</v>
      </c>
      <c r="H223" s="4" t="s">
        <v>15</v>
      </c>
      <c r="I223" s="4" t="s">
        <v>25</v>
      </c>
      <c r="J223" s="5">
        <v>3200</v>
      </c>
      <c r="K223" s="5">
        <f t="shared" si="34"/>
        <v>0.26521797536045444</v>
      </c>
      <c r="L223" s="5">
        <f t="shared" si="33"/>
        <v>265.21797536045443</v>
      </c>
      <c r="M223" s="4"/>
    </row>
    <row r="224" spans="1:13" ht="15.9" x14ac:dyDescent="0.4">
      <c r="A224" s="3">
        <v>45006</v>
      </c>
      <c r="B224" s="4" t="s">
        <v>306</v>
      </c>
      <c r="C224" s="4" t="s">
        <v>341</v>
      </c>
      <c r="D224" s="4">
        <v>41800</v>
      </c>
      <c r="E224" s="7">
        <f t="shared" si="37"/>
        <v>18960.1456</v>
      </c>
      <c r="F224" s="7">
        <f t="shared" si="32"/>
        <v>18.960145600000001</v>
      </c>
      <c r="G224" s="4">
        <v>44</v>
      </c>
      <c r="H224" s="4" t="s">
        <v>15</v>
      </c>
      <c r="I224" s="4" t="s">
        <v>25</v>
      </c>
      <c r="J224" s="5">
        <v>3200</v>
      </c>
      <c r="K224" s="5">
        <f t="shared" si="34"/>
        <v>0.16877507522938009</v>
      </c>
      <c r="L224" s="5">
        <f t="shared" si="33"/>
        <v>168.77507522938009</v>
      </c>
      <c r="M224" s="4"/>
    </row>
    <row r="225" spans="1:13" ht="15.9" x14ac:dyDescent="0.4">
      <c r="A225" s="3">
        <v>45006</v>
      </c>
      <c r="B225" s="4" t="s">
        <v>306</v>
      </c>
      <c r="C225" s="4" t="s">
        <v>342</v>
      </c>
      <c r="D225" s="4">
        <v>41800</v>
      </c>
      <c r="E225" s="7">
        <f t="shared" si="37"/>
        <v>18960.1456</v>
      </c>
      <c r="F225" s="7">
        <f t="shared" si="32"/>
        <v>18.960145600000001</v>
      </c>
      <c r="G225" s="4">
        <v>44</v>
      </c>
      <c r="H225" s="4" t="s">
        <v>15</v>
      </c>
      <c r="I225" s="4" t="s">
        <v>25</v>
      </c>
      <c r="J225" s="5">
        <v>3200</v>
      </c>
      <c r="K225" s="5">
        <f t="shared" si="34"/>
        <v>0.16877507522938009</v>
      </c>
      <c r="L225" s="5">
        <f t="shared" si="33"/>
        <v>168.77507522938009</v>
      </c>
      <c r="M225" s="4"/>
    </row>
    <row r="226" spans="1:13" ht="15.9" x14ac:dyDescent="0.4">
      <c r="A226" s="3">
        <v>45006</v>
      </c>
      <c r="B226" s="4" t="s">
        <v>52</v>
      </c>
      <c r="C226" s="4" t="s">
        <v>343</v>
      </c>
      <c r="D226" s="4">
        <v>12870</v>
      </c>
      <c r="E226" s="7">
        <f t="shared" si="37"/>
        <v>5837.7290400000002</v>
      </c>
      <c r="F226" s="7">
        <f t="shared" si="32"/>
        <v>5.8377290400000001</v>
      </c>
      <c r="G226" s="4">
        <v>13</v>
      </c>
      <c r="H226" s="4" t="s">
        <v>15</v>
      </c>
      <c r="I226" s="4" t="s">
        <v>16</v>
      </c>
      <c r="J226" s="5">
        <v>1617.32</v>
      </c>
      <c r="K226" s="5">
        <f t="shared" si="34"/>
        <v>0.27704608914154055</v>
      </c>
      <c r="L226" s="5">
        <f t="shared" si="33"/>
        <v>277.04608914154056</v>
      </c>
      <c r="M226" s="4"/>
    </row>
    <row r="227" spans="1:13" ht="15.9" x14ac:dyDescent="0.4">
      <c r="A227" s="3">
        <v>45006</v>
      </c>
      <c r="B227" s="4" t="s">
        <v>207</v>
      </c>
      <c r="C227" s="4" t="s">
        <v>344</v>
      </c>
      <c r="D227" s="4">
        <v>33924</v>
      </c>
      <c r="E227" s="7">
        <f t="shared" si="37"/>
        <v>15387.655008</v>
      </c>
      <c r="F227" s="7">
        <f t="shared" si="32"/>
        <v>15.387655007999999</v>
      </c>
      <c r="G227" s="4">
        <v>44</v>
      </c>
      <c r="H227" s="4" t="s">
        <v>11</v>
      </c>
      <c r="I227" s="4" t="s">
        <v>12</v>
      </c>
      <c r="J227" s="5"/>
      <c r="K227" s="5"/>
      <c r="L227" s="5"/>
      <c r="M227" s="4"/>
    </row>
    <row r="228" spans="1:13" ht="15.9" x14ac:dyDescent="0.4">
      <c r="A228" s="3">
        <v>45006</v>
      </c>
      <c r="B228" s="4" t="s">
        <v>207</v>
      </c>
      <c r="C228" s="4" t="s">
        <v>345</v>
      </c>
      <c r="D228" s="4">
        <v>31768</v>
      </c>
      <c r="E228" s="7">
        <f t="shared" si="37"/>
        <v>14409.710655999999</v>
      </c>
      <c r="F228" s="7">
        <f t="shared" si="32"/>
        <v>14.409710656</v>
      </c>
      <c r="G228" s="4">
        <v>44</v>
      </c>
      <c r="H228" s="4" t="s">
        <v>11</v>
      </c>
      <c r="I228" s="4" t="s">
        <v>12</v>
      </c>
      <c r="J228" s="5"/>
      <c r="K228" s="5"/>
      <c r="L228" s="5"/>
      <c r="M228" s="4"/>
    </row>
    <row r="229" spans="1:13" ht="15.9" x14ac:dyDescent="0.4">
      <c r="A229" s="3">
        <v>45006</v>
      </c>
      <c r="B229" s="4" t="s">
        <v>207</v>
      </c>
      <c r="C229" s="4" t="s">
        <v>346</v>
      </c>
      <c r="D229" s="4">
        <v>33924</v>
      </c>
      <c r="E229" s="7">
        <f t="shared" si="37"/>
        <v>15387.655008</v>
      </c>
      <c r="F229" s="7">
        <f t="shared" si="32"/>
        <v>15.387655007999999</v>
      </c>
      <c r="G229" s="4">
        <v>44</v>
      </c>
      <c r="H229" s="4" t="s">
        <v>11</v>
      </c>
      <c r="I229" s="4" t="s">
        <v>12</v>
      </c>
      <c r="J229" s="5"/>
      <c r="K229" s="5"/>
      <c r="L229" s="5"/>
      <c r="M229" s="4"/>
    </row>
    <row r="230" spans="1:13" ht="15.9" x14ac:dyDescent="0.4">
      <c r="A230" s="3">
        <v>45006</v>
      </c>
      <c r="B230" s="4" t="s">
        <v>225</v>
      </c>
      <c r="C230" s="4" t="s">
        <v>347</v>
      </c>
      <c r="D230" s="4">
        <v>11030</v>
      </c>
      <c r="E230" s="7">
        <f t="shared" ref="E230:E239" si="38">D230*0.453592</f>
        <v>5003.1197599999996</v>
      </c>
      <c r="F230" s="7">
        <f t="shared" si="32"/>
        <v>5.0031197599999997</v>
      </c>
      <c r="G230" s="4">
        <v>10</v>
      </c>
      <c r="H230" s="4" t="s">
        <v>15</v>
      </c>
      <c r="I230" s="4" t="s">
        <v>16</v>
      </c>
      <c r="J230" s="5">
        <v>2539.21</v>
      </c>
      <c r="K230" s="5">
        <f t="shared" si="34"/>
        <v>0.5075253285561967</v>
      </c>
      <c r="L230" s="5">
        <f t="shared" si="33"/>
        <v>507.52532855619677</v>
      </c>
      <c r="M230" s="4"/>
    </row>
    <row r="231" spans="1:13" ht="15.9" x14ac:dyDescent="0.4">
      <c r="A231" s="3">
        <v>45008</v>
      </c>
      <c r="B231" s="4" t="s">
        <v>96</v>
      </c>
      <c r="C231" s="4" t="s">
        <v>348</v>
      </c>
      <c r="D231" s="4">
        <v>43700</v>
      </c>
      <c r="E231" s="7">
        <f t="shared" si="38"/>
        <v>19821.970399999998</v>
      </c>
      <c r="F231" s="7">
        <f t="shared" si="32"/>
        <v>19.821970399999998</v>
      </c>
      <c r="G231" s="4">
        <v>46</v>
      </c>
      <c r="H231" s="4" t="s">
        <v>15</v>
      </c>
      <c r="I231" s="4" t="s">
        <v>25</v>
      </c>
      <c r="J231" s="5">
        <v>3500</v>
      </c>
      <c r="K231" s="5">
        <f t="shared" si="34"/>
        <v>0.17657174990030255</v>
      </c>
      <c r="L231" s="5">
        <f t="shared" si="33"/>
        <v>176.57174990030256</v>
      </c>
      <c r="M231" s="4"/>
    </row>
    <row r="232" spans="1:13" ht="15.9" x14ac:dyDescent="0.4">
      <c r="A232" s="3">
        <v>45008</v>
      </c>
      <c r="B232" s="4" t="s">
        <v>349</v>
      </c>
      <c r="C232" s="4" t="s">
        <v>350</v>
      </c>
      <c r="D232" s="4">
        <v>33240</v>
      </c>
      <c r="E232" s="7">
        <f t="shared" si="38"/>
        <v>15077.398079999999</v>
      </c>
      <c r="F232" s="7">
        <f t="shared" si="32"/>
        <v>15.07739808</v>
      </c>
      <c r="G232" s="4">
        <v>40</v>
      </c>
      <c r="H232" s="4" t="s">
        <v>15</v>
      </c>
      <c r="I232" s="4" t="s">
        <v>25</v>
      </c>
      <c r="J232" s="5">
        <v>1555.56</v>
      </c>
      <c r="K232" s="5">
        <f t="shared" si="34"/>
        <v>0.10317164750484588</v>
      </c>
      <c r="L232" s="5">
        <f t="shared" si="33"/>
        <v>103.17164750484588</v>
      </c>
      <c r="M232" s="4"/>
    </row>
    <row r="233" spans="1:13" ht="15.9" x14ac:dyDescent="0.4">
      <c r="A233" s="3">
        <v>45008</v>
      </c>
      <c r="B233" s="4" t="s">
        <v>202</v>
      </c>
      <c r="C233" s="4" t="s">
        <v>351</v>
      </c>
      <c r="D233" s="4">
        <v>21234</v>
      </c>
      <c r="E233" s="7">
        <f t="shared" si="38"/>
        <v>9631.5725280000006</v>
      </c>
      <c r="F233" s="7">
        <f t="shared" si="32"/>
        <v>9.6315725280000013</v>
      </c>
      <c r="G233" s="4">
        <v>21</v>
      </c>
      <c r="H233" s="4" t="s">
        <v>15</v>
      </c>
      <c r="I233" s="4" t="s">
        <v>311</v>
      </c>
      <c r="J233" s="5">
        <v>2200</v>
      </c>
      <c r="K233" s="5">
        <f t="shared" si="34"/>
        <v>0.22841545278347511</v>
      </c>
      <c r="L233" s="5">
        <f t="shared" si="33"/>
        <v>228.41545278347508</v>
      </c>
      <c r="M233" s="4"/>
    </row>
    <row r="234" spans="1:13" ht="15.9" x14ac:dyDescent="0.4">
      <c r="A234" s="3">
        <v>45008</v>
      </c>
      <c r="B234" s="4" t="s">
        <v>352</v>
      </c>
      <c r="C234" s="4" t="s">
        <v>353</v>
      </c>
      <c r="D234" s="4">
        <v>10460</v>
      </c>
      <c r="E234" s="7">
        <f t="shared" si="38"/>
        <v>4744.5723200000002</v>
      </c>
      <c r="F234" s="7">
        <f t="shared" si="32"/>
        <v>4.7445723200000005</v>
      </c>
      <c r="G234" s="4">
        <v>12</v>
      </c>
      <c r="H234" s="4" t="s">
        <v>15</v>
      </c>
      <c r="I234" s="4" t="s">
        <v>16</v>
      </c>
      <c r="J234" s="5">
        <v>297.31</v>
      </c>
      <c r="K234" s="5">
        <f t="shared" si="34"/>
        <v>6.2663182252852667E-2</v>
      </c>
      <c r="L234" s="5">
        <f t="shared" si="33"/>
        <v>62.663182252852657</v>
      </c>
      <c r="M234" s="4"/>
    </row>
    <row r="235" spans="1:13" ht="15.9" x14ac:dyDescent="0.4">
      <c r="A235" s="3">
        <v>45008</v>
      </c>
      <c r="B235" s="4" t="s">
        <v>120</v>
      </c>
      <c r="C235" s="4" t="s">
        <v>354</v>
      </c>
      <c r="D235" s="4">
        <v>12338</v>
      </c>
      <c r="E235" s="7">
        <f t="shared" si="38"/>
        <v>5596.4180960000003</v>
      </c>
      <c r="F235" s="7">
        <f t="shared" si="32"/>
        <v>5.5964180960000007</v>
      </c>
      <c r="G235" s="4">
        <v>14</v>
      </c>
      <c r="H235" s="4" t="s">
        <v>15</v>
      </c>
      <c r="I235" s="4" t="s">
        <v>16</v>
      </c>
      <c r="J235" s="5">
        <v>1506.14</v>
      </c>
      <c r="K235" s="5">
        <f t="shared" si="34"/>
        <v>0.26912571115380085</v>
      </c>
      <c r="L235" s="5">
        <f t="shared" si="33"/>
        <v>269.12571115380081</v>
      </c>
      <c r="M235" s="4"/>
    </row>
    <row r="236" spans="1:13" ht="15.9" x14ac:dyDescent="0.4">
      <c r="A236" s="3">
        <v>45008</v>
      </c>
      <c r="B236" s="4" t="s">
        <v>356</v>
      </c>
      <c r="C236" s="4" t="s">
        <v>355</v>
      </c>
      <c r="D236" s="4">
        <v>27300</v>
      </c>
      <c r="E236" s="7">
        <f t="shared" si="38"/>
        <v>12383.061599999999</v>
      </c>
      <c r="F236" s="7">
        <f t="shared" si="32"/>
        <v>12.3830616</v>
      </c>
      <c r="G236" s="4">
        <v>28</v>
      </c>
      <c r="H236" s="4" t="s">
        <v>15</v>
      </c>
      <c r="I236" s="4" t="s">
        <v>19</v>
      </c>
      <c r="J236" s="5">
        <v>4470.99</v>
      </c>
      <c r="K236" s="5">
        <f t="shared" si="34"/>
        <v>0.36105691342115265</v>
      </c>
      <c r="L236" s="5">
        <f t="shared" si="33"/>
        <v>361.05691342115267</v>
      </c>
      <c r="M236" s="4"/>
    </row>
    <row r="237" spans="1:13" ht="15.9" x14ac:dyDescent="0.4">
      <c r="A237" s="3">
        <v>45008</v>
      </c>
      <c r="B237" s="4" t="s">
        <v>356</v>
      </c>
      <c r="C237" s="4" t="s">
        <v>357</v>
      </c>
      <c r="D237" s="4">
        <v>42900</v>
      </c>
      <c r="E237" s="7">
        <f t="shared" si="38"/>
        <v>19459.096799999999</v>
      </c>
      <c r="F237" s="7">
        <f t="shared" si="32"/>
        <v>19.459096800000001</v>
      </c>
      <c r="G237" s="4">
        <v>44</v>
      </c>
      <c r="H237" s="4" t="s">
        <v>15</v>
      </c>
      <c r="I237" s="4" t="s">
        <v>19</v>
      </c>
      <c r="J237" s="5">
        <v>4470.99</v>
      </c>
      <c r="K237" s="5">
        <f t="shared" si="34"/>
        <v>0.22976349035891533</v>
      </c>
      <c r="L237" s="5">
        <f t="shared" si="33"/>
        <v>229.76349035891531</v>
      </c>
      <c r="M237" s="4"/>
    </row>
    <row r="238" spans="1:13" ht="15.9" x14ac:dyDescent="0.4">
      <c r="A238" s="3">
        <v>45009</v>
      </c>
      <c r="B238" s="4" t="s">
        <v>358</v>
      </c>
      <c r="C238" s="4" t="s">
        <v>359</v>
      </c>
      <c r="D238" s="4">
        <v>38280</v>
      </c>
      <c r="E238" s="7">
        <f t="shared" si="38"/>
        <v>17363.501759999999</v>
      </c>
      <c r="F238" s="7">
        <f t="shared" si="32"/>
        <v>17.363501759999998</v>
      </c>
      <c r="G238" s="4">
        <v>44</v>
      </c>
      <c r="H238" s="4" t="s">
        <v>11</v>
      </c>
      <c r="I238" s="4" t="s">
        <v>12</v>
      </c>
      <c r="J238" s="5"/>
      <c r="K238" s="5"/>
      <c r="L238" s="5"/>
      <c r="M238" s="4"/>
    </row>
    <row r="239" spans="1:13" ht="15.9" x14ac:dyDescent="0.4">
      <c r="A239" s="3">
        <v>45009</v>
      </c>
      <c r="B239" s="4" t="s">
        <v>358</v>
      </c>
      <c r="C239" s="4" t="s">
        <v>360</v>
      </c>
      <c r="D239" s="4">
        <v>38280</v>
      </c>
      <c r="E239" s="7">
        <f t="shared" si="38"/>
        <v>17363.501759999999</v>
      </c>
      <c r="F239" s="7">
        <f t="shared" si="32"/>
        <v>17.363501759999998</v>
      </c>
      <c r="G239" s="4">
        <v>44</v>
      </c>
      <c r="H239" s="4" t="s">
        <v>11</v>
      </c>
      <c r="I239" s="4" t="s">
        <v>12</v>
      </c>
      <c r="J239" s="5"/>
      <c r="K239" s="5"/>
      <c r="L239" s="5"/>
      <c r="M239" s="4"/>
    </row>
    <row r="240" spans="1:13" ht="15.9" x14ac:dyDescent="0.4">
      <c r="A240" s="3">
        <v>45009</v>
      </c>
      <c r="B240" s="4" t="s">
        <v>20</v>
      </c>
      <c r="C240" s="4" t="s">
        <v>361</v>
      </c>
      <c r="D240" s="4">
        <v>11940</v>
      </c>
      <c r="E240" s="7">
        <f>D240*0.453592</f>
        <v>5415.8884799999996</v>
      </c>
      <c r="F240" s="7">
        <f t="shared" si="32"/>
        <v>5.4158884799999996</v>
      </c>
      <c r="G240" s="4">
        <v>12</v>
      </c>
      <c r="H240" s="4" t="s">
        <v>11</v>
      </c>
      <c r="I240" s="4" t="s">
        <v>19</v>
      </c>
      <c r="J240" s="5">
        <v>1850</v>
      </c>
      <c r="K240" s="5">
        <f t="shared" si="34"/>
        <v>0.34158753579061879</v>
      </c>
      <c r="L240" s="5">
        <f t="shared" si="33"/>
        <v>341.5875357906188</v>
      </c>
      <c r="M240" s="4"/>
    </row>
    <row r="241" spans="1:13" ht="15.9" x14ac:dyDescent="0.4">
      <c r="A241" s="3">
        <v>45012</v>
      </c>
      <c r="B241" s="4" t="s">
        <v>363</v>
      </c>
      <c r="C241" s="4" t="s">
        <v>362</v>
      </c>
      <c r="D241" s="4">
        <v>34656</v>
      </c>
      <c r="E241" s="7">
        <f t="shared" ref="E241:E242" si="39">D241*0.453592</f>
        <v>15719.684352</v>
      </c>
      <c r="F241" s="7">
        <f t="shared" si="32"/>
        <v>15.719684352</v>
      </c>
      <c r="G241" s="4">
        <v>48</v>
      </c>
      <c r="H241" s="4" t="s">
        <v>11</v>
      </c>
      <c r="I241" s="4" t="s">
        <v>12</v>
      </c>
      <c r="J241" s="5"/>
      <c r="K241" s="5"/>
      <c r="L241" s="5"/>
      <c r="M241" s="4"/>
    </row>
    <row r="242" spans="1:13" ht="15.9" x14ac:dyDescent="0.4">
      <c r="A242" s="3">
        <v>45012</v>
      </c>
      <c r="B242" s="4" t="s">
        <v>363</v>
      </c>
      <c r="C242" s="4" t="s">
        <v>364</v>
      </c>
      <c r="D242" s="4">
        <v>19494</v>
      </c>
      <c r="E242" s="7">
        <f t="shared" si="39"/>
        <v>8842.3224480000008</v>
      </c>
      <c r="F242" s="7">
        <f t="shared" si="32"/>
        <v>8.8423224480000009</v>
      </c>
      <c r="G242" s="4">
        <v>27</v>
      </c>
      <c r="H242" s="4" t="s">
        <v>11</v>
      </c>
      <c r="I242" s="4" t="s">
        <v>12</v>
      </c>
      <c r="J242" s="5"/>
      <c r="K242" s="5"/>
      <c r="L242" s="5"/>
      <c r="M242" s="4"/>
    </row>
    <row r="243" spans="1:13" ht="15.9" x14ac:dyDescent="0.4">
      <c r="A243" s="3">
        <v>45012</v>
      </c>
      <c r="B243" s="4" t="s">
        <v>365</v>
      </c>
      <c r="C243" s="4" t="s">
        <v>366</v>
      </c>
      <c r="D243" s="4">
        <v>44176</v>
      </c>
      <c r="E243" s="7">
        <f t="shared" ref="E243:E247" si="40">D243*0.453592</f>
        <v>20037.880192000001</v>
      </c>
      <c r="F243" s="7">
        <f t="shared" si="32"/>
        <v>20.037880191999999</v>
      </c>
      <c r="G243" s="4">
        <v>44</v>
      </c>
      <c r="H243" s="4" t="s">
        <v>11</v>
      </c>
      <c r="I243" s="4" t="s">
        <v>19</v>
      </c>
      <c r="J243" s="5">
        <v>4500</v>
      </c>
      <c r="K243" s="5">
        <f t="shared" si="34"/>
        <v>0.22457465345044816</v>
      </c>
      <c r="L243" s="5">
        <f t="shared" si="33"/>
        <v>224.57465345044818</v>
      </c>
      <c r="M243" s="4"/>
    </row>
    <row r="244" spans="1:13" ht="15.9" x14ac:dyDescent="0.4">
      <c r="A244" s="3">
        <v>45012</v>
      </c>
      <c r="B244" s="4" t="s">
        <v>96</v>
      </c>
      <c r="C244" s="4" t="s">
        <v>367</v>
      </c>
      <c r="D244" s="4">
        <v>4200</v>
      </c>
      <c r="E244" s="7">
        <f t="shared" si="40"/>
        <v>1905.0863999999999</v>
      </c>
      <c r="F244" s="7">
        <f t="shared" si="32"/>
        <v>1.9050863999999998</v>
      </c>
      <c r="G244" s="4">
        <v>4</v>
      </c>
      <c r="H244" s="4" t="s">
        <v>35</v>
      </c>
      <c r="I244" s="4" t="s">
        <v>161</v>
      </c>
      <c r="J244" s="5">
        <v>866.88</v>
      </c>
      <c r="K244" s="5">
        <f t="shared" si="34"/>
        <v>0.45503448032593169</v>
      </c>
      <c r="L244" s="5">
        <f t="shared" si="33"/>
        <v>455.03448032593172</v>
      </c>
      <c r="M244" s="4"/>
    </row>
    <row r="245" spans="1:13" ht="15.9" x14ac:dyDescent="0.4">
      <c r="A245" s="3">
        <v>45012</v>
      </c>
      <c r="B245" s="4" t="s">
        <v>113</v>
      </c>
      <c r="C245" s="4" t="s">
        <v>368</v>
      </c>
      <c r="D245" s="4">
        <v>2760</v>
      </c>
      <c r="E245" s="7">
        <f t="shared" si="40"/>
        <v>1251.91392</v>
      </c>
      <c r="F245" s="7">
        <f t="shared" si="32"/>
        <v>1.25191392</v>
      </c>
      <c r="G245" s="4">
        <v>3</v>
      </c>
      <c r="H245" s="4" t="s">
        <v>35</v>
      </c>
      <c r="I245" s="4" t="s">
        <v>161</v>
      </c>
      <c r="J245" s="5">
        <v>507.04</v>
      </c>
      <c r="K245" s="5">
        <f t="shared" si="34"/>
        <v>0.40501187174274733</v>
      </c>
      <c r="L245" s="5">
        <f t="shared" si="33"/>
        <v>405.0118717427473</v>
      </c>
      <c r="M245" s="4"/>
    </row>
    <row r="246" spans="1:13" ht="15.9" x14ac:dyDescent="0.4">
      <c r="A246" s="3">
        <v>45013</v>
      </c>
      <c r="B246" s="4" t="s">
        <v>369</v>
      </c>
      <c r="C246" s="4" t="s">
        <v>370</v>
      </c>
      <c r="D246" s="4">
        <v>17200</v>
      </c>
      <c r="E246" s="7">
        <f t="shared" si="40"/>
        <v>7801.7824000000001</v>
      </c>
      <c r="F246" s="7">
        <f t="shared" si="32"/>
        <v>7.8017824000000005</v>
      </c>
      <c r="G246" s="4">
        <v>20</v>
      </c>
      <c r="H246" s="4" t="s">
        <v>15</v>
      </c>
      <c r="I246" s="4" t="s">
        <v>311</v>
      </c>
      <c r="J246" s="5">
        <v>1050</v>
      </c>
      <c r="K246" s="5">
        <f t="shared" si="34"/>
        <v>0.13458463030191664</v>
      </c>
      <c r="L246" s="5">
        <f t="shared" si="33"/>
        <v>134.58463030191663</v>
      </c>
      <c r="M246" s="4"/>
    </row>
    <row r="247" spans="1:13" ht="15.9" x14ac:dyDescent="0.4">
      <c r="A247" s="3">
        <v>45013</v>
      </c>
      <c r="B247" s="4" t="s">
        <v>365</v>
      </c>
      <c r="C247" s="4" t="s">
        <v>371</v>
      </c>
      <c r="D247" s="4">
        <v>27148</v>
      </c>
      <c r="E247" s="7">
        <f t="shared" si="40"/>
        <v>12314.115615999999</v>
      </c>
      <c r="F247" s="7">
        <f t="shared" si="32"/>
        <v>12.314115615999999</v>
      </c>
      <c r="G247" s="4">
        <v>29</v>
      </c>
      <c r="H247" s="4" t="s">
        <v>11</v>
      </c>
      <c r="I247" s="4" t="s">
        <v>19</v>
      </c>
      <c r="J247" s="5">
        <v>4500</v>
      </c>
      <c r="K247" s="5">
        <f t="shared" si="34"/>
        <v>0.36543428211385737</v>
      </c>
      <c r="L247" s="5">
        <f t="shared" si="33"/>
        <v>365.43428211385736</v>
      </c>
      <c r="M247" s="4"/>
    </row>
    <row r="248" spans="1:13" ht="15.9" x14ac:dyDescent="0.4">
      <c r="A248" s="3">
        <v>45013</v>
      </c>
      <c r="B248" s="4" t="s">
        <v>372</v>
      </c>
      <c r="C248" s="4" t="s">
        <v>373</v>
      </c>
      <c r="D248" s="4">
        <v>13920</v>
      </c>
      <c r="E248" s="7">
        <f>D248*0.453592</f>
        <v>6314.0006400000002</v>
      </c>
      <c r="F248" s="7">
        <f t="shared" si="32"/>
        <v>6.3140006400000006</v>
      </c>
      <c r="G248" s="4">
        <v>16</v>
      </c>
      <c r="H248" s="4" t="s">
        <v>11</v>
      </c>
      <c r="I248" s="4" t="s">
        <v>12</v>
      </c>
      <c r="J248" s="5"/>
      <c r="K248" s="5"/>
      <c r="L248" s="5"/>
      <c r="M248" s="4"/>
    </row>
    <row r="249" spans="1:13" ht="15.9" x14ac:dyDescent="0.4">
      <c r="A249" s="3">
        <v>45013</v>
      </c>
      <c r="B249" s="4" t="s">
        <v>146</v>
      </c>
      <c r="C249" s="4" t="s">
        <v>374</v>
      </c>
      <c r="D249" s="4">
        <v>14338</v>
      </c>
      <c r="E249" s="7">
        <f t="shared" ref="E249:E252" si="41">D249*0.453592</f>
        <v>6503.6020959999996</v>
      </c>
      <c r="F249" s="7">
        <f t="shared" si="32"/>
        <v>6.5036020959999998</v>
      </c>
      <c r="G249" s="4">
        <v>14</v>
      </c>
      <c r="H249" s="4" t="s">
        <v>35</v>
      </c>
      <c r="I249" s="4" t="s">
        <v>16</v>
      </c>
      <c r="J249" s="5">
        <v>2507.3000000000002</v>
      </c>
      <c r="K249" s="5">
        <f t="shared" si="34"/>
        <v>0.38552481578510156</v>
      </c>
      <c r="L249" s="5">
        <f t="shared" si="33"/>
        <v>385.52481578510151</v>
      </c>
      <c r="M249" s="4"/>
    </row>
    <row r="250" spans="1:13" ht="15.9" x14ac:dyDescent="0.4">
      <c r="A250" s="3">
        <v>45013</v>
      </c>
      <c r="B250" s="4" t="s">
        <v>375</v>
      </c>
      <c r="C250" s="4" t="s">
        <v>376</v>
      </c>
      <c r="D250" s="4">
        <v>30960</v>
      </c>
      <c r="E250" s="7">
        <f t="shared" si="41"/>
        <v>14043.20832</v>
      </c>
      <c r="F250" s="7">
        <f t="shared" si="32"/>
        <v>14.04320832</v>
      </c>
      <c r="G250" s="4">
        <v>30</v>
      </c>
      <c r="H250" s="4" t="s">
        <v>15</v>
      </c>
      <c r="I250" s="4" t="s">
        <v>25</v>
      </c>
      <c r="J250" s="5">
        <v>1555.56</v>
      </c>
      <c r="K250" s="5">
        <f t="shared" si="34"/>
        <v>0.11076955953039654</v>
      </c>
      <c r="L250" s="5">
        <f t="shared" si="33"/>
        <v>110.76955953039653</v>
      </c>
      <c r="M250" s="4"/>
    </row>
    <row r="251" spans="1:13" ht="15.9" x14ac:dyDescent="0.4">
      <c r="A251" s="3">
        <v>45013</v>
      </c>
      <c r="B251" s="4" t="s">
        <v>296</v>
      </c>
      <c r="C251" s="4" t="s">
        <v>377</v>
      </c>
      <c r="D251" s="4">
        <v>6960</v>
      </c>
      <c r="E251" s="7">
        <f t="shared" si="41"/>
        <v>3157.0003200000001</v>
      </c>
      <c r="F251" s="7">
        <f t="shared" si="32"/>
        <v>3.1570003200000003</v>
      </c>
      <c r="G251" s="4">
        <v>8</v>
      </c>
      <c r="H251" s="4" t="s">
        <v>15</v>
      </c>
      <c r="I251" s="4" t="s">
        <v>12</v>
      </c>
      <c r="J251" s="5"/>
      <c r="K251" s="5"/>
      <c r="L251" s="5"/>
      <c r="M251" s="4"/>
    </row>
    <row r="252" spans="1:13" ht="15.9" x14ac:dyDescent="0.4">
      <c r="A252" s="3">
        <v>45013</v>
      </c>
      <c r="B252" s="4" t="s">
        <v>193</v>
      </c>
      <c r="C252" s="4" t="s">
        <v>378</v>
      </c>
      <c r="D252" s="4">
        <v>2610</v>
      </c>
      <c r="E252" s="7">
        <f t="shared" si="41"/>
        <v>1183.8751199999999</v>
      </c>
      <c r="F252" s="7">
        <f t="shared" si="32"/>
        <v>1.1838751199999999</v>
      </c>
      <c r="G252" s="4">
        <v>3</v>
      </c>
      <c r="H252" s="4" t="s">
        <v>35</v>
      </c>
      <c r="I252" s="4" t="s">
        <v>12</v>
      </c>
      <c r="J252" s="5"/>
      <c r="K252" s="5"/>
      <c r="L252" s="5"/>
      <c r="M252" s="4"/>
    </row>
    <row r="253" spans="1:13" ht="15.9" x14ac:dyDescent="0.4">
      <c r="A253" s="3">
        <v>45014</v>
      </c>
      <c r="B253" s="4" t="s">
        <v>129</v>
      </c>
      <c r="C253" s="4" t="s">
        <v>379</v>
      </c>
      <c r="D253" s="4">
        <v>41800</v>
      </c>
      <c r="E253" s="7">
        <f t="shared" ref="E253:E256" si="42">D253*0.453592</f>
        <v>18960.1456</v>
      </c>
      <c r="F253" s="7">
        <f t="shared" si="32"/>
        <v>18.960145600000001</v>
      </c>
      <c r="G253" s="4">
        <v>44</v>
      </c>
      <c r="H253" s="4" t="s">
        <v>15</v>
      </c>
      <c r="I253" s="4" t="s">
        <v>19</v>
      </c>
      <c r="J253" s="5">
        <v>2200</v>
      </c>
      <c r="K253" s="5">
        <f t="shared" si="34"/>
        <v>0.11603286422019882</v>
      </c>
      <c r="L253" s="5">
        <f t="shared" si="33"/>
        <v>116.03286422019882</v>
      </c>
      <c r="M253" s="4"/>
    </row>
    <row r="254" spans="1:13" ht="15.9" x14ac:dyDescent="0.4">
      <c r="A254" s="3">
        <v>45014</v>
      </c>
      <c r="B254" s="4" t="s">
        <v>306</v>
      </c>
      <c r="C254" s="4" t="s">
        <v>380</v>
      </c>
      <c r="D254" s="4">
        <v>6440</v>
      </c>
      <c r="E254" s="7">
        <f t="shared" si="42"/>
        <v>2921.1324799999998</v>
      </c>
      <c r="F254" s="7">
        <f t="shared" si="32"/>
        <v>2.9211324799999998</v>
      </c>
      <c r="G254" s="4">
        <v>7</v>
      </c>
      <c r="H254" s="4" t="s">
        <v>35</v>
      </c>
      <c r="I254" s="4" t="s">
        <v>161</v>
      </c>
      <c r="J254" s="5">
        <v>884.99</v>
      </c>
      <c r="K254" s="5">
        <f t="shared" si="34"/>
        <v>0.30296126795317413</v>
      </c>
      <c r="L254" s="5">
        <f t="shared" si="33"/>
        <v>302.96126795317412</v>
      </c>
      <c r="M254" s="4"/>
    </row>
    <row r="255" spans="1:13" ht="15.9" x14ac:dyDescent="0.4">
      <c r="A255" s="3">
        <v>45014</v>
      </c>
      <c r="B255" s="4" t="s">
        <v>129</v>
      </c>
      <c r="C255" s="4" t="s">
        <v>381</v>
      </c>
      <c r="D255" s="4">
        <v>15200</v>
      </c>
      <c r="E255" s="7">
        <f t="shared" si="42"/>
        <v>6894.5983999999999</v>
      </c>
      <c r="F255" s="7">
        <f t="shared" si="32"/>
        <v>6.8945983999999996</v>
      </c>
      <c r="G255" s="4">
        <v>16</v>
      </c>
      <c r="H255" s="4" t="s">
        <v>15</v>
      </c>
      <c r="I255" s="4" t="s">
        <v>19</v>
      </c>
      <c r="J255" s="5">
        <v>2200</v>
      </c>
      <c r="K255" s="5">
        <f t="shared" si="34"/>
        <v>0.31909037660554673</v>
      </c>
      <c r="L255" s="5">
        <f t="shared" si="33"/>
        <v>319.09037660554674</v>
      </c>
      <c r="M255" s="4"/>
    </row>
    <row r="256" spans="1:13" ht="15.9" x14ac:dyDescent="0.4">
      <c r="A256" s="3">
        <v>45014</v>
      </c>
      <c r="B256" s="4" t="s">
        <v>382</v>
      </c>
      <c r="C256" s="4" t="s">
        <v>383</v>
      </c>
      <c r="D256" s="4">
        <v>34500</v>
      </c>
      <c r="E256" s="7">
        <f t="shared" si="42"/>
        <v>15648.923999999999</v>
      </c>
      <c r="F256" s="7">
        <f t="shared" si="32"/>
        <v>15.648923999999999</v>
      </c>
      <c r="G256" s="4">
        <v>35</v>
      </c>
      <c r="H256" s="4" t="s">
        <v>15</v>
      </c>
      <c r="I256" s="4" t="s">
        <v>19</v>
      </c>
      <c r="J256" s="5">
        <v>6180</v>
      </c>
      <c r="K256" s="5">
        <f t="shared" si="34"/>
        <v>0.39491533091987668</v>
      </c>
      <c r="L256" s="5">
        <f t="shared" si="33"/>
        <v>394.91533091987668</v>
      </c>
      <c r="M256" s="4"/>
    </row>
    <row r="257" spans="1:13" ht="15.9" x14ac:dyDescent="0.4">
      <c r="A257" s="3">
        <v>45014</v>
      </c>
      <c r="B257" s="4" t="s">
        <v>372</v>
      </c>
      <c r="C257" s="4" t="s">
        <v>384</v>
      </c>
      <c r="D257" s="4">
        <v>38280</v>
      </c>
      <c r="E257" s="7">
        <f>D257*0.453592</f>
        <v>17363.501759999999</v>
      </c>
      <c r="F257" s="7">
        <f t="shared" si="32"/>
        <v>17.363501759999998</v>
      </c>
      <c r="G257" s="4">
        <v>44</v>
      </c>
      <c r="H257" s="4" t="s">
        <v>11</v>
      </c>
      <c r="I257" s="4" t="s">
        <v>12</v>
      </c>
      <c r="J257" s="5"/>
      <c r="K257" s="5"/>
      <c r="L257" s="5"/>
      <c r="M257" s="4"/>
    </row>
    <row r="258" spans="1:13" ht="15.9" x14ac:dyDescent="0.4">
      <c r="A258" s="3">
        <v>45015</v>
      </c>
      <c r="B258" s="4" t="s">
        <v>385</v>
      </c>
      <c r="C258" s="4" t="s">
        <v>386</v>
      </c>
      <c r="D258" s="4">
        <v>11940</v>
      </c>
      <c r="E258" s="7">
        <f t="shared" ref="E258:E260" si="43">D258*0.453592</f>
        <v>5415.8884799999996</v>
      </c>
      <c r="F258" s="7">
        <f t="shared" si="32"/>
        <v>5.4158884799999996</v>
      </c>
      <c r="G258" s="4">
        <v>11940</v>
      </c>
      <c r="H258" s="4" t="s">
        <v>35</v>
      </c>
      <c r="I258" s="4" t="s">
        <v>16</v>
      </c>
      <c r="J258" s="5">
        <v>1378</v>
      </c>
      <c r="K258" s="5">
        <f t="shared" si="34"/>
        <v>0.25443655368620149</v>
      </c>
      <c r="L258" s="5">
        <f t="shared" si="33"/>
        <v>254.43655368620148</v>
      </c>
      <c r="M258" s="4"/>
    </row>
    <row r="259" spans="1:13" ht="15.9" x14ac:dyDescent="0.4">
      <c r="A259" s="3">
        <v>45019</v>
      </c>
      <c r="B259" s="4" t="s">
        <v>33</v>
      </c>
      <c r="C259" s="4" t="s">
        <v>387</v>
      </c>
      <c r="D259" s="4">
        <v>15772</v>
      </c>
      <c r="E259" s="7">
        <f t="shared" si="43"/>
        <v>7154.0530239999998</v>
      </c>
      <c r="F259" s="7">
        <f t="shared" ref="F259:F322" si="44">E259*0.001</f>
        <v>7.1540530239999995</v>
      </c>
      <c r="G259" s="4">
        <v>16</v>
      </c>
      <c r="H259" s="4" t="s">
        <v>15</v>
      </c>
      <c r="I259" s="4" t="s">
        <v>19</v>
      </c>
      <c r="J259" s="5">
        <v>1480</v>
      </c>
      <c r="K259" s="5">
        <f t="shared" si="34"/>
        <v>0.20687573813542928</v>
      </c>
      <c r="L259" s="5">
        <f t="shared" ref="L259:L322" si="45">J259/F259</f>
        <v>206.87573813542929</v>
      </c>
      <c r="M259" s="4"/>
    </row>
    <row r="260" spans="1:13" ht="15.9" x14ac:dyDescent="0.4">
      <c r="A260" s="3">
        <v>45019</v>
      </c>
      <c r="B260" s="4" t="s">
        <v>312</v>
      </c>
      <c r="C260" s="4" t="s">
        <v>388</v>
      </c>
      <c r="D260" s="4">
        <v>43714</v>
      </c>
      <c r="E260" s="7">
        <f t="shared" si="43"/>
        <v>19828.320688</v>
      </c>
      <c r="F260" s="7">
        <f t="shared" si="44"/>
        <v>19.828320688000002</v>
      </c>
      <c r="G260" s="4">
        <v>44</v>
      </c>
      <c r="H260" s="4" t="s">
        <v>15</v>
      </c>
      <c r="I260" s="4" t="s">
        <v>25</v>
      </c>
      <c r="J260" s="5">
        <v>1555.56</v>
      </c>
      <c r="K260" s="5">
        <f t="shared" ref="K260:K323" si="46">J260/E260</f>
        <v>7.8451424327699984E-2</v>
      </c>
      <c r="L260" s="5">
        <f t="shared" si="45"/>
        <v>78.451424327699968</v>
      </c>
      <c r="M260" s="4"/>
    </row>
    <row r="261" spans="1:13" ht="15.9" x14ac:dyDescent="0.4">
      <c r="A261" s="3">
        <v>45020</v>
      </c>
      <c r="B261" s="4" t="s">
        <v>389</v>
      </c>
      <c r="C261" s="4" t="s">
        <v>390</v>
      </c>
      <c r="D261" s="4">
        <v>9440</v>
      </c>
      <c r="E261" s="7">
        <f>D261*0.453592</f>
        <v>4281.9084800000001</v>
      </c>
      <c r="F261" s="7">
        <f t="shared" si="44"/>
        <v>4.2819084800000002</v>
      </c>
      <c r="G261" s="4">
        <v>8</v>
      </c>
      <c r="H261" s="4" t="s">
        <v>35</v>
      </c>
      <c r="I261" s="4" t="s">
        <v>12</v>
      </c>
      <c r="J261" s="5"/>
      <c r="K261" s="5"/>
      <c r="L261" s="5"/>
      <c r="M261" s="4"/>
    </row>
    <row r="262" spans="1:13" ht="15.9" x14ac:dyDescent="0.4">
      <c r="A262" s="3">
        <v>45020</v>
      </c>
      <c r="B262" s="4" t="s">
        <v>286</v>
      </c>
      <c r="C262" s="4" t="s">
        <v>391</v>
      </c>
      <c r="D262" s="4">
        <v>1708</v>
      </c>
      <c r="E262" s="7">
        <f t="shared" ref="E262:E263" si="47">D262*0.453592</f>
        <v>774.73513600000001</v>
      </c>
      <c r="F262" s="7">
        <f t="shared" si="44"/>
        <v>0.77473513599999999</v>
      </c>
      <c r="G262" s="4">
        <v>2</v>
      </c>
      <c r="H262" s="4" t="s">
        <v>35</v>
      </c>
      <c r="I262" s="4" t="s">
        <v>161</v>
      </c>
      <c r="J262" s="5">
        <v>500.42</v>
      </c>
      <c r="K262" s="5">
        <f t="shared" si="46"/>
        <v>0.64592397678475755</v>
      </c>
      <c r="L262" s="5">
        <f t="shared" si="45"/>
        <v>645.92397678475766</v>
      </c>
      <c r="M262" s="4"/>
    </row>
    <row r="263" spans="1:13" ht="15.9" x14ac:dyDescent="0.4">
      <c r="A263" s="3">
        <v>45020</v>
      </c>
      <c r="B263" s="4" t="s">
        <v>56</v>
      </c>
      <c r="C263" s="4" t="s">
        <v>392</v>
      </c>
      <c r="D263" s="4">
        <v>40212</v>
      </c>
      <c r="E263" s="7">
        <f t="shared" si="47"/>
        <v>18239.841504</v>
      </c>
      <c r="F263" s="7">
        <f t="shared" si="44"/>
        <v>18.239841504000001</v>
      </c>
      <c r="G263" s="4">
        <v>36</v>
      </c>
      <c r="H263" s="4" t="s">
        <v>15</v>
      </c>
      <c r="I263" s="4" t="s">
        <v>25</v>
      </c>
      <c r="J263" s="5">
        <v>1555.54</v>
      </c>
      <c r="K263" s="5">
        <f t="shared" si="46"/>
        <v>8.5282539305995053E-2</v>
      </c>
      <c r="L263" s="5">
        <f t="shared" si="45"/>
        <v>85.282539305995044</v>
      </c>
      <c r="M263" s="4"/>
    </row>
    <row r="264" spans="1:13" ht="15.9" x14ac:dyDescent="0.4">
      <c r="A264" s="3">
        <v>45021</v>
      </c>
      <c r="B264" s="4" t="s">
        <v>207</v>
      </c>
      <c r="C264" s="4" t="s">
        <v>393</v>
      </c>
      <c r="D264" s="4">
        <v>37840</v>
      </c>
      <c r="E264" s="7">
        <f>D264*0.453592</f>
        <v>17163.921279999999</v>
      </c>
      <c r="F264" s="7">
        <f t="shared" si="44"/>
        <v>17.16392128</v>
      </c>
      <c r="G264" s="4">
        <v>44</v>
      </c>
      <c r="H264" s="4" t="s">
        <v>11</v>
      </c>
      <c r="I264" s="4" t="s">
        <v>12</v>
      </c>
      <c r="J264" s="5"/>
      <c r="K264" s="5"/>
      <c r="L264" s="5"/>
      <c r="M264" s="4"/>
    </row>
    <row r="265" spans="1:13" ht="15.9" x14ac:dyDescent="0.4">
      <c r="A265" s="3">
        <v>45021</v>
      </c>
      <c r="B265" s="4" t="s">
        <v>321</v>
      </c>
      <c r="C265" s="4" t="s">
        <v>394</v>
      </c>
      <c r="D265" s="4">
        <v>6840</v>
      </c>
      <c r="E265" s="7">
        <f t="shared" ref="E265:E281" si="48">D265*0.453592</f>
        <v>3102.5692800000002</v>
      </c>
      <c r="F265" s="7">
        <f t="shared" si="44"/>
        <v>3.1025692800000004</v>
      </c>
      <c r="G265" s="4">
        <v>8</v>
      </c>
      <c r="H265" s="4" t="s">
        <v>35</v>
      </c>
      <c r="I265" s="4" t="s">
        <v>54</v>
      </c>
      <c r="J265" s="5">
        <v>1318.2</v>
      </c>
      <c r="K265" s="5">
        <f t="shared" si="46"/>
        <v>0.42487367115296132</v>
      </c>
      <c r="L265" s="5">
        <f t="shared" si="45"/>
        <v>424.87367115296126</v>
      </c>
      <c r="M265" s="4"/>
    </row>
    <row r="266" spans="1:13" ht="15.9" x14ac:dyDescent="0.4">
      <c r="A266" s="3">
        <v>45021</v>
      </c>
      <c r="B266" s="4" t="s">
        <v>321</v>
      </c>
      <c r="C266" s="4" t="s">
        <v>395</v>
      </c>
      <c r="D266" s="4">
        <v>40436</v>
      </c>
      <c r="E266" s="7">
        <f t="shared" si="48"/>
        <v>18341.446112000001</v>
      </c>
      <c r="F266" s="7">
        <f t="shared" si="44"/>
        <v>18.341446112000003</v>
      </c>
      <c r="G266" s="4">
        <v>44</v>
      </c>
      <c r="H266" s="4" t="s">
        <v>15</v>
      </c>
      <c r="I266" s="4" t="s">
        <v>25</v>
      </c>
      <c r="J266" s="5">
        <v>3800</v>
      </c>
      <c r="K266" s="5">
        <f t="shared" si="46"/>
        <v>0.20718104651049446</v>
      </c>
      <c r="L266" s="5">
        <f t="shared" si="45"/>
        <v>207.18104651049444</v>
      </c>
      <c r="M266" s="4"/>
    </row>
    <row r="267" spans="1:13" ht="15.9" x14ac:dyDescent="0.4">
      <c r="A267" s="3">
        <v>45021</v>
      </c>
      <c r="B267" s="4" t="s">
        <v>321</v>
      </c>
      <c r="C267" s="4" t="s">
        <v>396</v>
      </c>
      <c r="D267" s="4">
        <v>40436</v>
      </c>
      <c r="E267" s="7">
        <f t="shared" si="48"/>
        <v>18341.446112000001</v>
      </c>
      <c r="F267" s="7">
        <f t="shared" si="44"/>
        <v>18.341446112000003</v>
      </c>
      <c r="G267" s="4">
        <v>44</v>
      </c>
      <c r="H267" s="4" t="s">
        <v>15</v>
      </c>
      <c r="I267" s="4" t="s">
        <v>25</v>
      </c>
      <c r="J267" s="5">
        <v>3800</v>
      </c>
      <c r="K267" s="5">
        <f t="shared" si="46"/>
        <v>0.20718104651049446</v>
      </c>
      <c r="L267" s="5">
        <f t="shared" si="45"/>
        <v>207.18104651049444</v>
      </c>
      <c r="M267" s="4"/>
    </row>
    <row r="268" spans="1:13" ht="15.9" x14ac:dyDescent="0.4">
      <c r="A268" s="3">
        <v>45021</v>
      </c>
      <c r="B268" s="4" t="s">
        <v>397</v>
      </c>
      <c r="C268" s="4" t="s">
        <v>398</v>
      </c>
      <c r="D268" s="4">
        <v>41184</v>
      </c>
      <c r="E268" s="7">
        <f t="shared" si="48"/>
        <v>18680.732928000001</v>
      </c>
      <c r="F268" s="7">
        <f t="shared" si="44"/>
        <v>18.680732928000001</v>
      </c>
      <c r="G268" s="4">
        <v>48</v>
      </c>
      <c r="H268" s="4" t="s">
        <v>11</v>
      </c>
      <c r="I268" s="4" t="s">
        <v>19</v>
      </c>
      <c r="J268" s="5">
        <v>4250</v>
      </c>
      <c r="K268" s="5">
        <f t="shared" si="46"/>
        <v>0.2275071334931297</v>
      </c>
      <c r="L268" s="5">
        <f t="shared" si="45"/>
        <v>227.50713349312971</v>
      </c>
      <c r="M268" s="4" t="s">
        <v>399</v>
      </c>
    </row>
    <row r="269" spans="1:13" ht="15.9" x14ac:dyDescent="0.4">
      <c r="A269" s="3">
        <v>45021</v>
      </c>
      <c r="B269" s="4" t="s">
        <v>397</v>
      </c>
      <c r="C269" s="4" t="s">
        <v>400</v>
      </c>
      <c r="D269" s="4">
        <v>37356</v>
      </c>
      <c r="E269" s="7">
        <f t="shared" si="48"/>
        <v>16944.382752000001</v>
      </c>
      <c r="F269" s="7">
        <f t="shared" si="44"/>
        <v>16.944382752000003</v>
      </c>
      <c r="G269" s="4">
        <v>48</v>
      </c>
      <c r="H269" s="4" t="s">
        <v>11</v>
      </c>
      <c r="I269" s="4" t="s">
        <v>19</v>
      </c>
      <c r="J269" s="5">
        <v>4250</v>
      </c>
      <c r="K269" s="5">
        <f t="shared" si="46"/>
        <v>0.25082058533518187</v>
      </c>
      <c r="L269" s="5">
        <f t="shared" si="45"/>
        <v>250.82058533518185</v>
      </c>
      <c r="M269" s="4" t="s">
        <v>399</v>
      </c>
    </row>
    <row r="270" spans="1:13" ht="15.9" x14ac:dyDescent="0.4">
      <c r="A270" s="3">
        <v>45021</v>
      </c>
      <c r="B270" s="4" t="s">
        <v>312</v>
      </c>
      <c r="C270" s="4" t="s">
        <v>401</v>
      </c>
      <c r="D270" s="4">
        <v>3051</v>
      </c>
      <c r="E270" s="7">
        <f t="shared" si="48"/>
        <v>1383.9091920000001</v>
      </c>
      <c r="F270" s="7">
        <f t="shared" si="44"/>
        <v>1.3839091920000002</v>
      </c>
      <c r="G270" s="4">
        <v>3</v>
      </c>
      <c r="H270" s="4" t="s">
        <v>35</v>
      </c>
      <c r="I270" s="4" t="s">
        <v>161</v>
      </c>
      <c r="J270" s="5">
        <v>473.42</v>
      </c>
      <c r="K270" s="5">
        <f t="shared" si="46"/>
        <v>0.34208891937181379</v>
      </c>
      <c r="L270" s="5">
        <f t="shared" si="45"/>
        <v>342.0889193718138</v>
      </c>
      <c r="M270" s="4"/>
    </row>
    <row r="271" spans="1:13" ht="15.9" x14ac:dyDescent="0.4">
      <c r="A271" s="3">
        <v>45022</v>
      </c>
      <c r="B271" s="4" t="s">
        <v>397</v>
      </c>
      <c r="C271" s="4" t="s">
        <v>402</v>
      </c>
      <c r="D271" s="4">
        <v>39708</v>
      </c>
      <c r="E271" s="7">
        <f t="shared" si="48"/>
        <v>18011.231135999999</v>
      </c>
      <c r="F271" s="7">
        <f t="shared" si="44"/>
        <v>18.011231135999999</v>
      </c>
      <c r="G271" s="4">
        <v>36</v>
      </c>
      <c r="H271" s="4" t="s">
        <v>11</v>
      </c>
      <c r="I271" s="4" t="s">
        <v>19</v>
      </c>
      <c r="J271" s="5">
        <v>4250</v>
      </c>
      <c r="K271" s="5">
        <f t="shared" si="46"/>
        <v>0.2359638809756486</v>
      </c>
      <c r="L271" s="5">
        <f t="shared" si="45"/>
        <v>235.96388097564861</v>
      </c>
      <c r="M271" s="4" t="s">
        <v>403</v>
      </c>
    </row>
    <row r="272" spans="1:13" ht="15.9" x14ac:dyDescent="0.4">
      <c r="A272" s="3">
        <v>45022</v>
      </c>
      <c r="B272" s="4" t="s">
        <v>397</v>
      </c>
      <c r="C272" s="4" t="s">
        <v>404</v>
      </c>
      <c r="D272" s="4">
        <v>32212</v>
      </c>
      <c r="E272" s="7">
        <f t="shared" si="48"/>
        <v>14611.105503999999</v>
      </c>
      <c r="F272" s="7">
        <f t="shared" si="44"/>
        <v>14.611105503999999</v>
      </c>
      <c r="G272" s="4">
        <v>32</v>
      </c>
      <c r="H272" s="4" t="s">
        <v>11</v>
      </c>
      <c r="I272" s="4" t="s">
        <v>19</v>
      </c>
      <c r="J272" s="5">
        <v>4250</v>
      </c>
      <c r="K272" s="5">
        <f t="shared" si="46"/>
        <v>0.29087463633990607</v>
      </c>
      <c r="L272" s="5">
        <f t="shared" si="45"/>
        <v>290.87463633990609</v>
      </c>
      <c r="M272" s="4" t="s">
        <v>399</v>
      </c>
    </row>
    <row r="273" spans="1:13" ht="47.6" x14ac:dyDescent="0.4">
      <c r="A273" s="3">
        <v>45022</v>
      </c>
      <c r="B273" s="4" t="s">
        <v>31</v>
      </c>
      <c r="C273" s="4" t="s">
        <v>405</v>
      </c>
      <c r="D273" s="4">
        <v>3990</v>
      </c>
      <c r="E273" s="7">
        <f t="shared" si="48"/>
        <v>1809.8320799999999</v>
      </c>
      <c r="F273" s="7">
        <f t="shared" si="44"/>
        <v>1.8098320799999998</v>
      </c>
      <c r="G273" s="4">
        <v>4</v>
      </c>
      <c r="H273" s="4" t="s">
        <v>11</v>
      </c>
      <c r="I273" s="4" t="s">
        <v>19</v>
      </c>
      <c r="J273" s="5">
        <v>350</v>
      </c>
      <c r="K273" s="5">
        <f t="shared" si="46"/>
        <v>0.19338810703366471</v>
      </c>
      <c r="L273" s="5">
        <f t="shared" si="45"/>
        <v>193.38810703366471</v>
      </c>
      <c r="M273" s="6" t="s">
        <v>406</v>
      </c>
    </row>
    <row r="274" spans="1:13" ht="15.9" x14ac:dyDescent="0.4">
      <c r="A274" s="3">
        <v>45022</v>
      </c>
      <c r="B274" s="4" t="s">
        <v>321</v>
      </c>
      <c r="C274" s="4" t="s">
        <v>407</v>
      </c>
      <c r="D274" s="4">
        <v>40480</v>
      </c>
      <c r="E274" s="7">
        <f t="shared" si="48"/>
        <v>18361.404159999998</v>
      </c>
      <c r="F274" s="7">
        <f t="shared" si="44"/>
        <v>18.361404159999999</v>
      </c>
      <c r="G274" s="4">
        <v>44</v>
      </c>
      <c r="H274" s="4" t="s">
        <v>15</v>
      </c>
      <c r="I274" s="4" t="s">
        <v>25</v>
      </c>
      <c r="J274" s="5">
        <v>3800</v>
      </c>
      <c r="K274" s="5">
        <f t="shared" si="46"/>
        <v>0.20695584972080916</v>
      </c>
      <c r="L274" s="5">
        <f t="shared" si="45"/>
        <v>206.95584972080917</v>
      </c>
      <c r="M274" s="4"/>
    </row>
    <row r="275" spans="1:13" ht="15.9" x14ac:dyDescent="0.4">
      <c r="A275" s="3">
        <v>45022</v>
      </c>
      <c r="B275" s="4" t="s">
        <v>168</v>
      </c>
      <c r="C275" s="4" t="s">
        <v>410</v>
      </c>
      <c r="D275" s="4">
        <v>19558</v>
      </c>
      <c r="E275" s="7">
        <f t="shared" si="48"/>
        <v>8871.3523359999999</v>
      </c>
      <c r="F275" s="7">
        <f t="shared" si="44"/>
        <v>8.8713523359999993</v>
      </c>
      <c r="G275" s="4">
        <v>23</v>
      </c>
      <c r="H275" s="4" t="s">
        <v>15</v>
      </c>
      <c r="I275" s="4" t="s">
        <v>311</v>
      </c>
      <c r="J275" s="5">
        <v>2400</v>
      </c>
      <c r="K275" s="5">
        <f t="shared" si="46"/>
        <v>0.2705337257613798</v>
      </c>
      <c r="L275" s="5">
        <f t="shared" si="45"/>
        <v>270.5337257613798</v>
      </c>
      <c r="M275" s="4"/>
    </row>
    <row r="276" spans="1:13" ht="15.9" x14ac:dyDescent="0.4">
      <c r="A276" s="3">
        <v>45022</v>
      </c>
      <c r="B276" s="4" t="s">
        <v>52</v>
      </c>
      <c r="C276" s="4" t="s">
        <v>411</v>
      </c>
      <c r="D276" s="4">
        <v>44550</v>
      </c>
      <c r="E276" s="7">
        <f t="shared" si="48"/>
        <v>20207.5236</v>
      </c>
      <c r="F276" s="7">
        <f t="shared" si="44"/>
        <v>20.207523600000002</v>
      </c>
      <c r="G276" s="4">
        <v>45</v>
      </c>
      <c r="H276" s="4" t="s">
        <v>15</v>
      </c>
      <c r="I276" s="4" t="s">
        <v>311</v>
      </c>
      <c r="J276" s="5">
        <v>2800</v>
      </c>
      <c r="K276" s="5">
        <f t="shared" si="46"/>
        <v>0.13856225312041698</v>
      </c>
      <c r="L276" s="5">
        <f t="shared" si="45"/>
        <v>138.56225312041698</v>
      </c>
      <c r="M276" s="4"/>
    </row>
    <row r="277" spans="1:13" ht="15.9" x14ac:dyDescent="0.4">
      <c r="A277" s="3">
        <v>45026</v>
      </c>
      <c r="B277" s="4" t="s">
        <v>321</v>
      </c>
      <c r="C277" s="4" t="s">
        <v>408</v>
      </c>
      <c r="D277" s="4">
        <v>40436</v>
      </c>
      <c r="E277" s="7">
        <f t="shared" si="48"/>
        <v>18341.446112000001</v>
      </c>
      <c r="F277" s="7">
        <f t="shared" si="44"/>
        <v>18.341446112000003</v>
      </c>
      <c r="G277" s="4">
        <v>44</v>
      </c>
      <c r="H277" s="4" t="s">
        <v>15</v>
      </c>
      <c r="I277" s="4" t="s">
        <v>25</v>
      </c>
      <c r="J277" s="5">
        <v>3800</v>
      </c>
      <c r="K277" s="5">
        <f t="shared" si="46"/>
        <v>0.20718104651049446</v>
      </c>
      <c r="L277" s="5">
        <f t="shared" si="45"/>
        <v>207.18104651049444</v>
      </c>
      <c r="M277" s="4"/>
    </row>
    <row r="278" spans="1:13" ht="15.9" x14ac:dyDescent="0.4">
      <c r="A278" s="3">
        <v>45026</v>
      </c>
      <c r="B278" s="4" t="s">
        <v>250</v>
      </c>
      <c r="C278" s="4" t="s">
        <v>409</v>
      </c>
      <c r="D278" s="4">
        <v>14059</v>
      </c>
      <c r="E278" s="7">
        <f t="shared" si="48"/>
        <v>6377.0499280000004</v>
      </c>
      <c r="F278" s="7">
        <f t="shared" si="44"/>
        <v>6.3770499280000008</v>
      </c>
      <c r="G278" s="4">
        <v>17</v>
      </c>
      <c r="H278" s="4" t="s">
        <v>11</v>
      </c>
      <c r="I278" s="4" t="s">
        <v>12</v>
      </c>
      <c r="J278" s="5"/>
      <c r="K278" s="5"/>
      <c r="L278" s="5"/>
      <c r="M278" s="4"/>
    </row>
    <row r="279" spans="1:13" ht="15.9" x14ac:dyDescent="0.4">
      <c r="A279" s="3">
        <v>45026</v>
      </c>
      <c r="B279" s="4" t="s">
        <v>171</v>
      </c>
      <c r="C279" s="4" t="s">
        <v>412</v>
      </c>
      <c r="D279" s="4">
        <v>3287</v>
      </c>
      <c r="E279" s="7">
        <f t="shared" si="48"/>
        <v>1490.9569039999999</v>
      </c>
      <c r="F279" s="7">
        <f t="shared" si="44"/>
        <v>1.4909569039999999</v>
      </c>
      <c r="G279" s="4">
        <v>4</v>
      </c>
      <c r="H279" s="4" t="s">
        <v>35</v>
      </c>
      <c r="I279" s="4" t="s">
        <v>12</v>
      </c>
      <c r="J279" s="5"/>
      <c r="K279" s="5"/>
      <c r="L279" s="5"/>
      <c r="M279" s="4"/>
    </row>
    <row r="280" spans="1:13" ht="15.9" x14ac:dyDescent="0.4">
      <c r="A280" s="3">
        <v>45026</v>
      </c>
      <c r="B280" s="4" t="s">
        <v>77</v>
      </c>
      <c r="C280" s="4" t="s">
        <v>413</v>
      </c>
      <c r="D280" s="4">
        <v>4588</v>
      </c>
      <c r="E280" s="7">
        <f t="shared" si="48"/>
        <v>2081.0800960000001</v>
      </c>
      <c r="F280" s="7">
        <f t="shared" si="44"/>
        <v>2.081080096</v>
      </c>
      <c r="G280" s="4">
        <v>4</v>
      </c>
      <c r="H280" s="4" t="s">
        <v>35</v>
      </c>
      <c r="I280" s="4" t="s">
        <v>12</v>
      </c>
      <c r="J280" s="5"/>
      <c r="K280" s="5"/>
      <c r="L280" s="5"/>
      <c r="M280" s="4"/>
    </row>
    <row r="281" spans="1:13" ht="15.9" x14ac:dyDescent="0.4">
      <c r="A281" s="3">
        <v>45027</v>
      </c>
      <c r="B281" s="4" t="s">
        <v>207</v>
      </c>
      <c r="C281" s="4" t="s">
        <v>414</v>
      </c>
      <c r="D281" s="4">
        <v>18194</v>
      </c>
      <c r="E281" s="7">
        <f t="shared" si="48"/>
        <v>8252.6528479999997</v>
      </c>
      <c r="F281" s="7">
        <f t="shared" si="44"/>
        <v>8.2526528480000003</v>
      </c>
      <c r="G281" s="4">
        <v>22</v>
      </c>
      <c r="H281" s="4" t="s">
        <v>11</v>
      </c>
      <c r="I281" s="4" t="s">
        <v>12</v>
      </c>
      <c r="J281" s="5"/>
      <c r="K281" s="5"/>
      <c r="L281" s="5"/>
      <c r="M281" s="4"/>
    </row>
    <row r="282" spans="1:13" ht="15.9" x14ac:dyDescent="0.4">
      <c r="A282" s="3">
        <v>45027</v>
      </c>
      <c r="B282" s="4" t="s">
        <v>52</v>
      </c>
      <c r="C282" s="4" t="s">
        <v>416</v>
      </c>
      <c r="D282" s="4">
        <v>44550</v>
      </c>
      <c r="E282" s="7">
        <f t="shared" ref="E282:E286" si="49">D282*0.453592</f>
        <v>20207.5236</v>
      </c>
      <c r="F282" s="7">
        <f t="shared" si="44"/>
        <v>20.207523600000002</v>
      </c>
      <c r="G282" s="4">
        <v>45</v>
      </c>
      <c r="H282" s="4" t="s">
        <v>15</v>
      </c>
      <c r="I282" s="4" t="s">
        <v>25</v>
      </c>
      <c r="J282" s="5">
        <v>3050.4</v>
      </c>
      <c r="K282" s="5">
        <f t="shared" si="46"/>
        <v>0.15095367747089999</v>
      </c>
      <c r="L282" s="5">
        <f t="shared" si="45"/>
        <v>150.95367747089998</v>
      </c>
      <c r="M282" s="4"/>
    </row>
    <row r="283" spans="1:13" ht="15.9" x14ac:dyDescent="0.4">
      <c r="A283" s="3">
        <v>45028</v>
      </c>
      <c r="B283" s="4" t="s">
        <v>20</v>
      </c>
      <c r="C283" s="4" t="s">
        <v>415</v>
      </c>
      <c r="D283" s="4">
        <v>10621</v>
      </c>
      <c r="E283" s="7">
        <f t="shared" si="49"/>
        <v>4817.6006319999997</v>
      </c>
      <c r="F283" s="7">
        <f t="shared" si="44"/>
        <v>4.8176006319999995</v>
      </c>
      <c r="G283" s="4">
        <v>13</v>
      </c>
      <c r="H283" s="4" t="s">
        <v>11</v>
      </c>
      <c r="I283" s="4" t="s">
        <v>19</v>
      </c>
      <c r="J283" s="5">
        <v>1850</v>
      </c>
      <c r="K283" s="5">
        <f t="shared" si="46"/>
        <v>0.38400858462856496</v>
      </c>
      <c r="L283" s="5">
        <f t="shared" si="45"/>
        <v>384.00858462856496</v>
      </c>
      <c r="M283" s="4"/>
    </row>
    <row r="284" spans="1:13" ht="15.9" x14ac:dyDescent="0.4">
      <c r="A284" s="3">
        <v>45028</v>
      </c>
      <c r="B284" s="4" t="s">
        <v>52</v>
      </c>
      <c r="C284" s="4" t="s">
        <v>417</v>
      </c>
      <c r="D284" s="4">
        <v>44650</v>
      </c>
      <c r="E284" s="7">
        <f t="shared" si="49"/>
        <v>20252.882799999999</v>
      </c>
      <c r="F284" s="7">
        <f t="shared" si="44"/>
        <v>20.252882799999998</v>
      </c>
      <c r="G284" s="4">
        <v>47</v>
      </c>
      <c r="H284" s="4" t="s">
        <v>15</v>
      </c>
      <c r="I284" s="4" t="s">
        <v>25</v>
      </c>
      <c r="J284" s="5">
        <v>3050.4</v>
      </c>
      <c r="K284" s="5">
        <f t="shared" si="46"/>
        <v>0.15061559532650828</v>
      </c>
      <c r="L284" s="5">
        <f t="shared" si="45"/>
        <v>150.6155953265083</v>
      </c>
      <c r="M284" s="4"/>
    </row>
    <row r="285" spans="1:13" ht="15.9" x14ac:dyDescent="0.4">
      <c r="A285" s="3">
        <v>45028</v>
      </c>
      <c r="B285" s="4" t="s">
        <v>312</v>
      </c>
      <c r="C285" s="6" t="s">
        <v>418</v>
      </c>
      <c r="D285" s="4">
        <v>15608</v>
      </c>
      <c r="E285" s="7">
        <f t="shared" si="49"/>
        <v>7079.6639359999999</v>
      </c>
      <c r="F285" s="7">
        <f t="shared" si="44"/>
        <v>7.0796639360000002</v>
      </c>
      <c r="G285" s="4">
        <v>16</v>
      </c>
      <c r="H285" s="4" t="s">
        <v>35</v>
      </c>
      <c r="I285" s="4" t="s">
        <v>16</v>
      </c>
      <c r="J285" s="5">
        <v>895</v>
      </c>
      <c r="K285" s="5">
        <f t="shared" si="46"/>
        <v>0.1264184300400103</v>
      </c>
      <c r="L285" s="5">
        <f t="shared" si="45"/>
        <v>126.41843004001031</v>
      </c>
      <c r="M285" s="4"/>
    </row>
    <row r="286" spans="1:13" ht="15.9" x14ac:dyDescent="0.4">
      <c r="A286" s="3">
        <v>45028</v>
      </c>
      <c r="B286" s="4" t="s">
        <v>68</v>
      </c>
      <c r="C286" s="6" t="s">
        <v>423</v>
      </c>
      <c r="D286" s="4">
        <v>26050</v>
      </c>
      <c r="E286" s="7">
        <f t="shared" si="49"/>
        <v>11816.071599999999</v>
      </c>
      <c r="F286" s="7">
        <f t="shared" si="44"/>
        <v>11.816071599999999</v>
      </c>
      <c r="G286" s="4">
        <v>25</v>
      </c>
      <c r="H286" s="4" t="s">
        <v>11</v>
      </c>
      <c r="I286" s="4" t="s">
        <v>19</v>
      </c>
      <c r="J286" s="5">
        <v>3380</v>
      </c>
      <c r="K286" s="5">
        <f t="shared" si="46"/>
        <v>0.28605107640004485</v>
      </c>
      <c r="L286" s="5">
        <f t="shared" si="45"/>
        <v>286.05107640004485</v>
      </c>
      <c r="M286" s="4"/>
    </row>
    <row r="287" spans="1:13" ht="15.9" x14ac:dyDescent="0.4">
      <c r="A287" s="3">
        <v>45029</v>
      </c>
      <c r="B287" s="4" t="s">
        <v>75</v>
      </c>
      <c r="C287" s="4" t="s">
        <v>419</v>
      </c>
      <c r="D287" s="4">
        <v>5502</v>
      </c>
      <c r="E287" s="7">
        <f>D287*0.453592</f>
        <v>2495.663184</v>
      </c>
      <c r="F287" s="7">
        <f t="shared" si="44"/>
        <v>2.4956631840000001</v>
      </c>
      <c r="G287" s="4">
        <v>6</v>
      </c>
      <c r="H287" s="4" t="s">
        <v>35</v>
      </c>
      <c r="I287" s="4" t="s">
        <v>12</v>
      </c>
      <c r="J287" s="5"/>
      <c r="K287" s="5"/>
      <c r="L287" s="5"/>
      <c r="M287" s="4"/>
    </row>
    <row r="288" spans="1:13" ht="15.9" x14ac:dyDescent="0.4">
      <c r="A288" s="3">
        <v>45029</v>
      </c>
      <c r="B288" s="4" t="s">
        <v>101</v>
      </c>
      <c r="C288" s="4" t="s">
        <v>420</v>
      </c>
      <c r="D288" s="4">
        <v>17594</v>
      </c>
      <c r="E288" s="7">
        <f t="shared" ref="E288:E290" si="50">D288*0.453592</f>
        <v>7980.4976479999996</v>
      </c>
      <c r="F288" s="7">
        <f t="shared" si="44"/>
        <v>7.9804976480000001</v>
      </c>
      <c r="G288" s="4">
        <v>17</v>
      </c>
      <c r="H288" s="4" t="s">
        <v>15</v>
      </c>
      <c r="I288" s="4" t="s">
        <v>311</v>
      </c>
      <c r="J288" s="5">
        <v>1500</v>
      </c>
      <c r="K288" s="5">
        <f t="shared" si="46"/>
        <v>0.18795820338045166</v>
      </c>
      <c r="L288" s="5">
        <f t="shared" si="45"/>
        <v>187.95820338045164</v>
      </c>
      <c r="M288" s="4"/>
    </row>
    <row r="289" spans="1:13" ht="15.9" x14ac:dyDescent="0.4">
      <c r="A289" s="3">
        <v>45029</v>
      </c>
      <c r="B289" s="4" t="s">
        <v>83</v>
      </c>
      <c r="C289" s="4" t="s">
        <v>421</v>
      </c>
      <c r="D289" s="4">
        <v>37576</v>
      </c>
      <c r="E289" s="7">
        <f t="shared" si="50"/>
        <v>17044.172992</v>
      </c>
      <c r="F289" s="7">
        <f t="shared" si="44"/>
        <v>17.044172992</v>
      </c>
      <c r="G289" s="4">
        <v>44</v>
      </c>
      <c r="H289" s="4" t="s">
        <v>11</v>
      </c>
      <c r="I289" s="4" t="s">
        <v>19</v>
      </c>
      <c r="J289" s="5">
        <v>6550</v>
      </c>
      <c r="K289" s="5">
        <f t="shared" si="46"/>
        <v>0.38429555972439172</v>
      </c>
      <c r="L289" s="5">
        <f t="shared" si="45"/>
        <v>384.29555972439169</v>
      </c>
      <c r="M289" s="4"/>
    </row>
    <row r="290" spans="1:13" ht="15.9" x14ac:dyDescent="0.4">
      <c r="A290" s="3">
        <v>45029</v>
      </c>
      <c r="B290" s="4" t="s">
        <v>83</v>
      </c>
      <c r="C290" s="4" t="s">
        <v>422</v>
      </c>
      <c r="D290" s="4">
        <v>37576</v>
      </c>
      <c r="E290" s="7">
        <f t="shared" si="50"/>
        <v>17044.172992</v>
      </c>
      <c r="F290" s="7">
        <f t="shared" si="44"/>
        <v>17.044172992</v>
      </c>
      <c r="G290" s="4">
        <v>44</v>
      </c>
      <c r="H290" s="4" t="s">
        <v>11</v>
      </c>
      <c r="I290" s="4" t="s">
        <v>19</v>
      </c>
      <c r="J290" s="5">
        <v>6550</v>
      </c>
      <c r="K290" s="5">
        <f t="shared" si="46"/>
        <v>0.38429555972439172</v>
      </c>
      <c r="L290" s="5">
        <f t="shared" si="45"/>
        <v>384.29555972439169</v>
      </c>
      <c r="M290" s="4"/>
    </row>
    <row r="291" spans="1:13" ht="15.9" x14ac:dyDescent="0.4">
      <c r="A291" s="3">
        <v>45029</v>
      </c>
      <c r="B291" s="4" t="s">
        <v>424</v>
      </c>
      <c r="C291" s="4" t="s">
        <v>425</v>
      </c>
      <c r="D291" s="4">
        <v>4168</v>
      </c>
      <c r="E291" s="7">
        <f>D291*0.453592</f>
        <v>1890.5714559999999</v>
      </c>
      <c r="F291" s="7">
        <f t="shared" si="44"/>
        <v>1.890571456</v>
      </c>
      <c r="G291" s="4">
        <v>4</v>
      </c>
      <c r="H291" s="4" t="s">
        <v>35</v>
      </c>
      <c r="I291" s="4" t="s">
        <v>12</v>
      </c>
      <c r="J291" s="5"/>
      <c r="K291" s="5"/>
      <c r="L291" s="5"/>
      <c r="M291" s="4"/>
    </row>
    <row r="292" spans="1:13" ht="15.9" x14ac:dyDescent="0.4">
      <c r="A292" s="3">
        <v>45029</v>
      </c>
      <c r="B292" s="4" t="s">
        <v>83</v>
      </c>
      <c r="C292" s="4" t="s">
        <v>426</v>
      </c>
      <c r="D292" s="4">
        <v>41435</v>
      </c>
      <c r="E292" s="7">
        <f t="shared" ref="E292:E294" si="51">D292*0.453592</f>
        <v>18794.58452</v>
      </c>
      <c r="F292" s="7">
        <f t="shared" si="44"/>
        <v>18.794584520000001</v>
      </c>
      <c r="G292" s="4">
        <v>48</v>
      </c>
      <c r="H292" s="4" t="s">
        <v>11</v>
      </c>
      <c r="I292" s="4" t="s">
        <v>19</v>
      </c>
      <c r="J292" s="5">
        <v>6550</v>
      </c>
      <c r="K292" s="5">
        <f t="shared" si="46"/>
        <v>0.34850464467729558</v>
      </c>
      <c r="L292" s="5">
        <f t="shared" si="45"/>
        <v>348.50464467729557</v>
      </c>
      <c r="M292" s="4"/>
    </row>
    <row r="293" spans="1:13" ht="15.9" x14ac:dyDescent="0.4">
      <c r="A293" s="3">
        <v>45029</v>
      </c>
      <c r="B293" s="4" t="s">
        <v>191</v>
      </c>
      <c r="C293" s="4" t="s">
        <v>427</v>
      </c>
      <c r="D293" s="4">
        <v>18684</v>
      </c>
      <c r="E293" s="7">
        <f t="shared" si="51"/>
        <v>8474.9129279999997</v>
      </c>
      <c r="F293" s="7">
        <f t="shared" si="44"/>
        <v>8.4749129280000002</v>
      </c>
      <c r="G293" s="4">
        <v>19</v>
      </c>
      <c r="H293" s="4" t="s">
        <v>15</v>
      </c>
      <c r="I293" s="4" t="s">
        <v>19</v>
      </c>
      <c r="J293" s="5">
        <v>1500</v>
      </c>
      <c r="K293" s="5">
        <f t="shared" si="46"/>
        <v>0.17699296886510738</v>
      </c>
      <c r="L293" s="5">
        <f t="shared" si="45"/>
        <v>176.99296886510737</v>
      </c>
      <c r="M293" s="4"/>
    </row>
    <row r="294" spans="1:13" ht="15.9" x14ac:dyDescent="0.4">
      <c r="A294" s="3">
        <v>45030</v>
      </c>
      <c r="B294" s="4" t="s">
        <v>129</v>
      </c>
      <c r="C294" s="4" t="s">
        <v>428</v>
      </c>
      <c r="D294" s="4">
        <v>11140</v>
      </c>
      <c r="E294" s="7">
        <f t="shared" si="51"/>
        <v>5053.0148799999997</v>
      </c>
      <c r="F294" s="7">
        <f t="shared" si="44"/>
        <v>5.0530148800000001</v>
      </c>
      <c r="G294" s="4">
        <v>11</v>
      </c>
      <c r="H294" s="4" t="s">
        <v>35</v>
      </c>
      <c r="I294" s="4" t="s">
        <v>16</v>
      </c>
      <c r="J294" s="5">
        <v>1440.44</v>
      </c>
      <c r="K294" s="5">
        <f t="shared" si="46"/>
        <v>0.28506545779259612</v>
      </c>
      <c r="L294" s="5">
        <f t="shared" si="45"/>
        <v>285.06545779259608</v>
      </c>
      <c r="M294" s="4"/>
    </row>
    <row r="295" spans="1:13" ht="15.9" x14ac:dyDescent="0.4">
      <c r="A295" s="3">
        <v>45033</v>
      </c>
      <c r="B295" s="4" t="s">
        <v>207</v>
      </c>
      <c r="C295" s="4" t="s">
        <v>429</v>
      </c>
      <c r="D295" s="4">
        <v>36144</v>
      </c>
      <c r="E295" s="7">
        <f>D295*0.453592</f>
        <v>16394.629248000001</v>
      </c>
      <c r="F295" s="7">
        <f t="shared" si="44"/>
        <v>16.394629248000001</v>
      </c>
      <c r="G295" s="4">
        <v>48</v>
      </c>
      <c r="H295" s="4" t="s">
        <v>11</v>
      </c>
      <c r="I295" s="4" t="s">
        <v>12</v>
      </c>
      <c r="J295" s="5"/>
      <c r="K295" s="5"/>
      <c r="L295" s="5"/>
      <c r="M295" s="4"/>
    </row>
    <row r="296" spans="1:13" ht="15.9" x14ac:dyDescent="0.4">
      <c r="A296" s="3">
        <v>45033</v>
      </c>
      <c r="B296" s="4" t="s">
        <v>397</v>
      </c>
      <c r="C296" s="4" t="s">
        <v>430</v>
      </c>
      <c r="D296" s="4">
        <v>34193</v>
      </c>
      <c r="E296" s="7">
        <f t="shared" ref="E296:E297" si="52">D296*0.453592</f>
        <v>15509.671256</v>
      </c>
      <c r="F296" s="7">
        <f t="shared" si="44"/>
        <v>15.509671256000001</v>
      </c>
      <c r="G296" s="4">
        <v>31</v>
      </c>
      <c r="H296" s="4" t="s">
        <v>11</v>
      </c>
      <c r="I296" s="4" t="s">
        <v>19</v>
      </c>
      <c r="J296" s="5">
        <v>4250</v>
      </c>
      <c r="K296" s="5">
        <f t="shared" si="46"/>
        <v>0.27402257145559195</v>
      </c>
      <c r="L296" s="5">
        <f t="shared" si="45"/>
        <v>274.0225714555919</v>
      </c>
      <c r="M296" s="4"/>
    </row>
    <row r="297" spans="1:13" ht="15.9" x14ac:dyDescent="0.4">
      <c r="A297" s="3">
        <v>45034</v>
      </c>
      <c r="B297" s="4" t="s">
        <v>349</v>
      </c>
      <c r="C297" s="4" t="s">
        <v>431</v>
      </c>
      <c r="D297" s="4">
        <v>23520</v>
      </c>
      <c r="E297" s="7">
        <f t="shared" si="52"/>
        <v>10668.483840000001</v>
      </c>
      <c r="F297" s="7">
        <f t="shared" si="44"/>
        <v>10.66848384</v>
      </c>
      <c r="G297" s="4">
        <v>24</v>
      </c>
      <c r="H297" s="4" t="s">
        <v>15</v>
      </c>
      <c r="I297" s="4" t="s">
        <v>311</v>
      </c>
      <c r="J297" s="5">
        <v>1500</v>
      </c>
      <c r="K297" s="5">
        <f t="shared" si="46"/>
        <v>0.14060104720559805</v>
      </c>
      <c r="L297" s="5">
        <f t="shared" si="45"/>
        <v>140.60104720559804</v>
      </c>
      <c r="M297" s="4"/>
    </row>
    <row r="298" spans="1:13" ht="15.9" x14ac:dyDescent="0.4">
      <c r="A298" s="3">
        <v>45035</v>
      </c>
      <c r="B298" s="4" t="s">
        <v>265</v>
      </c>
      <c r="C298" s="4" t="s">
        <v>432</v>
      </c>
      <c r="D298" s="4">
        <v>10866</v>
      </c>
      <c r="E298" s="7">
        <f>D298*0.453592</f>
        <v>4928.7306719999997</v>
      </c>
      <c r="F298" s="7">
        <f t="shared" si="44"/>
        <v>4.9287306719999995</v>
      </c>
      <c r="G298" s="4">
        <v>12</v>
      </c>
      <c r="H298" s="4" t="s">
        <v>15</v>
      </c>
      <c r="I298" s="4" t="s">
        <v>12</v>
      </c>
      <c r="J298" s="5"/>
      <c r="K298" s="5"/>
      <c r="L298" s="5"/>
      <c r="M298" s="4"/>
    </row>
    <row r="299" spans="1:13" ht="15.9" x14ac:dyDescent="0.4">
      <c r="A299" s="3">
        <v>45035</v>
      </c>
      <c r="B299" s="4" t="s">
        <v>141</v>
      </c>
      <c r="C299" s="4" t="s">
        <v>433</v>
      </c>
      <c r="D299" s="4">
        <v>35725</v>
      </c>
      <c r="E299" s="7">
        <f t="shared" ref="E299:E300" si="53">D299*0.453592</f>
        <v>16204.574199999999</v>
      </c>
      <c r="F299" s="7">
        <f t="shared" si="44"/>
        <v>16.2045742</v>
      </c>
      <c r="G299" s="4">
        <v>32</v>
      </c>
      <c r="H299" s="4" t="s">
        <v>15</v>
      </c>
      <c r="I299" s="4" t="s">
        <v>311</v>
      </c>
      <c r="J299" s="5">
        <v>1700</v>
      </c>
      <c r="K299" s="5">
        <f t="shared" si="46"/>
        <v>0.10490864980580607</v>
      </c>
      <c r="L299" s="5">
        <f t="shared" si="45"/>
        <v>104.90864980580606</v>
      </c>
      <c r="M299" s="4"/>
    </row>
    <row r="300" spans="1:13" ht="15.9" x14ac:dyDescent="0.4">
      <c r="A300" s="3">
        <v>45035</v>
      </c>
      <c r="B300" s="4" t="s">
        <v>56</v>
      </c>
      <c r="C300" s="4" t="s">
        <v>434</v>
      </c>
      <c r="D300" s="4">
        <v>16755</v>
      </c>
      <c r="E300" s="7">
        <f t="shared" si="53"/>
        <v>7599.9339600000003</v>
      </c>
      <c r="F300" s="7">
        <f t="shared" si="44"/>
        <v>7.5999339600000004</v>
      </c>
      <c r="G300" s="4">
        <v>15</v>
      </c>
      <c r="H300" s="4" t="s">
        <v>15</v>
      </c>
      <c r="I300" s="4" t="s">
        <v>16</v>
      </c>
      <c r="J300" s="5">
        <v>848.04</v>
      </c>
      <c r="K300" s="5">
        <f t="shared" si="46"/>
        <v>0.11158518014280218</v>
      </c>
      <c r="L300" s="5">
        <f t="shared" si="45"/>
        <v>111.58518014280217</v>
      </c>
      <c r="M300" s="4"/>
    </row>
    <row r="301" spans="1:13" ht="15.9" x14ac:dyDescent="0.4">
      <c r="A301" s="3">
        <v>45035</v>
      </c>
      <c r="B301" s="4" t="s">
        <v>435</v>
      </c>
      <c r="C301" s="4" t="s">
        <v>436</v>
      </c>
      <c r="D301" s="4">
        <v>15876</v>
      </c>
      <c r="E301" s="7">
        <f>D301*0.453592</f>
        <v>7201.226592</v>
      </c>
      <c r="F301" s="7">
        <f t="shared" si="44"/>
        <v>7.2012265920000003</v>
      </c>
      <c r="G301" s="4">
        <v>14</v>
      </c>
      <c r="H301" s="4" t="s">
        <v>11</v>
      </c>
      <c r="I301" s="4" t="s">
        <v>12</v>
      </c>
      <c r="J301" s="5"/>
      <c r="K301" s="5"/>
      <c r="L301" s="5"/>
      <c r="M301" s="4"/>
    </row>
    <row r="302" spans="1:13" ht="15.9" x14ac:dyDescent="0.4">
      <c r="A302" s="3">
        <v>45035</v>
      </c>
      <c r="B302" s="4" t="s">
        <v>20</v>
      </c>
      <c r="C302" s="4" t="s">
        <v>437</v>
      </c>
      <c r="D302" s="4">
        <v>11080</v>
      </c>
      <c r="E302" s="7">
        <f t="shared" ref="E302:E316" si="54">D302*0.453592</f>
        <v>5025.79936</v>
      </c>
      <c r="F302" s="7">
        <f t="shared" si="44"/>
        <v>5.0257993599999997</v>
      </c>
      <c r="G302" s="4">
        <v>10</v>
      </c>
      <c r="H302" s="4" t="s">
        <v>11</v>
      </c>
      <c r="I302" s="4" t="s">
        <v>19</v>
      </c>
      <c r="J302" s="5">
        <v>1850</v>
      </c>
      <c r="K302" s="5">
        <f t="shared" si="46"/>
        <v>0.36810064777436718</v>
      </c>
      <c r="L302" s="5">
        <f t="shared" si="45"/>
        <v>368.10064777436719</v>
      </c>
      <c r="M302" s="4"/>
    </row>
    <row r="303" spans="1:13" ht="15.9" x14ac:dyDescent="0.4">
      <c r="A303" s="3">
        <v>45035</v>
      </c>
      <c r="B303" s="4" t="s">
        <v>438</v>
      </c>
      <c r="C303" s="4" t="s">
        <v>439</v>
      </c>
      <c r="D303" s="4">
        <v>12200</v>
      </c>
      <c r="E303" s="7">
        <f t="shared" si="54"/>
        <v>5533.8224</v>
      </c>
      <c r="F303" s="7">
        <f t="shared" si="44"/>
        <v>5.5338224</v>
      </c>
      <c r="G303" s="4">
        <v>13</v>
      </c>
      <c r="H303" s="4" t="s">
        <v>35</v>
      </c>
      <c r="I303" s="4" t="s">
        <v>54</v>
      </c>
      <c r="J303" s="5">
        <v>2189.1999999999998</v>
      </c>
      <c r="K303" s="5">
        <f t="shared" si="46"/>
        <v>0.39560358857920697</v>
      </c>
      <c r="L303" s="5">
        <f t="shared" si="45"/>
        <v>395.60358857920698</v>
      </c>
      <c r="M303" s="4"/>
    </row>
    <row r="304" spans="1:13" ht="47.6" x14ac:dyDescent="0.4">
      <c r="A304" s="3">
        <v>45035</v>
      </c>
      <c r="B304" s="4" t="s">
        <v>440</v>
      </c>
      <c r="C304" s="4" t="s">
        <v>441</v>
      </c>
      <c r="D304" s="4">
        <v>15442</v>
      </c>
      <c r="E304" s="7">
        <f t="shared" si="54"/>
        <v>7004.3676640000003</v>
      </c>
      <c r="F304" s="7">
        <f t="shared" si="44"/>
        <v>7.0043676640000001</v>
      </c>
      <c r="G304" s="4">
        <v>14</v>
      </c>
      <c r="H304" s="4" t="s">
        <v>35</v>
      </c>
      <c r="I304" s="4" t="s">
        <v>16</v>
      </c>
      <c r="J304" s="5">
        <v>936.79</v>
      </c>
      <c r="K304" s="5">
        <f t="shared" si="46"/>
        <v>0.13374369321227567</v>
      </c>
      <c r="L304" s="5">
        <f t="shared" si="45"/>
        <v>133.74369321227567</v>
      </c>
      <c r="M304" s="6" t="s">
        <v>442</v>
      </c>
    </row>
    <row r="305" spans="1:13" ht="15.9" x14ac:dyDescent="0.4">
      <c r="A305" s="3">
        <v>45035</v>
      </c>
      <c r="B305" s="4" t="s">
        <v>52</v>
      </c>
      <c r="C305" s="4" t="s">
        <v>443</v>
      </c>
      <c r="D305" s="4">
        <v>43560</v>
      </c>
      <c r="E305" s="7">
        <f t="shared" si="54"/>
        <v>19758.467519999998</v>
      </c>
      <c r="F305" s="7">
        <f t="shared" si="44"/>
        <v>19.75846752</v>
      </c>
      <c r="G305" s="4">
        <v>44</v>
      </c>
      <c r="H305" s="4" t="s">
        <v>15</v>
      </c>
      <c r="I305" s="4" t="s">
        <v>25</v>
      </c>
      <c r="J305" s="5">
        <v>3050.4</v>
      </c>
      <c r="K305" s="5">
        <f t="shared" si="46"/>
        <v>0.15438444286796593</v>
      </c>
      <c r="L305" s="5">
        <f t="shared" si="45"/>
        <v>154.3844428679659</v>
      </c>
      <c r="M305" s="4"/>
    </row>
    <row r="306" spans="1:13" ht="15.9" x14ac:dyDescent="0.4">
      <c r="A306" s="3">
        <v>45036</v>
      </c>
      <c r="B306" s="4" t="s">
        <v>444</v>
      </c>
      <c r="C306" s="4" t="s">
        <v>445</v>
      </c>
      <c r="D306" s="4">
        <v>40212</v>
      </c>
      <c r="E306" s="7">
        <f t="shared" si="54"/>
        <v>18239.841504</v>
      </c>
      <c r="F306" s="7">
        <f t="shared" si="44"/>
        <v>18.239841504000001</v>
      </c>
      <c r="G306" s="4">
        <v>36</v>
      </c>
      <c r="H306" s="4" t="s">
        <v>11</v>
      </c>
      <c r="I306" s="4" t="s">
        <v>19</v>
      </c>
      <c r="J306" s="5">
        <v>3380</v>
      </c>
      <c r="K306" s="5">
        <f t="shared" si="46"/>
        <v>0.18530862777830417</v>
      </c>
      <c r="L306" s="5">
        <f t="shared" si="45"/>
        <v>185.30862777830419</v>
      </c>
      <c r="M306" s="4"/>
    </row>
    <row r="307" spans="1:13" ht="15.9" x14ac:dyDescent="0.4">
      <c r="A307" s="3">
        <v>45036</v>
      </c>
      <c r="B307" s="4" t="s">
        <v>444</v>
      </c>
      <c r="C307" s="4" t="s">
        <v>446</v>
      </c>
      <c r="D307" s="4">
        <v>15520</v>
      </c>
      <c r="E307" s="7">
        <f t="shared" si="54"/>
        <v>7039.74784</v>
      </c>
      <c r="F307" s="7">
        <f t="shared" si="44"/>
        <v>7.0397478400000004</v>
      </c>
      <c r="G307" s="4">
        <v>14</v>
      </c>
      <c r="H307" s="4" t="s">
        <v>11</v>
      </c>
      <c r="I307" s="4" t="s">
        <v>19</v>
      </c>
      <c r="J307" s="5">
        <v>3380</v>
      </c>
      <c r="K307" s="5">
        <f t="shared" si="46"/>
        <v>0.48013083377713711</v>
      </c>
      <c r="L307" s="5">
        <f t="shared" si="45"/>
        <v>480.13083377713707</v>
      </c>
      <c r="M307" s="4"/>
    </row>
    <row r="308" spans="1:13" ht="15.9" x14ac:dyDescent="0.4">
      <c r="A308" s="3">
        <v>45036</v>
      </c>
      <c r="B308" s="4" t="s">
        <v>255</v>
      </c>
      <c r="C308" s="4" t="s">
        <v>447</v>
      </c>
      <c r="D308" s="4">
        <v>37780</v>
      </c>
      <c r="E308" s="7">
        <f t="shared" si="54"/>
        <v>17136.705760000001</v>
      </c>
      <c r="F308" s="7">
        <f t="shared" si="44"/>
        <v>17.136705760000002</v>
      </c>
      <c r="G308" s="4">
        <v>39</v>
      </c>
      <c r="H308" s="4" t="s">
        <v>15</v>
      </c>
      <c r="I308" s="4" t="s">
        <v>25</v>
      </c>
      <c r="J308" s="5">
        <v>1950</v>
      </c>
      <c r="K308" s="5">
        <f t="shared" si="46"/>
        <v>0.11379083163997793</v>
      </c>
      <c r="L308" s="5">
        <f t="shared" si="45"/>
        <v>113.79083163997791</v>
      </c>
      <c r="M308" s="4" t="s">
        <v>448</v>
      </c>
    </row>
    <row r="309" spans="1:13" ht="15.9" x14ac:dyDescent="0.4">
      <c r="A309" s="3">
        <v>45036</v>
      </c>
      <c r="B309" s="4" t="s">
        <v>312</v>
      </c>
      <c r="C309" s="4" t="s">
        <v>449</v>
      </c>
      <c r="D309" s="4">
        <v>42042</v>
      </c>
      <c r="E309" s="7">
        <f t="shared" si="54"/>
        <v>19069.914863999998</v>
      </c>
      <c r="F309" s="7">
        <f t="shared" si="44"/>
        <v>19.069914863999998</v>
      </c>
      <c r="G309" s="4">
        <v>44</v>
      </c>
      <c r="H309" s="4" t="s">
        <v>15</v>
      </c>
      <c r="I309" s="4" t="s">
        <v>25</v>
      </c>
      <c r="J309" s="5">
        <v>1555.56</v>
      </c>
      <c r="K309" s="5">
        <f t="shared" si="46"/>
        <v>8.1571418178513794E-2</v>
      </c>
      <c r="L309" s="5">
        <f t="shared" si="45"/>
        <v>81.571418178513795</v>
      </c>
      <c r="M309" s="4"/>
    </row>
    <row r="310" spans="1:13" ht="15.9" x14ac:dyDescent="0.4">
      <c r="A310" s="3">
        <v>45037</v>
      </c>
      <c r="B310" s="4" t="s">
        <v>444</v>
      </c>
      <c r="C310" s="4" t="s">
        <v>450</v>
      </c>
      <c r="D310" s="4">
        <v>40212</v>
      </c>
      <c r="E310" s="7">
        <f t="shared" si="54"/>
        <v>18239.841504</v>
      </c>
      <c r="F310" s="7">
        <f t="shared" si="44"/>
        <v>18.239841504000001</v>
      </c>
      <c r="G310" s="4">
        <v>36</v>
      </c>
      <c r="H310" s="4" t="s">
        <v>11</v>
      </c>
      <c r="I310" s="4" t="s">
        <v>19</v>
      </c>
      <c r="J310" s="5">
        <v>3380</v>
      </c>
      <c r="K310" s="5">
        <f t="shared" si="46"/>
        <v>0.18530862777830417</v>
      </c>
      <c r="L310" s="5">
        <f t="shared" si="45"/>
        <v>185.30862777830419</v>
      </c>
      <c r="M310" s="4"/>
    </row>
    <row r="311" spans="1:13" ht="15.9" x14ac:dyDescent="0.4">
      <c r="A311" s="3">
        <v>45040</v>
      </c>
      <c r="B311" s="4" t="s">
        <v>168</v>
      </c>
      <c r="C311" s="4" t="s">
        <v>451</v>
      </c>
      <c r="D311" s="4">
        <v>40480</v>
      </c>
      <c r="E311" s="7">
        <f t="shared" si="54"/>
        <v>18361.404159999998</v>
      </c>
      <c r="F311" s="7">
        <f t="shared" si="44"/>
        <v>18.361404159999999</v>
      </c>
      <c r="G311" s="4">
        <v>44</v>
      </c>
      <c r="H311" s="4" t="s">
        <v>15</v>
      </c>
      <c r="I311" s="4" t="s">
        <v>25</v>
      </c>
      <c r="J311" s="5">
        <v>2564.1</v>
      </c>
      <c r="K311" s="5">
        <f t="shared" si="46"/>
        <v>0.13964618270240178</v>
      </c>
      <c r="L311" s="5">
        <f t="shared" si="45"/>
        <v>139.64618270240177</v>
      </c>
      <c r="M311" s="4"/>
    </row>
    <row r="312" spans="1:13" ht="15.9" x14ac:dyDescent="0.4">
      <c r="A312" s="3">
        <v>45040</v>
      </c>
      <c r="B312" s="4" t="s">
        <v>452</v>
      </c>
      <c r="C312" s="4" t="s">
        <v>453</v>
      </c>
      <c r="D312" s="4">
        <v>42812</v>
      </c>
      <c r="E312" s="7">
        <f t="shared" si="54"/>
        <v>19419.180703999999</v>
      </c>
      <c r="F312" s="7">
        <f t="shared" si="44"/>
        <v>19.419180703999999</v>
      </c>
      <c r="G312" s="4">
        <v>44</v>
      </c>
      <c r="H312" s="4" t="s">
        <v>11</v>
      </c>
      <c r="I312" s="4" t="s">
        <v>19</v>
      </c>
      <c r="J312" s="5">
        <v>5400</v>
      </c>
      <c r="K312" s="5">
        <f t="shared" si="46"/>
        <v>0.2780755832241521</v>
      </c>
      <c r="L312" s="5">
        <f t="shared" si="45"/>
        <v>278.07558322415207</v>
      </c>
      <c r="M312" s="4"/>
    </row>
    <row r="313" spans="1:13" ht="15.9" x14ac:dyDescent="0.4">
      <c r="A313" s="3">
        <v>45040</v>
      </c>
      <c r="B313" s="4" t="s">
        <v>168</v>
      </c>
      <c r="C313" s="4" t="s">
        <v>454</v>
      </c>
      <c r="D313" s="4">
        <v>28520</v>
      </c>
      <c r="E313" s="7">
        <f t="shared" si="54"/>
        <v>12936.44384</v>
      </c>
      <c r="F313" s="7">
        <f t="shared" si="44"/>
        <v>12.936443840000001</v>
      </c>
      <c r="G313" s="4">
        <v>31</v>
      </c>
      <c r="H313" s="4" t="s">
        <v>15</v>
      </c>
      <c r="I313" s="4" t="s">
        <v>25</v>
      </c>
      <c r="J313" s="5">
        <v>2564.1</v>
      </c>
      <c r="K313" s="5">
        <f t="shared" si="46"/>
        <v>0.19820748512598962</v>
      </c>
      <c r="L313" s="5">
        <f t="shared" si="45"/>
        <v>198.20748512598959</v>
      </c>
      <c r="M313" s="4"/>
    </row>
    <row r="314" spans="1:13" ht="15.9" x14ac:dyDescent="0.4">
      <c r="A314" s="3">
        <v>45040</v>
      </c>
      <c r="B314" s="4" t="s">
        <v>191</v>
      </c>
      <c r="C314" s="4" t="s">
        <v>455</v>
      </c>
      <c r="D314" s="4">
        <v>10845</v>
      </c>
      <c r="E314" s="7">
        <f t="shared" si="54"/>
        <v>4919.2052400000002</v>
      </c>
      <c r="F314" s="7">
        <f t="shared" si="44"/>
        <v>4.9192052400000001</v>
      </c>
      <c r="G314" s="4">
        <v>11</v>
      </c>
      <c r="H314" s="4" t="s">
        <v>35</v>
      </c>
      <c r="I314" s="4" t="s">
        <v>54</v>
      </c>
      <c r="J314" s="5">
        <v>1068.2</v>
      </c>
      <c r="K314" s="5">
        <f t="shared" si="46"/>
        <v>0.21714889862981199</v>
      </c>
      <c r="L314" s="5">
        <f t="shared" si="45"/>
        <v>217.14889862981201</v>
      </c>
      <c r="M314" s="4"/>
    </row>
    <row r="315" spans="1:13" ht="15.9" x14ac:dyDescent="0.4">
      <c r="A315" s="3">
        <v>45040</v>
      </c>
      <c r="B315" s="4" t="s">
        <v>349</v>
      </c>
      <c r="C315" s="4" t="s">
        <v>456</v>
      </c>
      <c r="D315" s="4">
        <v>28640</v>
      </c>
      <c r="E315" s="7">
        <f t="shared" si="54"/>
        <v>12990.874879999999</v>
      </c>
      <c r="F315" s="7">
        <f t="shared" si="44"/>
        <v>12.99087488</v>
      </c>
      <c r="G315" s="4">
        <v>28</v>
      </c>
      <c r="H315" s="4" t="s">
        <v>15</v>
      </c>
      <c r="I315" s="4" t="s">
        <v>311</v>
      </c>
      <c r="J315" s="5">
        <v>1500</v>
      </c>
      <c r="K315" s="5">
        <f t="shared" si="46"/>
        <v>0.11546566446493249</v>
      </c>
      <c r="L315" s="5">
        <f t="shared" si="45"/>
        <v>115.46566446493249</v>
      </c>
      <c r="M315" s="4"/>
    </row>
    <row r="316" spans="1:13" ht="15.9" x14ac:dyDescent="0.4">
      <c r="A316" s="3">
        <v>45040</v>
      </c>
      <c r="B316" s="4" t="s">
        <v>457</v>
      </c>
      <c r="C316" s="4" t="s">
        <v>458</v>
      </c>
      <c r="D316" s="4">
        <v>6470</v>
      </c>
      <c r="E316" s="7">
        <f t="shared" si="54"/>
        <v>2934.7402400000001</v>
      </c>
      <c r="F316" s="7">
        <f t="shared" si="44"/>
        <v>2.93474024</v>
      </c>
      <c r="G316" s="4">
        <v>6</v>
      </c>
      <c r="H316" s="4" t="s">
        <v>35</v>
      </c>
      <c r="I316" s="4" t="s">
        <v>161</v>
      </c>
      <c r="J316" s="5">
        <v>1227.1600000000001</v>
      </c>
      <c r="K316" s="5">
        <f t="shared" si="46"/>
        <v>0.41814944412252308</v>
      </c>
      <c r="L316" s="5">
        <f t="shared" si="45"/>
        <v>418.14944412252311</v>
      </c>
      <c r="M316" s="4"/>
    </row>
    <row r="317" spans="1:13" ht="31.75" x14ac:dyDescent="0.4">
      <c r="A317" s="3">
        <v>45040</v>
      </c>
      <c r="B317" s="4" t="s">
        <v>75</v>
      </c>
      <c r="C317" s="6" t="s">
        <v>459</v>
      </c>
      <c r="D317" s="4">
        <v>38245</v>
      </c>
      <c r="E317" s="7">
        <f>D317*0.453592</f>
        <v>17347.626039999999</v>
      </c>
      <c r="F317" s="7">
        <f t="shared" si="44"/>
        <v>17.347626039999998</v>
      </c>
      <c r="G317" s="4">
        <v>34</v>
      </c>
      <c r="H317" s="4" t="s">
        <v>11</v>
      </c>
      <c r="I317" s="4" t="s">
        <v>12</v>
      </c>
      <c r="J317" s="5"/>
      <c r="K317" s="5"/>
      <c r="L317" s="5"/>
      <c r="M317" s="4"/>
    </row>
    <row r="318" spans="1:13" ht="15.9" x14ac:dyDescent="0.4">
      <c r="A318" s="3">
        <v>45040</v>
      </c>
      <c r="B318" s="4" t="s">
        <v>452</v>
      </c>
      <c r="C318" s="4" t="s">
        <v>460</v>
      </c>
      <c r="D318" s="4">
        <v>42812</v>
      </c>
      <c r="E318" s="7">
        <f>D318*0.453592</f>
        <v>19419.180703999999</v>
      </c>
      <c r="F318" s="7">
        <f t="shared" si="44"/>
        <v>19.419180703999999</v>
      </c>
      <c r="G318" s="4">
        <v>44</v>
      </c>
      <c r="H318" s="4" t="s">
        <v>11</v>
      </c>
      <c r="I318" s="4" t="s">
        <v>19</v>
      </c>
      <c r="J318" s="5">
        <v>5400</v>
      </c>
      <c r="K318" s="5">
        <f t="shared" si="46"/>
        <v>0.2780755832241521</v>
      </c>
      <c r="L318" s="5">
        <f t="shared" si="45"/>
        <v>278.07558322415207</v>
      </c>
      <c r="M318" s="4"/>
    </row>
    <row r="319" spans="1:13" ht="15.9" x14ac:dyDescent="0.4">
      <c r="A319" s="3">
        <v>45041</v>
      </c>
      <c r="B319" s="4" t="s">
        <v>207</v>
      </c>
      <c r="C319" s="4" t="s">
        <v>461</v>
      </c>
      <c r="D319" s="4">
        <v>37840</v>
      </c>
      <c r="E319" s="7">
        <f>D319*0.453592</f>
        <v>17163.921279999999</v>
      </c>
      <c r="F319" s="7">
        <f t="shared" si="44"/>
        <v>17.16392128</v>
      </c>
      <c r="G319" s="4">
        <v>44</v>
      </c>
      <c r="H319" s="4" t="s">
        <v>11</v>
      </c>
      <c r="I319" s="4" t="s">
        <v>12</v>
      </c>
      <c r="J319" s="5"/>
      <c r="K319" s="5"/>
      <c r="L319" s="5"/>
      <c r="M319" s="4"/>
    </row>
    <row r="320" spans="1:13" ht="15.9" x14ac:dyDescent="0.4">
      <c r="A320" s="3">
        <v>45041</v>
      </c>
      <c r="B320" s="4" t="s">
        <v>462</v>
      </c>
      <c r="C320" s="4" t="s">
        <v>463</v>
      </c>
      <c r="D320" s="4">
        <v>10864</v>
      </c>
      <c r="E320" s="7">
        <f t="shared" ref="E320:E329" si="55">D320*0.453592</f>
        <v>4927.823488</v>
      </c>
      <c r="F320" s="7">
        <f t="shared" si="44"/>
        <v>4.9278234880000005</v>
      </c>
      <c r="G320" s="4">
        <v>14</v>
      </c>
      <c r="H320" s="4" t="s">
        <v>35</v>
      </c>
      <c r="I320" s="4" t="s">
        <v>16</v>
      </c>
      <c r="J320" s="5">
        <v>1584</v>
      </c>
      <c r="K320" s="5">
        <f t="shared" si="46"/>
        <v>0.32144008482797343</v>
      </c>
      <c r="L320" s="5">
        <f t="shared" si="45"/>
        <v>321.44008482797341</v>
      </c>
      <c r="M320" s="4"/>
    </row>
    <row r="321" spans="1:13" ht="15.9" x14ac:dyDescent="0.4">
      <c r="A321" s="3">
        <v>45041</v>
      </c>
      <c r="B321" s="4" t="s">
        <v>52</v>
      </c>
      <c r="C321" s="4" t="s">
        <v>464</v>
      </c>
      <c r="D321" s="4">
        <v>21850</v>
      </c>
      <c r="E321" s="7">
        <f t="shared" si="55"/>
        <v>9910.9851999999992</v>
      </c>
      <c r="F321" s="7">
        <f t="shared" si="44"/>
        <v>9.9109851999999989</v>
      </c>
      <c r="G321" s="4">
        <v>23</v>
      </c>
      <c r="H321" s="4" t="s">
        <v>15</v>
      </c>
      <c r="I321" s="4" t="s">
        <v>311</v>
      </c>
      <c r="J321" s="5">
        <v>2800</v>
      </c>
      <c r="K321" s="5">
        <f t="shared" si="46"/>
        <v>0.28251479984048411</v>
      </c>
      <c r="L321" s="5">
        <f t="shared" si="45"/>
        <v>282.5147998404841</v>
      </c>
      <c r="M321" s="4"/>
    </row>
    <row r="322" spans="1:13" ht="15.9" x14ac:dyDescent="0.4">
      <c r="A322" s="3">
        <v>45041</v>
      </c>
      <c r="B322" s="4" t="s">
        <v>214</v>
      </c>
      <c r="C322" s="4" t="s">
        <v>465</v>
      </c>
      <c r="D322" s="4">
        <v>18470</v>
      </c>
      <c r="E322" s="7">
        <f t="shared" si="55"/>
        <v>8377.8442400000004</v>
      </c>
      <c r="F322" s="7">
        <f t="shared" si="44"/>
        <v>8.3778442399999999</v>
      </c>
      <c r="G322" s="4">
        <v>19</v>
      </c>
      <c r="H322" s="4" t="s">
        <v>11</v>
      </c>
      <c r="I322" s="4" t="s">
        <v>19</v>
      </c>
      <c r="J322" s="5">
        <v>1200</v>
      </c>
      <c r="K322" s="5">
        <f t="shared" si="46"/>
        <v>0.14323493796537806</v>
      </c>
      <c r="L322" s="5">
        <f t="shared" si="45"/>
        <v>143.23493796537807</v>
      </c>
      <c r="M322" s="4"/>
    </row>
    <row r="323" spans="1:13" ht="15.9" x14ac:dyDescent="0.4">
      <c r="A323" s="3">
        <v>45042</v>
      </c>
      <c r="B323" s="4" t="s">
        <v>96</v>
      </c>
      <c r="C323" s="4" t="s">
        <v>466</v>
      </c>
      <c r="D323" s="4">
        <v>19300</v>
      </c>
      <c r="E323" s="7">
        <f t="shared" si="55"/>
        <v>8754.3256000000001</v>
      </c>
      <c r="F323" s="7">
        <f t="shared" ref="F323:F344" si="56">E323*0.001</f>
        <v>8.7543255999999996</v>
      </c>
      <c r="G323" s="4">
        <v>20</v>
      </c>
      <c r="H323" s="4" t="s">
        <v>15</v>
      </c>
      <c r="I323" s="4" t="s">
        <v>311</v>
      </c>
      <c r="J323" s="5">
        <v>3200</v>
      </c>
      <c r="K323" s="5">
        <f t="shared" si="46"/>
        <v>0.36553358262114444</v>
      </c>
      <c r="L323" s="5">
        <f t="shared" ref="L323:L343" si="57">J323/F323</f>
        <v>365.53358262114449</v>
      </c>
      <c r="M323" s="4"/>
    </row>
    <row r="324" spans="1:13" ht="15.9" x14ac:dyDescent="0.4">
      <c r="A324" s="3">
        <v>45042</v>
      </c>
      <c r="B324" s="4" t="s">
        <v>452</v>
      </c>
      <c r="C324" s="4" t="s">
        <v>467</v>
      </c>
      <c r="D324" s="4">
        <v>44000</v>
      </c>
      <c r="E324" s="7">
        <f t="shared" si="55"/>
        <v>19958.047999999999</v>
      </c>
      <c r="F324" s="7">
        <f t="shared" si="56"/>
        <v>19.958047999999998</v>
      </c>
      <c r="G324" s="4">
        <v>44</v>
      </c>
      <c r="H324" s="4" t="s">
        <v>11</v>
      </c>
      <c r="I324" s="4" t="s">
        <v>19</v>
      </c>
      <c r="J324" s="5">
        <v>5400</v>
      </c>
      <c r="K324" s="5">
        <f t="shared" ref="K324:K343" si="58">J324/E324</f>
        <v>0.27056754247709996</v>
      </c>
      <c r="L324" s="5">
        <f t="shared" si="57"/>
        <v>270.56754247710001</v>
      </c>
      <c r="M324" s="4"/>
    </row>
    <row r="325" spans="1:13" ht="15.9" x14ac:dyDescent="0.4">
      <c r="A325" s="3">
        <v>45042</v>
      </c>
      <c r="B325" s="4" t="s">
        <v>452</v>
      </c>
      <c r="C325" s="4" t="s">
        <v>468</v>
      </c>
      <c r="D325" s="4">
        <v>42812</v>
      </c>
      <c r="E325" s="7">
        <f t="shared" si="55"/>
        <v>19419.180703999999</v>
      </c>
      <c r="F325" s="7">
        <f t="shared" si="56"/>
        <v>19.419180703999999</v>
      </c>
      <c r="G325" s="4">
        <v>44</v>
      </c>
      <c r="H325" s="4" t="s">
        <v>11</v>
      </c>
      <c r="I325" s="4" t="s">
        <v>19</v>
      </c>
      <c r="J325" s="5">
        <v>5400</v>
      </c>
      <c r="K325" s="5">
        <f t="shared" si="58"/>
        <v>0.2780755832241521</v>
      </c>
      <c r="L325" s="5">
        <f t="shared" si="57"/>
        <v>278.07558322415207</v>
      </c>
      <c r="M325" s="4"/>
    </row>
    <row r="326" spans="1:13" ht="15.9" x14ac:dyDescent="0.4">
      <c r="A326" s="3">
        <v>45042</v>
      </c>
      <c r="B326" s="4" t="s">
        <v>452</v>
      </c>
      <c r="C326" s="4" t="s">
        <v>469</v>
      </c>
      <c r="D326" s="4">
        <v>14241</v>
      </c>
      <c r="E326" s="7">
        <f t="shared" si="55"/>
        <v>6459.6036720000002</v>
      </c>
      <c r="F326" s="7">
        <f t="shared" si="56"/>
        <v>6.4596036720000001</v>
      </c>
      <c r="G326" s="4">
        <v>15</v>
      </c>
      <c r="H326" s="4" t="s">
        <v>11</v>
      </c>
      <c r="I326" s="4" t="s">
        <v>19</v>
      </c>
      <c r="J326" s="5">
        <v>5400</v>
      </c>
      <c r="K326" s="5">
        <f t="shared" si="58"/>
        <v>0.83596460002755413</v>
      </c>
      <c r="L326" s="5">
        <f t="shared" si="57"/>
        <v>835.96460002755407</v>
      </c>
      <c r="M326" s="4"/>
    </row>
    <row r="327" spans="1:13" ht="15.9" x14ac:dyDescent="0.4">
      <c r="A327" s="3">
        <v>45042</v>
      </c>
      <c r="B327" s="4" t="s">
        <v>349</v>
      </c>
      <c r="C327" s="4" t="s">
        <v>470</v>
      </c>
      <c r="D327" s="4">
        <v>19140</v>
      </c>
      <c r="E327" s="7">
        <f t="shared" si="55"/>
        <v>8681.7508799999996</v>
      </c>
      <c r="F327" s="7">
        <f t="shared" si="56"/>
        <v>8.6817508799999992</v>
      </c>
      <c r="G327" s="4">
        <v>22</v>
      </c>
      <c r="H327" s="4" t="s">
        <v>15</v>
      </c>
      <c r="I327" s="4" t="s">
        <v>311</v>
      </c>
      <c r="J327" s="5">
        <v>1500</v>
      </c>
      <c r="K327" s="5">
        <f t="shared" si="58"/>
        <v>0.17277620847835248</v>
      </c>
      <c r="L327" s="5">
        <f t="shared" si="57"/>
        <v>172.77620847835249</v>
      </c>
      <c r="M327" s="4"/>
    </row>
    <row r="328" spans="1:13" ht="31.75" x14ac:dyDescent="0.4">
      <c r="A328" s="3">
        <v>45042</v>
      </c>
      <c r="B328" s="4" t="s">
        <v>183</v>
      </c>
      <c r="C328" s="6" t="s">
        <v>471</v>
      </c>
      <c r="D328" s="4">
        <v>39515</v>
      </c>
      <c r="E328" s="7">
        <f t="shared" si="55"/>
        <v>17923.687880000001</v>
      </c>
      <c r="F328" s="7">
        <f t="shared" si="56"/>
        <v>17.923687880000003</v>
      </c>
      <c r="G328" s="4">
        <v>43</v>
      </c>
      <c r="H328" s="4" t="s">
        <v>15</v>
      </c>
      <c r="I328" s="4" t="s">
        <v>25</v>
      </c>
      <c r="J328" s="5">
        <v>1350</v>
      </c>
      <c r="K328" s="5">
        <f t="shared" si="58"/>
        <v>7.5319320947693266E-2</v>
      </c>
      <c r="L328" s="5">
        <f t="shared" si="57"/>
        <v>75.319320947693257</v>
      </c>
      <c r="M328" s="4"/>
    </row>
    <row r="329" spans="1:13" ht="15.9" x14ac:dyDescent="0.4">
      <c r="A329" s="3">
        <v>45042</v>
      </c>
      <c r="B329" s="4" t="s">
        <v>183</v>
      </c>
      <c r="C329" s="4" t="s">
        <v>472</v>
      </c>
      <c r="D329" s="4">
        <v>3800</v>
      </c>
      <c r="E329" s="7">
        <f t="shared" si="55"/>
        <v>1723.6496</v>
      </c>
      <c r="F329" s="7">
        <f t="shared" si="56"/>
        <v>1.7236495999999999</v>
      </c>
      <c r="G329" s="4">
        <v>4</v>
      </c>
      <c r="H329" s="4" t="s">
        <v>35</v>
      </c>
      <c r="I329" s="4" t="s">
        <v>161</v>
      </c>
      <c r="J329" s="5">
        <v>425.73</v>
      </c>
      <c r="K329" s="5">
        <f t="shared" si="58"/>
        <v>0.24699335642232623</v>
      </c>
      <c r="L329" s="5">
        <f t="shared" si="57"/>
        <v>246.99335642232623</v>
      </c>
      <c r="M329" s="4"/>
    </row>
    <row r="330" spans="1:13" ht="15.9" x14ac:dyDescent="0.4">
      <c r="A330" s="3">
        <v>45042</v>
      </c>
      <c r="B330" s="4" t="s">
        <v>319</v>
      </c>
      <c r="C330" s="4" t="s">
        <v>473</v>
      </c>
      <c r="D330" s="4">
        <v>5856</v>
      </c>
      <c r="E330" s="7">
        <f>D330*0.453592</f>
        <v>2656.2347519999998</v>
      </c>
      <c r="F330" s="7">
        <f t="shared" si="56"/>
        <v>2.656234752</v>
      </c>
      <c r="G330" s="4">
        <v>6</v>
      </c>
      <c r="H330" s="4" t="s">
        <v>35</v>
      </c>
      <c r="I330" s="4" t="s">
        <v>12</v>
      </c>
      <c r="J330" s="5"/>
      <c r="K330" s="5"/>
      <c r="L330" s="5"/>
      <c r="M330" s="4"/>
    </row>
    <row r="331" spans="1:13" ht="15.9" x14ac:dyDescent="0.4">
      <c r="A331" s="3">
        <v>45042</v>
      </c>
      <c r="B331" s="4" t="s">
        <v>286</v>
      </c>
      <c r="C331" s="4" t="s">
        <v>474</v>
      </c>
      <c r="D331" s="4">
        <v>1542</v>
      </c>
      <c r="E331" s="7">
        <f t="shared" ref="E331:E335" si="59">D331*0.453592</f>
        <v>699.43886399999997</v>
      </c>
      <c r="F331" s="7">
        <f t="shared" si="56"/>
        <v>0.69943886399999999</v>
      </c>
      <c r="G331" s="4">
        <v>2</v>
      </c>
      <c r="H331" s="4" t="s">
        <v>35</v>
      </c>
      <c r="I331" s="4" t="s">
        <v>161</v>
      </c>
      <c r="J331" s="5">
        <v>429</v>
      </c>
      <c r="K331" s="5">
        <f t="shared" si="58"/>
        <v>0.61334881728848289</v>
      </c>
      <c r="L331" s="5">
        <f t="shared" si="57"/>
        <v>613.34881728848291</v>
      </c>
      <c r="M331" s="4"/>
    </row>
    <row r="332" spans="1:13" ht="15.9" x14ac:dyDescent="0.4">
      <c r="A332" s="3">
        <v>45043</v>
      </c>
      <c r="B332" s="4" t="s">
        <v>397</v>
      </c>
      <c r="C332" s="4" t="s">
        <v>475</v>
      </c>
      <c r="D332" s="4">
        <v>43666</v>
      </c>
      <c r="E332" s="7">
        <f t="shared" si="59"/>
        <v>19806.548272</v>
      </c>
      <c r="F332" s="7">
        <f t="shared" si="56"/>
        <v>19.806548272000001</v>
      </c>
      <c r="G332" s="4">
        <v>47</v>
      </c>
      <c r="H332" s="4" t="s">
        <v>11</v>
      </c>
      <c r="I332" s="4" t="s">
        <v>19</v>
      </c>
      <c r="J332" s="5">
        <v>4250</v>
      </c>
      <c r="K332" s="5">
        <f t="shared" si="58"/>
        <v>0.21457550006368925</v>
      </c>
      <c r="L332" s="5">
        <f t="shared" si="57"/>
        <v>214.57550006368925</v>
      </c>
      <c r="M332" s="4"/>
    </row>
    <row r="333" spans="1:13" ht="15.9" x14ac:dyDescent="0.4">
      <c r="A333" s="3">
        <v>45043</v>
      </c>
      <c r="B333" s="4" t="s">
        <v>191</v>
      </c>
      <c r="C333" s="4" t="s">
        <v>476</v>
      </c>
      <c r="D333" s="4">
        <v>12507</v>
      </c>
      <c r="E333" s="7">
        <f t="shared" si="59"/>
        <v>5673.0751440000004</v>
      </c>
      <c r="F333" s="7">
        <f t="shared" si="56"/>
        <v>5.6730751440000002</v>
      </c>
      <c r="G333" s="4">
        <v>13</v>
      </c>
      <c r="H333" s="4" t="s">
        <v>35</v>
      </c>
      <c r="I333" s="4" t="s">
        <v>16</v>
      </c>
      <c r="J333" s="5">
        <v>907.79</v>
      </c>
      <c r="K333" s="5">
        <f t="shared" si="58"/>
        <v>0.16001727052039907</v>
      </c>
      <c r="L333" s="5">
        <f t="shared" si="57"/>
        <v>160.01727052039908</v>
      </c>
      <c r="M333" s="4"/>
    </row>
    <row r="334" spans="1:13" ht="15.9" x14ac:dyDescent="0.4">
      <c r="A334" s="3">
        <v>45043</v>
      </c>
      <c r="B334" s="4" t="s">
        <v>477</v>
      </c>
      <c r="C334" s="4" t="s">
        <v>478</v>
      </c>
      <c r="D334" s="4">
        <v>12270</v>
      </c>
      <c r="E334" s="7">
        <f t="shared" si="59"/>
        <v>5565.57384</v>
      </c>
      <c r="F334" s="7">
        <f t="shared" si="56"/>
        <v>5.5655738399999999</v>
      </c>
      <c r="G334" s="4">
        <v>13</v>
      </c>
      <c r="H334" s="4" t="s">
        <v>35</v>
      </c>
      <c r="I334" s="4" t="s">
        <v>16</v>
      </c>
      <c r="J334" s="5">
        <v>1678.29</v>
      </c>
      <c r="K334" s="5">
        <f t="shared" si="58"/>
        <v>0.30154842038714197</v>
      </c>
      <c r="L334" s="5">
        <f t="shared" si="57"/>
        <v>301.54842038714196</v>
      </c>
      <c r="M334" s="4"/>
    </row>
    <row r="335" spans="1:13" ht="15.9" x14ac:dyDescent="0.4">
      <c r="A335" s="3">
        <v>45043</v>
      </c>
      <c r="B335" s="4" t="s">
        <v>143</v>
      </c>
      <c r="C335" s="4" t="s">
        <v>479</v>
      </c>
      <c r="D335" s="4">
        <v>42548</v>
      </c>
      <c r="E335" s="7">
        <f t="shared" si="59"/>
        <v>19299.432416</v>
      </c>
      <c r="F335" s="7">
        <f t="shared" si="56"/>
        <v>19.299432415999998</v>
      </c>
      <c r="G335" s="4">
        <v>44</v>
      </c>
      <c r="H335" s="4" t="s">
        <v>15</v>
      </c>
      <c r="I335" s="4" t="s">
        <v>25</v>
      </c>
      <c r="J335" s="5">
        <v>1900</v>
      </c>
      <c r="K335" s="5">
        <f t="shared" si="58"/>
        <v>9.8448491077117076E-2</v>
      </c>
      <c r="L335" s="5">
        <f t="shared" si="57"/>
        <v>98.448491077117083</v>
      </c>
      <c r="M335" s="4"/>
    </row>
    <row r="336" spans="1:13" ht="15.9" x14ac:dyDescent="0.4">
      <c r="A336" s="3">
        <v>45043</v>
      </c>
      <c r="B336" s="4" t="s">
        <v>75</v>
      </c>
      <c r="C336" s="4" t="s">
        <v>480</v>
      </c>
      <c r="D336" s="4">
        <v>26808</v>
      </c>
      <c r="E336" s="7">
        <f>D336*0.453592</f>
        <v>12159.894335999999</v>
      </c>
      <c r="F336" s="7">
        <f t="shared" si="56"/>
        <v>12.159894335999999</v>
      </c>
      <c r="G336" s="4">
        <v>24</v>
      </c>
      <c r="H336" s="4" t="s">
        <v>11</v>
      </c>
      <c r="I336" s="4" t="s">
        <v>12</v>
      </c>
      <c r="J336" s="5"/>
      <c r="K336" s="5"/>
      <c r="L336" s="5"/>
      <c r="M336" s="4"/>
    </row>
    <row r="337" spans="1:13" ht="15.9" x14ac:dyDescent="0.4">
      <c r="A337" s="3">
        <v>45043</v>
      </c>
      <c r="B337" s="4" t="s">
        <v>349</v>
      </c>
      <c r="C337" s="4" t="s">
        <v>481</v>
      </c>
      <c r="D337" s="4">
        <v>36520</v>
      </c>
      <c r="E337" s="7">
        <f t="shared" ref="E337:E341" si="60">D337*0.453592</f>
        <v>16565.179840000001</v>
      </c>
      <c r="F337" s="7">
        <f t="shared" si="56"/>
        <v>16.565179840000003</v>
      </c>
      <c r="G337" s="4">
        <v>44</v>
      </c>
      <c r="H337" s="4" t="s">
        <v>15</v>
      </c>
      <c r="I337" s="4" t="s">
        <v>25</v>
      </c>
      <c r="J337" s="5">
        <v>1555.56</v>
      </c>
      <c r="K337" s="5">
        <f t="shared" si="58"/>
        <v>9.3905409722373406E-2</v>
      </c>
      <c r="L337" s="5">
        <f t="shared" si="57"/>
        <v>93.905409722373392</v>
      </c>
      <c r="M337" s="4"/>
    </row>
    <row r="338" spans="1:13" ht="15.9" x14ac:dyDescent="0.4">
      <c r="A338" s="3">
        <v>45043</v>
      </c>
      <c r="B338" s="4" t="s">
        <v>349</v>
      </c>
      <c r="C338" s="4" t="s">
        <v>482</v>
      </c>
      <c r="D338" s="4">
        <v>34230</v>
      </c>
      <c r="E338" s="7">
        <f t="shared" si="60"/>
        <v>15526.454159999999</v>
      </c>
      <c r="F338" s="7">
        <f t="shared" si="56"/>
        <v>15.52645416</v>
      </c>
      <c r="G338" s="4">
        <v>41</v>
      </c>
      <c r="H338" s="4" t="s">
        <v>15</v>
      </c>
      <c r="I338" s="4" t="s">
        <v>311</v>
      </c>
      <c r="J338" s="5">
        <v>1500</v>
      </c>
      <c r="K338" s="5">
        <f t="shared" si="58"/>
        <v>9.6609308509367997E-2</v>
      </c>
      <c r="L338" s="5">
        <f t="shared" si="57"/>
        <v>96.609308509367992</v>
      </c>
      <c r="M338" s="4"/>
    </row>
    <row r="339" spans="1:13" ht="15.9" x14ac:dyDescent="0.4">
      <c r="A339" s="3">
        <v>45044</v>
      </c>
      <c r="B339" s="4" t="s">
        <v>462</v>
      </c>
      <c r="C339" s="4" t="s">
        <v>483</v>
      </c>
      <c r="D339" s="4">
        <v>12210</v>
      </c>
      <c r="E339" s="7">
        <f t="shared" si="60"/>
        <v>5538.3583200000003</v>
      </c>
      <c r="F339" s="7">
        <f t="shared" si="56"/>
        <v>5.5383583200000004</v>
      </c>
      <c r="G339" s="4">
        <v>12</v>
      </c>
      <c r="H339" s="4" t="s">
        <v>35</v>
      </c>
      <c r="I339" s="4" t="s">
        <v>16</v>
      </c>
      <c r="J339" s="5">
        <v>1643</v>
      </c>
      <c r="K339" s="5">
        <f t="shared" si="58"/>
        <v>0.29665830649974989</v>
      </c>
      <c r="L339" s="5">
        <f t="shared" si="57"/>
        <v>296.65830649974987</v>
      </c>
      <c r="M339" s="4"/>
    </row>
    <row r="340" spans="1:13" ht="15.9" x14ac:dyDescent="0.4">
      <c r="A340" s="3">
        <v>45044</v>
      </c>
      <c r="B340" s="4" t="s">
        <v>77</v>
      </c>
      <c r="C340" s="4" t="s">
        <v>484</v>
      </c>
      <c r="D340" s="4">
        <v>18050</v>
      </c>
      <c r="E340" s="7">
        <f t="shared" si="60"/>
        <v>8187.3356000000003</v>
      </c>
      <c r="F340" s="7">
        <f t="shared" si="56"/>
        <v>8.1873356000000008</v>
      </c>
      <c r="G340" s="4">
        <v>19</v>
      </c>
      <c r="H340" s="4" t="s">
        <v>15</v>
      </c>
      <c r="I340" s="4" t="s">
        <v>19</v>
      </c>
      <c r="J340" s="5">
        <v>5940</v>
      </c>
      <c r="K340" s="5">
        <f t="shared" si="58"/>
        <v>0.72551075101892726</v>
      </c>
      <c r="L340" s="5">
        <f t="shared" si="57"/>
        <v>725.51075101892729</v>
      </c>
      <c r="M340" s="4"/>
    </row>
    <row r="341" spans="1:13" ht="15.9" x14ac:dyDescent="0.4">
      <c r="A341" s="3">
        <v>45044</v>
      </c>
      <c r="B341" s="4" t="s">
        <v>77</v>
      </c>
      <c r="C341" s="4" t="s">
        <v>485</v>
      </c>
      <c r="D341" s="4">
        <v>18920</v>
      </c>
      <c r="E341" s="7">
        <f t="shared" si="60"/>
        <v>8581.9606399999993</v>
      </c>
      <c r="F341" s="7">
        <f t="shared" si="56"/>
        <v>8.5819606400000001</v>
      </c>
      <c r="G341" s="4">
        <v>20</v>
      </c>
      <c r="H341" s="4" t="s">
        <v>15</v>
      </c>
      <c r="I341" s="4" t="s">
        <v>19</v>
      </c>
      <c r="J341" s="5">
        <v>5940</v>
      </c>
      <c r="K341" s="5">
        <f t="shared" si="58"/>
        <v>0.69214952726699996</v>
      </c>
      <c r="L341" s="5">
        <f t="shared" si="57"/>
        <v>692.14952726699994</v>
      </c>
      <c r="M341" s="4"/>
    </row>
    <row r="342" spans="1:13" ht="15.9" x14ac:dyDescent="0.4">
      <c r="A342" s="3">
        <v>45044</v>
      </c>
      <c r="B342" s="4" t="s">
        <v>486</v>
      </c>
      <c r="C342" s="4" t="s">
        <v>487</v>
      </c>
      <c r="D342" s="4">
        <v>310</v>
      </c>
      <c r="E342" s="7">
        <f>D342*0.453592</f>
        <v>140.61351999999999</v>
      </c>
      <c r="F342" s="7">
        <f t="shared" si="56"/>
        <v>0.14061351999999999</v>
      </c>
      <c r="G342" s="4">
        <v>1</v>
      </c>
      <c r="H342" s="4" t="s">
        <v>35</v>
      </c>
      <c r="I342" s="4" t="s">
        <v>12</v>
      </c>
      <c r="J342" s="5"/>
      <c r="K342" s="5"/>
      <c r="L342" s="5"/>
      <c r="M342" s="4"/>
    </row>
    <row r="343" spans="1:13" ht="31.75" x14ac:dyDescent="0.4">
      <c r="A343" s="3">
        <v>45044</v>
      </c>
      <c r="B343" s="4" t="s">
        <v>143</v>
      </c>
      <c r="C343" s="6" t="s">
        <v>488</v>
      </c>
      <c r="D343" s="4">
        <v>8851</v>
      </c>
      <c r="E343" s="7">
        <f>D343*0.453592</f>
        <v>4014.742792</v>
      </c>
      <c r="F343" s="7">
        <f t="shared" si="56"/>
        <v>4.0147427919999998</v>
      </c>
      <c r="G343" s="4">
        <v>10</v>
      </c>
      <c r="H343" s="4" t="s">
        <v>35</v>
      </c>
      <c r="I343" s="4" t="s">
        <v>16</v>
      </c>
      <c r="J343" s="5">
        <v>1023</v>
      </c>
      <c r="K343" s="5">
        <f t="shared" si="58"/>
        <v>0.25481084418122296</v>
      </c>
      <c r="L343" s="5">
        <f t="shared" si="57"/>
        <v>254.81084418122296</v>
      </c>
      <c r="M343" s="4"/>
    </row>
    <row r="344" spans="1:13" ht="15.9" x14ac:dyDescent="0.4">
      <c r="A344" s="3">
        <v>45044</v>
      </c>
      <c r="B344" s="4" t="s">
        <v>489</v>
      </c>
      <c r="C344" s="4" t="s">
        <v>490</v>
      </c>
      <c r="D344" s="4">
        <v>11154</v>
      </c>
      <c r="E344" s="7">
        <f>D344*0.453592</f>
        <v>5059.3651680000003</v>
      </c>
      <c r="F344" s="7">
        <f t="shared" si="56"/>
        <v>5.0593651680000002</v>
      </c>
      <c r="G344" s="4">
        <v>11</v>
      </c>
      <c r="H344" s="4" t="s">
        <v>35</v>
      </c>
      <c r="I344" s="4" t="s">
        <v>12</v>
      </c>
      <c r="J344" s="4"/>
      <c r="K344" s="5">
        <f t="shared" ref="K344:K407" si="61">J344/E344</f>
        <v>0</v>
      </c>
      <c r="L344" s="5">
        <f t="shared" ref="L344:L407" si="62">J344/F344</f>
        <v>0</v>
      </c>
      <c r="M344" s="5"/>
    </row>
    <row r="345" spans="1:13" ht="15.9" x14ac:dyDescent="0.4">
      <c r="A345" s="3">
        <v>45047</v>
      </c>
      <c r="B345" s="4" t="s">
        <v>491</v>
      </c>
      <c r="C345" s="4" t="s">
        <v>492</v>
      </c>
      <c r="D345" s="4">
        <v>11492</v>
      </c>
      <c r="E345" s="7">
        <f t="shared" ref="E345:E408" si="63">D345*0.453592</f>
        <v>5212.6792640000003</v>
      </c>
      <c r="F345" s="7">
        <f t="shared" ref="F345:F408" si="64">E345*0.001</f>
        <v>5.2126792640000001</v>
      </c>
      <c r="G345" s="4">
        <v>14</v>
      </c>
      <c r="H345" s="4" t="s">
        <v>15</v>
      </c>
      <c r="I345" s="4" t="s">
        <v>12</v>
      </c>
      <c r="J345" s="5"/>
      <c r="K345" s="5">
        <f t="shared" si="61"/>
        <v>0</v>
      </c>
      <c r="L345" s="5">
        <f t="shared" si="62"/>
        <v>0</v>
      </c>
      <c r="M345" s="4"/>
    </row>
    <row r="346" spans="1:13" ht="15.9" x14ac:dyDescent="0.4">
      <c r="A346" s="3">
        <v>45047</v>
      </c>
      <c r="B346" s="4" t="s">
        <v>493</v>
      </c>
      <c r="C346" s="4" t="s">
        <v>494</v>
      </c>
      <c r="D346" s="4">
        <v>501</v>
      </c>
      <c r="E346" s="7">
        <f t="shared" si="63"/>
        <v>227.24959200000001</v>
      </c>
      <c r="F346" s="7">
        <f t="shared" si="64"/>
        <v>0.227249592</v>
      </c>
      <c r="G346" s="4">
        <v>1</v>
      </c>
      <c r="H346" s="4" t="s">
        <v>35</v>
      </c>
      <c r="I346" s="4" t="s">
        <v>12</v>
      </c>
      <c r="J346" s="5"/>
      <c r="K346" s="5">
        <f t="shared" si="61"/>
        <v>0</v>
      </c>
      <c r="L346" s="5">
        <f t="shared" si="62"/>
        <v>0</v>
      </c>
      <c r="M346" s="4"/>
    </row>
    <row r="347" spans="1:13" ht="15.9" x14ac:dyDescent="0.4">
      <c r="A347" s="3">
        <v>45047</v>
      </c>
      <c r="B347" s="4" t="s">
        <v>444</v>
      </c>
      <c r="C347" s="4" t="s">
        <v>495</v>
      </c>
      <c r="D347" s="4">
        <v>870</v>
      </c>
      <c r="E347" s="7">
        <f t="shared" si="63"/>
        <v>394.62504000000001</v>
      </c>
      <c r="F347" s="7">
        <f t="shared" si="64"/>
        <v>0.39462504000000004</v>
      </c>
      <c r="G347" s="4">
        <v>1</v>
      </c>
      <c r="H347" s="4" t="s">
        <v>35</v>
      </c>
      <c r="I347" s="4" t="s">
        <v>161</v>
      </c>
      <c r="J347" s="5">
        <v>399.11</v>
      </c>
      <c r="K347" s="5">
        <f t="shared" si="61"/>
        <v>1.0113651176316638</v>
      </c>
      <c r="L347" s="5">
        <f t="shared" si="62"/>
        <v>1011.3651176316637</v>
      </c>
      <c r="M347" s="4"/>
    </row>
    <row r="348" spans="1:13" ht="15.9" x14ac:dyDescent="0.4">
      <c r="A348" s="3">
        <v>45047</v>
      </c>
      <c r="B348" s="4" t="s">
        <v>496</v>
      </c>
      <c r="C348" s="4" t="s">
        <v>497</v>
      </c>
      <c r="D348" s="4">
        <v>30599</v>
      </c>
      <c r="E348" s="7">
        <f t="shared" si="63"/>
        <v>13879.461608</v>
      </c>
      <c r="F348" s="7">
        <f t="shared" si="64"/>
        <v>13.879461608</v>
      </c>
      <c r="G348" s="4">
        <v>37</v>
      </c>
      <c r="H348" s="4" t="s">
        <v>15</v>
      </c>
      <c r="I348" s="4" t="s">
        <v>19</v>
      </c>
      <c r="J348" s="5">
        <v>1300</v>
      </c>
      <c r="K348" s="5">
        <f t="shared" si="61"/>
        <v>9.3663575484130554E-2</v>
      </c>
      <c r="L348" s="5">
        <f t="shared" si="62"/>
        <v>93.663575484130547</v>
      </c>
      <c r="M348" s="4"/>
    </row>
    <row r="349" spans="1:13" ht="15.9" x14ac:dyDescent="0.4">
      <c r="A349" s="3">
        <v>45047</v>
      </c>
      <c r="B349" s="4" t="s">
        <v>131</v>
      </c>
      <c r="C349" s="4" t="s">
        <v>498</v>
      </c>
      <c r="D349" s="4">
        <v>1848</v>
      </c>
      <c r="E349" s="7">
        <f t="shared" si="63"/>
        <v>838.23801600000002</v>
      </c>
      <c r="F349" s="7">
        <f t="shared" si="64"/>
        <v>0.83823801600000003</v>
      </c>
      <c r="G349" s="4">
        <v>2</v>
      </c>
      <c r="H349" s="4" t="s">
        <v>35</v>
      </c>
      <c r="I349" s="4" t="s">
        <v>12</v>
      </c>
      <c r="J349" s="5"/>
      <c r="K349" s="5">
        <f t="shared" si="61"/>
        <v>0</v>
      </c>
      <c r="L349" s="5">
        <f t="shared" si="62"/>
        <v>0</v>
      </c>
      <c r="M349" s="4"/>
    </row>
    <row r="350" spans="1:13" ht="15.9" x14ac:dyDescent="0.4">
      <c r="A350" s="3">
        <v>45047</v>
      </c>
      <c r="B350" s="4" t="s">
        <v>499</v>
      </c>
      <c r="C350" s="4" t="s">
        <v>500</v>
      </c>
      <c r="D350" s="4">
        <v>924</v>
      </c>
      <c r="E350" s="7">
        <f t="shared" si="63"/>
        <v>419.11900800000001</v>
      </c>
      <c r="F350" s="7">
        <f t="shared" si="64"/>
        <v>0.41911900800000002</v>
      </c>
      <c r="G350" s="4">
        <v>1</v>
      </c>
      <c r="H350" s="4" t="s">
        <v>35</v>
      </c>
      <c r="I350" s="4" t="s">
        <v>12</v>
      </c>
      <c r="J350" s="5"/>
      <c r="K350" s="5">
        <f t="shared" si="61"/>
        <v>0</v>
      </c>
      <c r="L350" s="5">
        <f t="shared" si="62"/>
        <v>0</v>
      </c>
      <c r="M350" s="4"/>
    </row>
    <row r="351" spans="1:13" ht="15.9" x14ac:dyDescent="0.4">
      <c r="A351" s="3">
        <v>45048</v>
      </c>
      <c r="B351" s="4" t="s">
        <v>501</v>
      </c>
      <c r="C351" s="4" t="s">
        <v>502</v>
      </c>
      <c r="D351" s="4">
        <v>15920</v>
      </c>
      <c r="E351" s="7">
        <f t="shared" si="63"/>
        <v>7221.1846399999995</v>
      </c>
      <c r="F351" s="7">
        <f t="shared" si="64"/>
        <v>7.2211846399999997</v>
      </c>
      <c r="G351" s="4">
        <v>16</v>
      </c>
      <c r="H351" s="4" t="s">
        <v>11</v>
      </c>
      <c r="I351" s="4" t="s">
        <v>19</v>
      </c>
      <c r="J351" s="5">
        <v>1300</v>
      </c>
      <c r="K351" s="5">
        <f t="shared" si="61"/>
        <v>0.18002586345721802</v>
      </c>
      <c r="L351" s="5">
        <f t="shared" si="62"/>
        <v>180.02586345721801</v>
      </c>
      <c r="M351" s="4"/>
    </row>
    <row r="352" spans="1:13" ht="15.9" x14ac:dyDescent="0.4">
      <c r="A352" s="3">
        <v>45049</v>
      </c>
      <c r="B352" s="4" t="s">
        <v>96</v>
      </c>
      <c r="C352" s="4" t="s">
        <v>503</v>
      </c>
      <c r="D352" s="4">
        <v>3150</v>
      </c>
      <c r="E352" s="7">
        <f t="shared" si="63"/>
        <v>1428.8147999999999</v>
      </c>
      <c r="F352" s="7">
        <f t="shared" si="64"/>
        <v>1.4288147999999998</v>
      </c>
      <c r="G352" s="4">
        <v>3</v>
      </c>
      <c r="H352" s="4" t="s">
        <v>35</v>
      </c>
      <c r="I352" s="4" t="s">
        <v>12</v>
      </c>
      <c r="J352" s="5"/>
      <c r="K352" s="5">
        <f t="shared" si="61"/>
        <v>0</v>
      </c>
      <c r="L352" s="5">
        <f t="shared" si="62"/>
        <v>0</v>
      </c>
      <c r="M352" s="4"/>
    </row>
    <row r="353" spans="1:13" ht="15.9" x14ac:dyDescent="0.4">
      <c r="A353" s="3">
        <v>45049</v>
      </c>
      <c r="B353" s="4" t="s">
        <v>143</v>
      </c>
      <c r="C353" s="4" t="s">
        <v>504</v>
      </c>
      <c r="D353" s="4">
        <v>22880</v>
      </c>
      <c r="E353" s="7">
        <f t="shared" si="63"/>
        <v>10378.184960000001</v>
      </c>
      <c r="F353" s="7">
        <f t="shared" si="64"/>
        <v>10.37818496</v>
      </c>
      <c r="G353" s="4">
        <v>26</v>
      </c>
      <c r="H353" s="4" t="s">
        <v>15</v>
      </c>
      <c r="I353" s="4" t="s">
        <v>311</v>
      </c>
      <c r="J353" s="5">
        <v>2100</v>
      </c>
      <c r="K353" s="5">
        <f t="shared" si="61"/>
        <v>0.20234752108330126</v>
      </c>
      <c r="L353" s="5">
        <f t="shared" si="62"/>
        <v>202.34752108330125</v>
      </c>
      <c r="M353" s="4"/>
    </row>
    <row r="354" spans="1:13" ht="15.9" x14ac:dyDescent="0.4">
      <c r="A354" s="3">
        <v>45049</v>
      </c>
      <c r="B354" s="4" t="s">
        <v>255</v>
      </c>
      <c r="C354" s="4" t="s">
        <v>505</v>
      </c>
      <c r="D354" s="4">
        <v>20900</v>
      </c>
      <c r="E354" s="7">
        <f t="shared" si="63"/>
        <v>9480.0727999999999</v>
      </c>
      <c r="F354" s="7">
        <f t="shared" si="64"/>
        <v>9.4800728000000003</v>
      </c>
      <c r="G354" s="4">
        <v>22</v>
      </c>
      <c r="H354" s="4" t="s">
        <v>15</v>
      </c>
      <c r="I354" s="4" t="s">
        <v>25</v>
      </c>
      <c r="J354" s="5">
        <v>1950</v>
      </c>
      <c r="K354" s="5">
        <f t="shared" si="61"/>
        <v>0.20569462293580698</v>
      </c>
      <c r="L354" s="5">
        <f t="shared" si="62"/>
        <v>205.69462293580699</v>
      </c>
      <c r="M354" s="4"/>
    </row>
    <row r="355" spans="1:13" ht="15.9" x14ac:dyDescent="0.4">
      <c r="A355" s="3">
        <v>45049</v>
      </c>
      <c r="B355" s="4" t="s">
        <v>207</v>
      </c>
      <c r="C355" s="4" t="s">
        <v>506</v>
      </c>
      <c r="D355" s="4">
        <v>34656</v>
      </c>
      <c r="E355" s="7">
        <f t="shared" si="63"/>
        <v>15719.684352</v>
      </c>
      <c r="F355" s="7">
        <f t="shared" si="64"/>
        <v>15.719684352</v>
      </c>
      <c r="G355" s="4">
        <v>48</v>
      </c>
      <c r="H355" s="4" t="s">
        <v>11</v>
      </c>
      <c r="I355" s="4" t="s">
        <v>12</v>
      </c>
      <c r="J355" s="5"/>
      <c r="K355" s="5">
        <f t="shared" si="61"/>
        <v>0</v>
      </c>
      <c r="L355" s="5">
        <f t="shared" si="62"/>
        <v>0</v>
      </c>
      <c r="M355" s="4"/>
    </row>
    <row r="356" spans="1:13" ht="15.9" x14ac:dyDescent="0.4">
      <c r="A356" s="3">
        <v>45049</v>
      </c>
      <c r="B356" s="4" t="s">
        <v>444</v>
      </c>
      <c r="C356" s="4" t="s">
        <v>507</v>
      </c>
      <c r="D356" s="4">
        <v>44088</v>
      </c>
      <c r="E356" s="7">
        <f t="shared" si="63"/>
        <v>19997.964096</v>
      </c>
      <c r="F356" s="7">
        <f t="shared" si="64"/>
        <v>19.997964096</v>
      </c>
      <c r="G356" s="4">
        <v>44</v>
      </c>
      <c r="H356" s="4" t="s">
        <v>11</v>
      </c>
      <c r="I356" s="4" t="s">
        <v>25</v>
      </c>
      <c r="J356" s="5">
        <v>3750</v>
      </c>
      <c r="K356" s="5">
        <f t="shared" si="61"/>
        <v>0.18751908854312208</v>
      </c>
      <c r="L356" s="5">
        <f t="shared" si="62"/>
        <v>187.51908854312205</v>
      </c>
      <c r="M356" s="4"/>
    </row>
    <row r="357" spans="1:13" ht="15.9" x14ac:dyDescent="0.4">
      <c r="A357" s="3">
        <v>45049</v>
      </c>
      <c r="B357" s="4" t="s">
        <v>255</v>
      </c>
      <c r="C357" s="4" t="s">
        <v>508</v>
      </c>
      <c r="D357" s="4">
        <v>24325</v>
      </c>
      <c r="E357" s="7">
        <f t="shared" si="63"/>
        <v>11033.625399999999</v>
      </c>
      <c r="F357" s="7">
        <f t="shared" si="64"/>
        <v>11.0336254</v>
      </c>
      <c r="G357" s="4">
        <v>25</v>
      </c>
      <c r="H357" s="4" t="s">
        <v>15</v>
      </c>
      <c r="I357" s="4" t="s">
        <v>25</v>
      </c>
      <c r="J357" s="5">
        <v>1950</v>
      </c>
      <c r="K357" s="5">
        <f t="shared" si="61"/>
        <v>0.17673248178246112</v>
      </c>
      <c r="L357" s="5">
        <f t="shared" si="62"/>
        <v>176.73248178246109</v>
      </c>
      <c r="M357" s="4"/>
    </row>
    <row r="358" spans="1:13" ht="15.9" x14ac:dyDescent="0.4">
      <c r="A358" s="3">
        <v>45049</v>
      </c>
      <c r="B358" s="4" t="s">
        <v>255</v>
      </c>
      <c r="C358" s="4" t="s">
        <v>509</v>
      </c>
      <c r="D358" s="4">
        <v>41380</v>
      </c>
      <c r="E358" s="7">
        <f t="shared" si="63"/>
        <v>18769.63696</v>
      </c>
      <c r="F358" s="7">
        <f t="shared" si="64"/>
        <v>18.76963696</v>
      </c>
      <c r="G358" s="4">
        <v>44</v>
      </c>
      <c r="H358" s="4" t="s">
        <v>15</v>
      </c>
      <c r="I358" s="4" t="s">
        <v>25</v>
      </c>
      <c r="J358" s="5">
        <v>1950</v>
      </c>
      <c r="K358" s="5">
        <f t="shared" si="61"/>
        <v>0.10389119428125583</v>
      </c>
      <c r="L358" s="5">
        <f t="shared" si="62"/>
        <v>103.89119428125584</v>
      </c>
      <c r="M358" s="4"/>
    </row>
    <row r="359" spans="1:13" ht="15.9" x14ac:dyDescent="0.4">
      <c r="A359" s="3">
        <v>45049</v>
      </c>
      <c r="B359" s="4" t="s">
        <v>444</v>
      </c>
      <c r="C359" s="4" t="s">
        <v>510</v>
      </c>
      <c r="D359" s="4">
        <v>16560</v>
      </c>
      <c r="E359" s="7">
        <f t="shared" si="63"/>
        <v>7511.4835199999998</v>
      </c>
      <c r="F359" s="7">
        <f t="shared" si="64"/>
        <v>7.5114835199999996</v>
      </c>
      <c r="G359" s="4">
        <v>16</v>
      </c>
      <c r="H359" s="4" t="s">
        <v>11</v>
      </c>
      <c r="I359" s="4" t="s">
        <v>25</v>
      </c>
      <c r="J359" s="5">
        <v>3750</v>
      </c>
      <c r="K359" s="5">
        <f t="shared" si="61"/>
        <v>0.49923560239668874</v>
      </c>
      <c r="L359" s="5">
        <f t="shared" si="62"/>
        <v>499.23560239668876</v>
      </c>
      <c r="M359" s="4"/>
    </row>
    <row r="360" spans="1:13" ht="15.9" x14ac:dyDescent="0.4">
      <c r="A360" s="3">
        <v>45050</v>
      </c>
      <c r="B360" s="4" t="s">
        <v>68</v>
      </c>
      <c r="C360" s="4" t="s">
        <v>511</v>
      </c>
      <c r="D360" s="4">
        <v>12816</v>
      </c>
      <c r="E360" s="7">
        <f t="shared" si="63"/>
        <v>5813.2350719999995</v>
      </c>
      <c r="F360" s="7">
        <f t="shared" si="64"/>
        <v>5.8132350719999994</v>
      </c>
      <c r="G360" s="4">
        <v>12</v>
      </c>
      <c r="H360" s="4" t="s">
        <v>11</v>
      </c>
      <c r="I360" s="4" t="s">
        <v>19</v>
      </c>
      <c r="J360" s="5">
        <v>2720</v>
      </c>
      <c r="K360" s="5">
        <f t="shared" si="61"/>
        <v>0.46789781701778055</v>
      </c>
      <c r="L360" s="5">
        <f t="shared" si="62"/>
        <v>467.89781701778054</v>
      </c>
      <c r="M360" s="4"/>
    </row>
    <row r="361" spans="1:13" ht="15.9" x14ac:dyDescent="0.4">
      <c r="A361" s="3">
        <v>45050</v>
      </c>
      <c r="B361" s="4" t="s">
        <v>512</v>
      </c>
      <c r="C361" s="4" t="s">
        <v>513</v>
      </c>
      <c r="D361" s="4">
        <v>44088</v>
      </c>
      <c r="E361" s="7">
        <f t="shared" si="63"/>
        <v>19997.964096</v>
      </c>
      <c r="F361" s="7">
        <f t="shared" si="64"/>
        <v>19.997964096</v>
      </c>
      <c r="G361" s="4">
        <v>44</v>
      </c>
      <c r="H361" s="4" t="s">
        <v>15</v>
      </c>
      <c r="I361" s="4" t="s">
        <v>311</v>
      </c>
      <c r="J361" s="5">
        <v>2200</v>
      </c>
      <c r="K361" s="5">
        <f t="shared" si="61"/>
        <v>0.11001119861196494</v>
      </c>
      <c r="L361" s="5">
        <f t="shared" si="62"/>
        <v>110.01119861196494</v>
      </c>
      <c r="M361" s="4" t="s">
        <v>514</v>
      </c>
    </row>
    <row r="362" spans="1:13" ht="15.9" x14ac:dyDescent="0.4">
      <c r="A362" s="3">
        <v>45050</v>
      </c>
      <c r="B362" s="4" t="s">
        <v>143</v>
      </c>
      <c r="C362" s="4" t="s">
        <v>515</v>
      </c>
      <c r="D362" s="4">
        <v>8544</v>
      </c>
      <c r="E362" s="7">
        <f t="shared" si="63"/>
        <v>3875.4900480000001</v>
      </c>
      <c r="F362" s="7">
        <f t="shared" si="64"/>
        <v>3.8754900480000001</v>
      </c>
      <c r="G362" s="4">
        <v>8</v>
      </c>
      <c r="H362" s="4" t="s">
        <v>35</v>
      </c>
      <c r="I362" s="4" t="s">
        <v>16</v>
      </c>
      <c r="J362" s="5">
        <v>1065.1300000000001</v>
      </c>
      <c r="K362" s="5">
        <f t="shared" si="61"/>
        <v>0.27483750101478782</v>
      </c>
      <c r="L362" s="5">
        <f t="shared" si="62"/>
        <v>274.83750101478779</v>
      </c>
      <c r="M362" s="4"/>
    </row>
    <row r="363" spans="1:13" ht="15.9" x14ac:dyDescent="0.4">
      <c r="A363" s="3">
        <v>45050</v>
      </c>
      <c r="B363" s="4" t="s">
        <v>516</v>
      </c>
      <c r="C363" s="4" t="s">
        <v>517</v>
      </c>
      <c r="D363" s="4">
        <v>1520</v>
      </c>
      <c r="E363" s="7">
        <f t="shared" si="63"/>
        <v>689.45983999999999</v>
      </c>
      <c r="F363" s="7">
        <f t="shared" si="64"/>
        <v>0.68945984000000005</v>
      </c>
      <c r="G363" s="4">
        <v>2</v>
      </c>
      <c r="H363" s="4" t="s">
        <v>35</v>
      </c>
      <c r="I363" s="4" t="s">
        <v>12</v>
      </c>
      <c r="J363" s="5"/>
      <c r="K363" s="5">
        <f t="shared" si="61"/>
        <v>0</v>
      </c>
      <c r="L363" s="5">
        <f t="shared" si="62"/>
        <v>0</v>
      </c>
      <c r="M363" s="4"/>
    </row>
    <row r="364" spans="1:13" ht="15.9" x14ac:dyDescent="0.4">
      <c r="A364" s="3">
        <v>45050</v>
      </c>
      <c r="B364" s="4" t="s">
        <v>512</v>
      </c>
      <c r="C364" s="4" t="s">
        <v>518</v>
      </c>
      <c r="D364" s="4">
        <v>44088</v>
      </c>
      <c r="E364" s="7">
        <f t="shared" si="63"/>
        <v>19997.964096</v>
      </c>
      <c r="F364" s="7">
        <f t="shared" si="64"/>
        <v>19.997964096</v>
      </c>
      <c r="G364" s="4">
        <v>44</v>
      </c>
      <c r="H364" s="4" t="s">
        <v>15</v>
      </c>
      <c r="I364" s="4" t="s">
        <v>311</v>
      </c>
      <c r="J364" s="5">
        <v>2200</v>
      </c>
      <c r="K364" s="5">
        <f t="shared" si="61"/>
        <v>0.11001119861196494</v>
      </c>
      <c r="L364" s="5">
        <f t="shared" si="62"/>
        <v>110.01119861196494</v>
      </c>
      <c r="M364" s="4" t="s">
        <v>514</v>
      </c>
    </row>
    <row r="365" spans="1:13" ht="15.9" x14ac:dyDescent="0.4">
      <c r="A365" s="3">
        <v>45050</v>
      </c>
      <c r="B365" s="4" t="s">
        <v>519</v>
      </c>
      <c r="C365" s="4" t="s">
        <v>520</v>
      </c>
      <c r="D365" s="4">
        <v>180</v>
      </c>
      <c r="E365" s="7">
        <f t="shared" si="63"/>
        <v>81.646559999999994</v>
      </c>
      <c r="F365" s="7">
        <f t="shared" si="64"/>
        <v>8.1646559999999993E-2</v>
      </c>
      <c r="G365" s="4">
        <v>1</v>
      </c>
      <c r="H365" s="4" t="s">
        <v>35</v>
      </c>
      <c r="I365" s="4" t="s">
        <v>161</v>
      </c>
      <c r="J365" s="5">
        <v>280.52</v>
      </c>
      <c r="K365" s="5">
        <f t="shared" si="61"/>
        <v>3.4357846797219627</v>
      </c>
      <c r="L365" s="5">
        <f t="shared" si="62"/>
        <v>3435.7846797219627</v>
      </c>
      <c r="M365" s="4"/>
    </row>
    <row r="366" spans="1:13" ht="15.9" x14ac:dyDescent="0.4">
      <c r="A366" s="3">
        <v>45050</v>
      </c>
      <c r="B366" s="4" t="s">
        <v>207</v>
      </c>
      <c r="C366" s="4" t="s">
        <v>521</v>
      </c>
      <c r="D366" s="4">
        <v>34656</v>
      </c>
      <c r="E366" s="7">
        <f t="shared" si="63"/>
        <v>15719.684352</v>
      </c>
      <c r="F366" s="7">
        <f t="shared" si="64"/>
        <v>15.719684352</v>
      </c>
      <c r="G366" s="4">
        <v>48</v>
      </c>
      <c r="H366" s="4" t="s">
        <v>11</v>
      </c>
      <c r="I366" s="4" t="s">
        <v>12</v>
      </c>
      <c r="J366" s="5"/>
      <c r="K366" s="5">
        <f t="shared" si="61"/>
        <v>0</v>
      </c>
      <c r="L366" s="5">
        <f t="shared" si="62"/>
        <v>0</v>
      </c>
      <c r="M366" s="4"/>
    </row>
    <row r="367" spans="1:13" ht="15.9" x14ac:dyDescent="0.4">
      <c r="A367" s="3">
        <v>45050</v>
      </c>
      <c r="B367" s="4" t="s">
        <v>512</v>
      </c>
      <c r="C367" s="4" t="s">
        <v>522</v>
      </c>
      <c r="D367" s="4">
        <v>44088</v>
      </c>
      <c r="E367" s="7">
        <f t="shared" si="63"/>
        <v>19997.964096</v>
      </c>
      <c r="F367" s="7">
        <f t="shared" si="64"/>
        <v>19.997964096</v>
      </c>
      <c r="G367" s="4">
        <v>44</v>
      </c>
      <c r="H367" s="4" t="s">
        <v>15</v>
      </c>
      <c r="I367" s="4" t="s">
        <v>311</v>
      </c>
      <c r="J367" s="5">
        <v>2200</v>
      </c>
      <c r="K367" s="5">
        <f t="shared" si="61"/>
        <v>0.11001119861196494</v>
      </c>
      <c r="L367" s="5">
        <f t="shared" si="62"/>
        <v>110.01119861196494</v>
      </c>
      <c r="M367" s="4" t="s">
        <v>514</v>
      </c>
    </row>
    <row r="368" spans="1:13" ht="15.9" x14ac:dyDescent="0.4">
      <c r="A368" s="3">
        <v>45051</v>
      </c>
      <c r="B368" s="4" t="s">
        <v>523</v>
      </c>
      <c r="C368" s="6" t="s">
        <v>524</v>
      </c>
      <c r="D368" s="4">
        <v>20880</v>
      </c>
      <c r="E368" s="7">
        <f t="shared" si="63"/>
        <v>9471.0009599999994</v>
      </c>
      <c r="F368" s="7">
        <f t="shared" si="64"/>
        <v>9.4710009599999996</v>
      </c>
      <c r="G368" s="4">
        <v>24</v>
      </c>
      <c r="H368" s="4" t="s">
        <v>15</v>
      </c>
      <c r="I368" s="4" t="s">
        <v>12</v>
      </c>
      <c r="J368" s="5"/>
      <c r="K368" s="5">
        <f t="shared" si="61"/>
        <v>0</v>
      </c>
      <c r="L368" s="5">
        <f t="shared" si="62"/>
        <v>0</v>
      </c>
      <c r="M368" s="4"/>
    </row>
    <row r="369" spans="1:13" ht="15.9" x14ac:dyDescent="0.4">
      <c r="A369" s="3">
        <v>45054</v>
      </c>
      <c r="B369" s="4" t="s">
        <v>375</v>
      </c>
      <c r="C369" s="4" t="s">
        <v>525</v>
      </c>
      <c r="D369" s="4">
        <v>11718</v>
      </c>
      <c r="E369" s="7">
        <f t="shared" si="63"/>
        <v>5315.1910559999997</v>
      </c>
      <c r="F369" s="7">
        <f t="shared" si="64"/>
        <v>5.3151910559999997</v>
      </c>
      <c r="G369" s="4">
        <v>14</v>
      </c>
      <c r="H369" s="4" t="s">
        <v>35</v>
      </c>
      <c r="I369" s="4" t="s">
        <v>16</v>
      </c>
      <c r="J369" s="5">
        <v>784.43</v>
      </c>
      <c r="K369" s="5">
        <f t="shared" si="61"/>
        <v>0.1475826535180714</v>
      </c>
      <c r="L369" s="5">
        <f t="shared" si="62"/>
        <v>147.5826535180714</v>
      </c>
      <c r="M369" s="4"/>
    </row>
    <row r="370" spans="1:13" ht="15.9" x14ac:dyDescent="0.4">
      <c r="A370" s="3">
        <v>45054</v>
      </c>
      <c r="B370" s="4" t="s">
        <v>306</v>
      </c>
      <c r="C370" s="4" t="s">
        <v>526</v>
      </c>
      <c r="D370" s="4">
        <v>6900</v>
      </c>
      <c r="E370" s="7">
        <f t="shared" si="63"/>
        <v>3129.7847999999999</v>
      </c>
      <c r="F370" s="7">
        <f t="shared" si="64"/>
        <v>3.1297847999999999</v>
      </c>
      <c r="G370" s="4">
        <v>6</v>
      </c>
      <c r="H370" s="4" t="s">
        <v>35</v>
      </c>
      <c r="I370" s="4" t="s">
        <v>12</v>
      </c>
      <c r="J370" s="5"/>
      <c r="K370" s="5">
        <f t="shared" si="61"/>
        <v>0</v>
      </c>
      <c r="L370" s="5">
        <f t="shared" si="62"/>
        <v>0</v>
      </c>
      <c r="M370" s="4"/>
    </row>
    <row r="371" spans="1:13" ht="15.9" x14ac:dyDescent="0.4">
      <c r="A371" s="3">
        <v>45054</v>
      </c>
      <c r="B371" s="4" t="s">
        <v>527</v>
      </c>
      <c r="C371" s="4" t="s">
        <v>528</v>
      </c>
      <c r="D371" s="4">
        <v>30257</v>
      </c>
      <c r="E371" s="7">
        <f t="shared" si="63"/>
        <v>13724.333144</v>
      </c>
      <c r="F371" s="7">
        <f t="shared" si="64"/>
        <v>13.724333144000001</v>
      </c>
      <c r="G371" s="4">
        <v>34</v>
      </c>
      <c r="H371" s="4" t="s">
        <v>11</v>
      </c>
      <c r="I371" s="4" t="s">
        <v>19</v>
      </c>
      <c r="J371" s="5">
        <v>1776</v>
      </c>
      <c r="K371" s="5">
        <f t="shared" si="61"/>
        <v>0.12940519450858937</v>
      </c>
      <c r="L371" s="5">
        <f t="shared" si="62"/>
        <v>129.40519450858937</v>
      </c>
      <c r="M371" s="4"/>
    </row>
    <row r="372" spans="1:13" ht="15.9" x14ac:dyDescent="0.4">
      <c r="A372" s="3">
        <v>45054</v>
      </c>
      <c r="B372" s="4" t="s">
        <v>255</v>
      </c>
      <c r="C372" s="4" t="s">
        <v>529</v>
      </c>
      <c r="D372" s="4">
        <v>24570</v>
      </c>
      <c r="E372" s="7">
        <f t="shared" si="63"/>
        <v>11144.755439999999</v>
      </c>
      <c r="F372" s="7">
        <f t="shared" si="64"/>
        <v>11.144755439999999</v>
      </c>
      <c r="G372" s="4">
        <v>21</v>
      </c>
      <c r="H372" s="4" t="s">
        <v>15</v>
      </c>
      <c r="I372" s="4" t="s">
        <v>25</v>
      </c>
      <c r="J372" s="5">
        <v>1950</v>
      </c>
      <c r="K372" s="5">
        <f t="shared" si="61"/>
        <v>0.1749701920780776</v>
      </c>
      <c r="L372" s="5">
        <f t="shared" si="62"/>
        <v>174.97019207807759</v>
      </c>
      <c r="M372" s="4"/>
    </row>
    <row r="373" spans="1:13" ht="15.9" x14ac:dyDescent="0.4">
      <c r="A373" s="3">
        <v>45055</v>
      </c>
      <c r="B373" s="4" t="s">
        <v>255</v>
      </c>
      <c r="C373" s="4" t="s">
        <v>530</v>
      </c>
      <c r="D373" s="4">
        <v>39100</v>
      </c>
      <c r="E373" s="7">
        <f t="shared" si="63"/>
        <v>17735.447199999999</v>
      </c>
      <c r="F373" s="7">
        <f t="shared" si="64"/>
        <v>17.735447199999999</v>
      </c>
      <c r="G373" s="4">
        <v>34</v>
      </c>
      <c r="H373" s="4" t="s">
        <v>15</v>
      </c>
      <c r="I373" s="4" t="s">
        <v>25</v>
      </c>
      <c r="J373" s="5">
        <v>1950</v>
      </c>
      <c r="K373" s="5">
        <f t="shared" si="61"/>
        <v>0.10994929972783546</v>
      </c>
      <c r="L373" s="5">
        <f t="shared" si="62"/>
        <v>109.94929972783545</v>
      </c>
      <c r="M373" s="4"/>
    </row>
    <row r="374" spans="1:13" ht="15.9" x14ac:dyDescent="0.4">
      <c r="A374" s="3">
        <v>45055</v>
      </c>
      <c r="B374" s="4" t="s">
        <v>96</v>
      </c>
      <c r="C374" s="4" t="s">
        <v>531</v>
      </c>
      <c r="D374" s="4">
        <v>42930</v>
      </c>
      <c r="E374" s="7">
        <f t="shared" si="63"/>
        <v>19472.704559999998</v>
      </c>
      <c r="F374" s="7">
        <f t="shared" si="64"/>
        <v>19.47270456</v>
      </c>
      <c r="G374" s="4">
        <v>44</v>
      </c>
      <c r="H374" s="4" t="s">
        <v>15</v>
      </c>
      <c r="I374" s="4" t="s">
        <v>25</v>
      </c>
      <c r="J374" s="5">
        <v>3500</v>
      </c>
      <c r="K374" s="5">
        <f t="shared" si="61"/>
        <v>0.17973877173638997</v>
      </c>
      <c r="L374" s="5">
        <f t="shared" si="62"/>
        <v>179.73877173638996</v>
      </c>
      <c r="M374" s="4"/>
    </row>
    <row r="375" spans="1:13" ht="15.9" x14ac:dyDescent="0.4">
      <c r="A375" s="3">
        <v>45055</v>
      </c>
      <c r="B375" s="4" t="s">
        <v>532</v>
      </c>
      <c r="C375" s="4" t="s">
        <v>533</v>
      </c>
      <c r="D375" s="4">
        <v>7031</v>
      </c>
      <c r="E375" s="7">
        <f t="shared" si="63"/>
        <v>3189.2053519999999</v>
      </c>
      <c r="F375" s="7">
        <f t="shared" si="64"/>
        <v>3.1892053520000001</v>
      </c>
      <c r="G375" s="4">
        <v>8</v>
      </c>
      <c r="H375" s="4" t="s">
        <v>11</v>
      </c>
      <c r="I375" s="4" t="s">
        <v>19</v>
      </c>
      <c r="J375" s="5">
        <v>3100</v>
      </c>
      <c r="K375" s="5">
        <f t="shared" si="61"/>
        <v>0.97202897206225436</v>
      </c>
      <c r="L375" s="5">
        <f t="shared" si="62"/>
        <v>972.0289720622543</v>
      </c>
      <c r="M375" s="4"/>
    </row>
    <row r="376" spans="1:13" ht="15.9" x14ac:dyDescent="0.4">
      <c r="A376" s="3">
        <v>45055</v>
      </c>
      <c r="B376" s="4" t="s">
        <v>532</v>
      </c>
      <c r="C376" s="4" t="s">
        <v>534</v>
      </c>
      <c r="D376" s="4">
        <v>41800</v>
      </c>
      <c r="E376" s="7">
        <f t="shared" si="63"/>
        <v>18960.1456</v>
      </c>
      <c r="F376" s="7">
        <f t="shared" si="64"/>
        <v>18.960145600000001</v>
      </c>
      <c r="G376" s="4">
        <v>44</v>
      </c>
      <c r="H376" s="4" t="s">
        <v>11</v>
      </c>
      <c r="I376" s="4" t="s">
        <v>19</v>
      </c>
      <c r="J376" s="5">
        <v>7000</v>
      </c>
      <c r="K376" s="5">
        <f t="shared" si="61"/>
        <v>0.36919547706426897</v>
      </c>
      <c r="L376" s="5">
        <f t="shared" si="62"/>
        <v>369.19547706426897</v>
      </c>
      <c r="M376" s="4"/>
    </row>
    <row r="377" spans="1:13" ht="15.9" x14ac:dyDescent="0.4">
      <c r="A377" s="3">
        <v>45055</v>
      </c>
      <c r="B377" s="4" t="s">
        <v>171</v>
      </c>
      <c r="C377" s="4" t="s">
        <v>535</v>
      </c>
      <c r="D377" s="4">
        <v>2481</v>
      </c>
      <c r="E377" s="7">
        <f t="shared" si="63"/>
        <v>1125.361752</v>
      </c>
      <c r="F377" s="7">
        <f t="shared" si="64"/>
        <v>1.1253617520000001</v>
      </c>
      <c r="G377" s="4">
        <v>3</v>
      </c>
      <c r="H377" s="4" t="s">
        <v>35</v>
      </c>
      <c r="I377" s="4" t="s">
        <v>12</v>
      </c>
      <c r="J377" s="5"/>
      <c r="K377" s="5">
        <f t="shared" si="61"/>
        <v>0</v>
      </c>
      <c r="L377" s="5">
        <f t="shared" si="62"/>
        <v>0</v>
      </c>
      <c r="M377" s="4"/>
    </row>
    <row r="378" spans="1:13" ht="15.9" x14ac:dyDescent="0.4">
      <c r="A378" s="3">
        <v>45055</v>
      </c>
      <c r="B378" s="4" t="s">
        <v>536</v>
      </c>
      <c r="C378" s="4" t="s">
        <v>537</v>
      </c>
      <c r="D378" s="4">
        <v>33080</v>
      </c>
      <c r="E378" s="7">
        <f t="shared" si="63"/>
        <v>15004.82336</v>
      </c>
      <c r="F378" s="7">
        <f t="shared" si="64"/>
        <v>15.004823360000001</v>
      </c>
      <c r="G378" s="4">
        <v>40</v>
      </c>
      <c r="H378" s="4" t="s">
        <v>11</v>
      </c>
      <c r="I378" s="4" t="s">
        <v>19</v>
      </c>
      <c r="J378" s="5">
        <v>4250</v>
      </c>
      <c r="K378" s="5">
        <f t="shared" si="61"/>
        <v>0.28324225470922171</v>
      </c>
      <c r="L378" s="5">
        <f t="shared" si="62"/>
        <v>283.2422547092217</v>
      </c>
      <c r="M378" s="4"/>
    </row>
    <row r="379" spans="1:13" ht="15.9" x14ac:dyDescent="0.4">
      <c r="A379" s="3">
        <v>45055</v>
      </c>
      <c r="B379" s="4" t="s">
        <v>319</v>
      </c>
      <c r="C379" s="4" t="s">
        <v>538</v>
      </c>
      <c r="D379" s="4">
        <v>6676</v>
      </c>
      <c r="E379" s="7">
        <f t="shared" si="63"/>
        <v>3028.1801919999998</v>
      </c>
      <c r="F379" s="7">
        <f t="shared" si="64"/>
        <v>3.0281801919999998</v>
      </c>
      <c r="G379" s="4">
        <v>8</v>
      </c>
      <c r="H379" s="4" t="s">
        <v>35</v>
      </c>
      <c r="I379" s="4" t="s">
        <v>12</v>
      </c>
      <c r="J379" s="5"/>
      <c r="K379" s="5">
        <f t="shared" si="61"/>
        <v>0</v>
      </c>
      <c r="L379" s="5">
        <f t="shared" si="62"/>
        <v>0</v>
      </c>
      <c r="M379" s="4"/>
    </row>
    <row r="380" spans="1:13" ht="15.9" x14ac:dyDescent="0.4">
      <c r="A380" s="3">
        <v>45055</v>
      </c>
      <c r="B380" s="4" t="s">
        <v>312</v>
      </c>
      <c r="C380" s="4" t="s">
        <v>539</v>
      </c>
      <c r="D380" s="4">
        <v>12024</v>
      </c>
      <c r="E380" s="7">
        <f t="shared" si="63"/>
        <v>5453.9902080000002</v>
      </c>
      <c r="F380" s="7">
        <f t="shared" si="64"/>
        <v>5.4539902080000005</v>
      </c>
      <c r="G380" s="4">
        <v>12</v>
      </c>
      <c r="H380" s="4" t="s">
        <v>35</v>
      </c>
      <c r="I380" s="4" t="s">
        <v>54</v>
      </c>
      <c r="J380" s="5">
        <v>572</v>
      </c>
      <c r="K380" s="5">
        <f t="shared" si="61"/>
        <v>0.10487734267673991</v>
      </c>
      <c r="L380" s="5">
        <f t="shared" si="62"/>
        <v>104.8773426767399</v>
      </c>
      <c r="M380" s="4"/>
    </row>
    <row r="381" spans="1:13" ht="15.9" x14ac:dyDescent="0.4">
      <c r="A381" s="3">
        <v>45055</v>
      </c>
      <c r="B381" s="4" t="s">
        <v>146</v>
      </c>
      <c r="C381" s="4" t="s">
        <v>540</v>
      </c>
      <c r="D381" s="4">
        <v>10751</v>
      </c>
      <c r="E381" s="7">
        <f t="shared" si="63"/>
        <v>4876.5675920000003</v>
      </c>
      <c r="F381" s="7">
        <f t="shared" si="64"/>
        <v>4.8765675920000007</v>
      </c>
      <c r="G381" s="4">
        <v>13</v>
      </c>
      <c r="H381" s="4" t="s">
        <v>15</v>
      </c>
      <c r="I381" s="4" t="s">
        <v>12</v>
      </c>
      <c r="J381" s="5"/>
      <c r="K381" s="5">
        <f t="shared" si="61"/>
        <v>0</v>
      </c>
      <c r="L381" s="5">
        <f t="shared" si="62"/>
        <v>0</v>
      </c>
      <c r="M381" s="4"/>
    </row>
    <row r="382" spans="1:13" ht="15.9" x14ac:dyDescent="0.4">
      <c r="A382" s="3">
        <v>45055</v>
      </c>
      <c r="B382" s="4" t="s">
        <v>146</v>
      </c>
      <c r="C382" s="4" t="s">
        <v>541</v>
      </c>
      <c r="D382" s="4">
        <v>36388</v>
      </c>
      <c r="E382" s="7">
        <f t="shared" si="63"/>
        <v>16505.305695999999</v>
      </c>
      <c r="F382" s="7">
        <f t="shared" si="64"/>
        <v>16.505305696000001</v>
      </c>
      <c r="G382" s="4">
        <v>44</v>
      </c>
      <c r="H382" s="4" t="s">
        <v>15</v>
      </c>
      <c r="I382" s="4" t="s">
        <v>12</v>
      </c>
      <c r="J382" s="5"/>
      <c r="K382" s="5">
        <f t="shared" si="61"/>
        <v>0</v>
      </c>
      <c r="L382" s="5">
        <f t="shared" si="62"/>
        <v>0</v>
      </c>
      <c r="M382" s="4"/>
    </row>
    <row r="383" spans="1:13" ht="15.9" x14ac:dyDescent="0.4">
      <c r="A383" s="3">
        <v>45056</v>
      </c>
      <c r="B383" s="4" t="s">
        <v>542</v>
      </c>
      <c r="C383" s="4" t="s">
        <v>543</v>
      </c>
      <c r="D383" s="4">
        <v>29520</v>
      </c>
      <c r="E383" s="7">
        <f t="shared" si="63"/>
        <v>13390.03584</v>
      </c>
      <c r="F383" s="7">
        <f t="shared" si="64"/>
        <v>13.390035840000001</v>
      </c>
      <c r="G383" s="4">
        <v>35</v>
      </c>
      <c r="H383" s="4" t="s">
        <v>11</v>
      </c>
      <c r="I383" s="4" t="s">
        <v>19</v>
      </c>
      <c r="J383" s="5">
        <v>5000</v>
      </c>
      <c r="K383" s="5">
        <f t="shared" si="61"/>
        <v>0.37341199528858021</v>
      </c>
      <c r="L383" s="5">
        <f t="shared" si="62"/>
        <v>373.41199528858016</v>
      </c>
      <c r="M383" s="4"/>
    </row>
    <row r="384" spans="1:13" ht="15.9" x14ac:dyDescent="0.4">
      <c r="A384" s="3">
        <v>45056</v>
      </c>
      <c r="B384" s="4" t="s">
        <v>139</v>
      </c>
      <c r="C384" s="4" t="s">
        <v>544</v>
      </c>
      <c r="D384" s="4">
        <v>14616</v>
      </c>
      <c r="E384" s="7">
        <f t="shared" si="63"/>
        <v>6629.7006719999999</v>
      </c>
      <c r="F384" s="7">
        <f t="shared" si="64"/>
        <v>6.6297006720000002</v>
      </c>
      <c r="G384" s="4">
        <v>16</v>
      </c>
      <c r="H384" s="4" t="s">
        <v>35</v>
      </c>
      <c r="I384" s="4" t="s">
        <v>16</v>
      </c>
      <c r="J384" s="5">
        <v>1474.62</v>
      </c>
      <c r="K384" s="5">
        <f t="shared" si="61"/>
        <v>0.22242633158808167</v>
      </c>
      <c r="L384" s="5">
        <f t="shared" si="62"/>
        <v>222.42633158808167</v>
      </c>
      <c r="M384" s="4"/>
    </row>
    <row r="385" spans="1:13" ht="15.9" x14ac:dyDescent="0.4">
      <c r="A385" s="3">
        <v>45056</v>
      </c>
      <c r="B385" s="4" t="s">
        <v>52</v>
      </c>
      <c r="C385" s="4" t="s">
        <v>545</v>
      </c>
      <c r="D385" s="4">
        <v>11400</v>
      </c>
      <c r="E385" s="7">
        <f t="shared" si="63"/>
        <v>5170.9488000000001</v>
      </c>
      <c r="F385" s="7">
        <f t="shared" si="64"/>
        <v>5.1709488000000006</v>
      </c>
      <c r="G385" s="4">
        <v>12</v>
      </c>
      <c r="H385" s="4" t="s">
        <v>35</v>
      </c>
      <c r="I385" s="4" t="s">
        <v>16</v>
      </c>
      <c r="J385" s="5">
        <v>1420.78</v>
      </c>
      <c r="K385" s="5">
        <f t="shared" si="61"/>
        <v>0.27476195471129011</v>
      </c>
      <c r="L385" s="5">
        <f t="shared" si="62"/>
        <v>274.76195471129006</v>
      </c>
      <c r="M385" s="4"/>
    </row>
    <row r="386" spans="1:13" ht="15.9" x14ac:dyDescent="0.4">
      <c r="A386" s="3">
        <v>45056</v>
      </c>
      <c r="B386" s="4" t="s">
        <v>546</v>
      </c>
      <c r="C386" s="4" t="s">
        <v>547</v>
      </c>
      <c r="D386" s="4">
        <v>817</v>
      </c>
      <c r="E386" s="7">
        <f t="shared" si="63"/>
        <v>370.58466399999998</v>
      </c>
      <c r="F386" s="7">
        <f t="shared" si="64"/>
        <v>0.37058466400000001</v>
      </c>
      <c r="G386" s="4">
        <v>72</v>
      </c>
      <c r="H386" s="4" t="s">
        <v>35</v>
      </c>
      <c r="I386" s="4" t="s">
        <v>161</v>
      </c>
      <c r="J386" s="5">
        <v>253.63</v>
      </c>
      <c r="K386" s="5">
        <f t="shared" si="61"/>
        <v>0.6844050081899774</v>
      </c>
      <c r="L386" s="5">
        <f t="shared" si="62"/>
        <v>684.40500818997737</v>
      </c>
      <c r="M386" s="4"/>
    </row>
    <row r="387" spans="1:13" ht="15.9" x14ac:dyDescent="0.4">
      <c r="A387" s="3">
        <v>45056</v>
      </c>
      <c r="B387" s="4" t="s">
        <v>268</v>
      </c>
      <c r="C387" s="4" t="s">
        <v>548</v>
      </c>
      <c r="D387" s="4">
        <v>33924</v>
      </c>
      <c r="E387" s="7">
        <f t="shared" si="63"/>
        <v>15387.655008</v>
      </c>
      <c r="F387" s="7">
        <f t="shared" si="64"/>
        <v>15.387655007999999</v>
      </c>
      <c r="G387" s="4">
        <v>44</v>
      </c>
      <c r="H387" s="4" t="s">
        <v>15</v>
      </c>
      <c r="I387" s="4" t="s">
        <v>311</v>
      </c>
      <c r="J387" s="5">
        <v>2200</v>
      </c>
      <c r="K387" s="5">
        <f t="shared" si="61"/>
        <v>0.14297175228169764</v>
      </c>
      <c r="L387" s="5">
        <f t="shared" si="62"/>
        <v>142.97175228169763</v>
      </c>
      <c r="M387" s="4"/>
    </row>
    <row r="388" spans="1:13" ht="15.9" x14ac:dyDescent="0.4">
      <c r="A388" s="3">
        <v>45056</v>
      </c>
      <c r="B388" s="4" t="s">
        <v>77</v>
      </c>
      <c r="C388" s="4" t="s">
        <v>549</v>
      </c>
      <c r="D388" s="4">
        <v>11886</v>
      </c>
      <c r="E388" s="7">
        <f t="shared" si="63"/>
        <v>5391.3945119999998</v>
      </c>
      <c r="F388" s="7">
        <f t="shared" si="64"/>
        <v>5.3913945119999998</v>
      </c>
      <c r="G388" s="4">
        <v>14</v>
      </c>
      <c r="H388" s="4" t="s">
        <v>35</v>
      </c>
      <c r="I388" s="4" t="s">
        <v>16</v>
      </c>
      <c r="J388" s="5">
        <v>2709.46</v>
      </c>
      <c r="K388" s="5">
        <f t="shared" si="61"/>
        <v>0.50255272434049625</v>
      </c>
      <c r="L388" s="5">
        <f t="shared" si="62"/>
        <v>502.55272434049624</v>
      </c>
      <c r="M388" s="4"/>
    </row>
    <row r="389" spans="1:13" ht="15.9" x14ac:dyDescent="0.4">
      <c r="A389" s="3">
        <v>45056</v>
      </c>
      <c r="B389" s="4" t="s">
        <v>550</v>
      </c>
      <c r="C389" s="4" t="s">
        <v>551</v>
      </c>
      <c r="D389" s="4">
        <v>22620</v>
      </c>
      <c r="E389" s="7">
        <f t="shared" si="63"/>
        <v>10260.251039999999</v>
      </c>
      <c r="F389" s="7">
        <f t="shared" si="64"/>
        <v>10.26025104</v>
      </c>
      <c r="G389" s="4">
        <v>26</v>
      </c>
      <c r="H389" s="4" t="s">
        <v>11</v>
      </c>
      <c r="I389" s="4" t="s">
        <v>19</v>
      </c>
      <c r="J389" s="5">
        <v>2150</v>
      </c>
      <c r="K389" s="5">
        <f t="shared" si="61"/>
        <v>0.20954652976989929</v>
      </c>
      <c r="L389" s="5">
        <f t="shared" si="62"/>
        <v>209.54652976989928</v>
      </c>
      <c r="M389" s="4"/>
    </row>
    <row r="390" spans="1:13" ht="15.9" x14ac:dyDescent="0.4">
      <c r="A390" s="3">
        <v>45056</v>
      </c>
      <c r="B390" s="4" t="s">
        <v>52</v>
      </c>
      <c r="C390" s="4" t="s">
        <v>552</v>
      </c>
      <c r="D390" s="4">
        <v>41800</v>
      </c>
      <c r="E390" s="7">
        <f t="shared" si="63"/>
        <v>18960.1456</v>
      </c>
      <c r="F390" s="7">
        <f t="shared" si="64"/>
        <v>18.960145600000001</v>
      </c>
      <c r="G390" s="4">
        <v>44</v>
      </c>
      <c r="H390" s="4" t="s">
        <v>15</v>
      </c>
      <c r="I390" s="4" t="s">
        <v>25</v>
      </c>
      <c r="J390" s="5">
        <v>3050.4</v>
      </c>
      <c r="K390" s="5">
        <f t="shared" si="61"/>
        <v>0.16088484046240659</v>
      </c>
      <c r="L390" s="5">
        <f t="shared" si="62"/>
        <v>160.88484046240657</v>
      </c>
      <c r="M390" s="4"/>
    </row>
    <row r="391" spans="1:13" ht="15.9" x14ac:dyDescent="0.4">
      <c r="A391" s="3">
        <v>45057</v>
      </c>
      <c r="B391" s="4" t="s">
        <v>52</v>
      </c>
      <c r="C391" s="4" t="s">
        <v>553</v>
      </c>
      <c r="D391" s="4">
        <v>41800</v>
      </c>
      <c r="E391" s="7">
        <f t="shared" si="63"/>
        <v>18960.1456</v>
      </c>
      <c r="F391" s="7">
        <f t="shared" si="64"/>
        <v>18.960145600000001</v>
      </c>
      <c r="G391" s="4">
        <v>44</v>
      </c>
      <c r="H391" s="4" t="s">
        <v>15</v>
      </c>
      <c r="I391" s="4" t="s">
        <v>25</v>
      </c>
      <c r="J391" s="5">
        <v>3050.4</v>
      </c>
      <c r="K391" s="5">
        <f t="shared" si="61"/>
        <v>0.16088484046240659</v>
      </c>
      <c r="L391" s="5">
        <f t="shared" si="62"/>
        <v>160.88484046240657</v>
      </c>
      <c r="M391" s="4"/>
    </row>
    <row r="392" spans="1:13" ht="15.9" x14ac:dyDescent="0.4">
      <c r="A392" s="3">
        <v>45057</v>
      </c>
      <c r="B392" s="4" t="s">
        <v>349</v>
      </c>
      <c r="C392" s="4" t="s">
        <v>554</v>
      </c>
      <c r="D392" s="4">
        <v>40876</v>
      </c>
      <c r="E392" s="7">
        <f t="shared" si="63"/>
        <v>18541.026591999998</v>
      </c>
      <c r="F392" s="7">
        <f t="shared" si="64"/>
        <v>18.541026591999998</v>
      </c>
      <c r="G392" s="4">
        <v>44</v>
      </c>
      <c r="H392" s="4" t="s">
        <v>15</v>
      </c>
      <c r="I392" s="4" t="s">
        <v>19</v>
      </c>
      <c r="J392" s="5">
        <v>1400</v>
      </c>
      <c r="K392" s="5">
        <f t="shared" si="61"/>
        <v>7.5508224587955988E-2</v>
      </c>
      <c r="L392" s="5">
        <f t="shared" si="62"/>
        <v>75.508224587955979</v>
      </c>
      <c r="M392" s="4"/>
    </row>
    <row r="393" spans="1:13" ht="15.9" x14ac:dyDescent="0.4">
      <c r="A393" s="3">
        <v>45057</v>
      </c>
      <c r="B393" s="4" t="s">
        <v>146</v>
      </c>
      <c r="C393" s="4" t="s">
        <v>555</v>
      </c>
      <c r="D393" s="4">
        <v>35280</v>
      </c>
      <c r="E393" s="7">
        <f t="shared" si="63"/>
        <v>16002.725759999999</v>
      </c>
      <c r="F393" s="7">
        <f t="shared" si="64"/>
        <v>16.002725760000001</v>
      </c>
      <c r="G393" s="4">
        <v>43</v>
      </c>
      <c r="H393" s="4" t="s">
        <v>15</v>
      </c>
      <c r="I393" s="4" t="s">
        <v>12</v>
      </c>
      <c r="J393" s="5"/>
      <c r="K393" s="5">
        <f t="shared" si="61"/>
        <v>0</v>
      </c>
      <c r="L393" s="5">
        <f t="shared" si="62"/>
        <v>0</v>
      </c>
      <c r="M393" s="4"/>
    </row>
    <row r="394" spans="1:13" ht="15.9" x14ac:dyDescent="0.4">
      <c r="A394" s="3">
        <v>45057</v>
      </c>
      <c r="B394" s="4" t="s">
        <v>556</v>
      </c>
      <c r="C394" s="4" t="s">
        <v>557</v>
      </c>
      <c r="D394" s="4">
        <v>1392</v>
      </c>
      <c r="E394" s="7">
        <f t="shared" si="63"/>
        <v>631.40006400000004</v>
      </c>
      <c r="F394" s="7">
        <f t="shared" si="64"/>
        <v>0.63140006400000004</v>
      </c>
      <c r="G394" s="4">
        <v>2</v>
      </c>
      <c r="H394" s="4" t="s">
        <v>35</v>
      </c>
      <c r="I394" s="4" t="s">
        <v>12</v>
      </c>
      <c r="J394" s="5"/>
      <c r="K394" s="5">
        <f t="shared" si="61"/>
        <v>0</v>
      </c>
      <c r="L394" s="5">
        <f t="shared" si="62"/>
        <v>0</v>
      </c>
      <c r="M394" s="4"/>
    </row>
    <row r="395" spans="1:13" ht="15.9" x14ac:dyDescent="0.4">
      <c r="A395" s="3">
        <v>45057</v>
      </c>
      <c r="B395" s="4" t="s">
        <v>207</v>
      </c>
      <c r="C395" s="4" t="s">
        <v>558</v>
      </c>
      <c r="D395" s="4">
        <v>39696</v>
      </c>
      <c r="E395" s="7">
        <f t="shared" si="63"/>
        <v>18005.788032</v>
      </c>
      <c r="F395" s="7">
        <f t="shared" si="64"/>
        <v>18.005788032000002</v>
      </c>
      <c r="G395" s="4">
        <v>48</v>
      </c>
      <c r="H395" s="4" t="s">
        <v>11</v>
      </c>
      <c r="I395" s="4" t="s">
        <v>12</v>
      </c>
      <c r="J395" s="5"/>
      <c r="K395" s="5">
        <f t="shared" si="61"/>
        <v>0</v>
      </c>
      <c r="L395" s="5">
        <f t="shared" si="62"/>
        <v>0</v>
      </c>
      <c r="M395" s="4"/>
    </row>
    <row r="396" spans="1:13" ht="15.9" x14ac:dyDescent="0.4">
      <c r="A396" s="3">
        <v>45061</v>
      </c>
      <c r="B396" s="4" t="s">
        <v>207</v>
      </c>
      <c r="C396" s="4" t="s">
        <v>559</v>
      </c>
      <c r="D396" s="4">
        <v>36144</v>
      </c>
      <c r="E396" s="7">
        <f t="shared" si="63"/>
        <v>16394.629248000001</v>
      </c>
      <c r="F396" s="7">
        <f t="shared" si="64"/>
        <v>16.394629248000001</v>
      </c>
      <c r="G396" s="4">
        <v>48</v>
      </c>
      <c r="H396" s="4" t="s">
        <v>11</v>
      </c>
      <c r="I396" s="4" t="s">
        <v>12</v>
      </c>
      <c r="J396" s="5"/>
      <c r="K396" s="5">
        <f t="shared" si="61"/>
        <v>0</v>
      </c>
      <c r="L396" s="5">
        <f t="shared" si="62"/>
        <v>0</v>
      </c>
      <c r="M396" s="4"/>
    </row>
    <row r="397" spans="1:13" ht="15.9" x14ac:dyDescent="0.4">
      <c r="A397" s="3">
        <v>45061</v>
      </c>
      <c r="B397" s="4" t="s">
        <v>560</v>
      </c>
      <c r="C397" s="4" t="s">
        <v>561</v>
      </c>
      <c r="D397" s="4">
        <v>7040</v>
      </c>
      <c r="E397" s="7">
        <f t="shared" si="63"/>
        <v>3193.2876799999999</v>
      </c>
      <c r="F397" s="7">
        <f t="shared" si="64"/>
        <v>3.1932876800000001</v>
      </c>
      <c r="G397" s="4">
        <v>8</v>
      </c>
      <c r="H397" s="4" t="s">
        <v>35</v>
      </c>
      <c r="I397" s="4" t="s">
        <v>54</v>
      </c>
      <c r="J397" s="5">
        <v>752.4</v>
      </c>
      <c r="K397" s="5">
        <f t="shared" si="61"/>
        <v>0.23561923490714121</v>
      </c>
      <c r="L397" s="5">
        <f t="shared" si="62"/>
        <v>235.61923490714122</v>
      </c>
      <c r="M397" s="4"/>
    </row>
    <row r="398" spans="1:13" ht="15.9" x14ac:dyDescent="0.4">
      <c r="A398" s="3">
        <v>45061</v>
      </c>
      <c r="B398" s="4" t="s">
        <v>96</v>
      </c>
      <c r="C398" s="4" t="s">
        <v>562</v>
      </c>
      <c r="D398" s="4">
        <v>41800</v>
      </c>
      <c r="E398" s="7">
        <f t="shared" si="63"/>
        <v>18960.1456</v>
      </c>
      <c r="F398" s="7">
        <f t="shared" si="64"/>
        <v>18.960145600000001</v>
      </c>
      <c r="G398" s="4">
        <v>44</v>
      </c>
      <c r="H398" s="4" t="s">
        <v>15</v>
      </c>
      <c r="I398" s="4" t="s">
        <v>25</v>
      </c>
      <c r="J398" s="5">
        <v>3500</v>
      </c>
      <c r="K398" s="5">
        <f t="shared" si="61"/>
        <v>0.18459773853213449</v>
      </c>
      <c r="L398" s="5">
        <f t="shared" si="62"/>
        <v>184.59773853213449</v>
      </c>
      <c r="M398" s="4"/>
    </row>
    <row r="399" spans="1:13" ht="15.9" x14ac:dyDescent="0.4">
      <c r="A399" s="3">
        <v>45061</v>
      </c>
      <c r="B399" s="4" t="s">
        <v>563</v>
      </c>
      <c r="C399" s="4" t="s">
        <v>564</v>
      </c>
      <c r="D399" s="4">
        <v>10000</v>
      </c>
      <c r="E399" s="7">
        <f t="shared" si="63"/>
        <v>4535.92</v>
      </c>
      <c r="F399" s="7">
        <f t="shared" si="64"/>
        <v>4.53592</v>
      </c>
      <c r="G399" s="4">
        <v>10</v>
      </c>
      <c r="H399" s="4" t="s">
        <v>11</v>
      </c>
      <c r="I399" s="4" t="s">
        <v>19</v>
      </c>
      <c r="J399" s="5">
        <v>2720</v>
      </c>
      <c r="K399" s="5">
        <f t="shared" si="61"/>
        <v>0.59965784228998742</v>
      </c>
      <c r="L399" s="5">
        <f t="shared" si="62"/>
        <v>599.65784228998746</v>
      </c>
      <c r="M399" s="4"/>
    </row>
    <row r="400" spans="1:13" ht="15.9" x14ac:dyDescent="0.4">
      <c r="A400" s="3">
        <v>45062</v>
      </c>
      <c r="B400" s="4" t="s">
        <v>565</v>
      </c>
      <c r="C400" s="4" t="s">
        <v>566</v>
      </c>
      <c r="D400" s="4">
        <v>22660</v>
      </c>
      <c r="E400" s="7">
        <f t="shared" si="63"/>
        <v>10278.39472</v>
      </c>
      <c r="F400" s="7">
        <f t="shared" si="64"/>
        <v>10.27839472</v>
      </c>
      <c r="G400" s="4">
        <v>27</v>
      </c>
      <c r="H400" s="4" t="s">
        <v>15</v>
      </c>
      <c r="I400" s="4" t="s">
        <v>19</v>
      </c>
      <c r="J400" s="5">
        <v>1200</v>
      </c>
      <c r="K400" s="5">
        <f t="shared" si="61"/>
        <v>0.11674974864168283</v>
      </c>
      <c r="L400" s="5">
        <f t="shared" si="62"/>
        <v>116.74974864168284</v>
      </c>
      <c r="M400" s="4"/>
    </row>
    <row r="401" spans="1:13" ht="15.9" x14ac:dyDescent="0.4">
      <c r="A401" s="3">
        <v>45062</v>
      </c>
      <c r="B401" s="4" t="s">
        <v>542</v>
      </c>
      <c r="C401" s="4" t="s">
        <v>567</v>
      </c>
      <c r="D401" s="4">
        <v>33080</v>
      </c>
      <c r="E401" s="7">
        <f t="shared" si="63"/>
        <v>15004.82336</v>
      </c>
      <c r="F401" s="7">
        <f t="shared" si="64"/>
        <v>15.004823360000001</v>
      </c>
      <c r="G401" s="4">
        <v>40</v>
      </c>
      <c r="H401" s="4" t="s">
        <v>11</v>
      </c>
      <c r="I401" s="4" t="s">
        <v>19</v>
      </c>
      <c r="J401" s="5">
        <v>5000</v>
      </c>
      <c r="K401" s="5">
        <f t="shared" si="61"/>
        <v>0.33322618201084908</v>
      </c>
      <c r="L401" s="5">
        <f t="shared" si="62"/>
        <v>333.22618201084907</v>
      </c>
      <c r="M401" s="4"/>
    </row>
    <row r="402" spans="1:13" ht="15.9" x14ac:dyDescent="0.4">
      <c r="A402" s="3">
        <v>45062</v>
      </c>
      <c r="B402" s="4" t="s">
        <v>255</v>
      </c>
      <c r="C402" s="4" t="s">
        <v>570</v>
      </c>
      <c r="D402" s="4">
        <v>40480</v>
      </c>
      <c r="E402" s="7">
        <f t="shared" si="63"/>
        <v>18361.404159999998</v>
      </c>
      <c r="F402" s="7">
        <f t="shared" si="64"/>
        <v>18.361404159999999</v>
      </c>
      <c r="G402" s="4">
        <v>44</v>
      </c>
      <c r="H402" s="4" t="s">
        <v>15</v>
      </c>
      <c r="I402" s="4" t="s">
        <v>25</v>
      </c>
      <c r="J402" s="5">
        <v>1950</v>
      </c>
      <c r="K402" s="5">
        <f t="shared" si="61"/>
        <v>0.1062010281462047</v>
      </c>
      <c r="L402" s="5">
        <f t="shared" si="62"/>
        <v>106.20102814620471</v>
      </c>
      <c r="M402" s="4"/>
    </row>
    <row r="403" spans="1:13" ht="15.9" x14ac:dyDescent="0.4">
      <c r="A403" s="3">
        <v>45063</v>
      </c>
      <c r="B403" s="4" t="s">
        <v>452</v>
      </c>
      <c r="C403" s="4" t="s">
        <v>569</v>
      </c>
      <c r="D403" s="4">
        <v>34945</v>
      </c>
      <c r="E403" s="7">
        <f t="shared" si="63"/>
        <v>15850.772440000001</v>
      </c>
      <c r="F403" s="7">
        <f t="shared" si="64"/>
        <v>15.850772440000002</v>
      </c>
      <c r="G403" s="4">
        <v>27</v>
      </c>
      <c r="H403" s="4" t="s">
        <v>11</v>
      </c>
      <c r="I403" s="4" t="s">
        <v>19</v>
      </c>
      <c r="J403" s="5">
        <v>5400</v>
      </c>
      <c r="K403" s="5">
        <f t="shared" si="61"/>
        <v>0.34067740360544851</v>
      </c>
      <c r="L403" s="5">
        <f t="shared" si="62"/>
        <v>340.67740360544849</v>
      </c>
      <c r="M403" s="4"/>
    </row>
    <row r="404" spans="1:13" ht="15.9" x14ac:dyDescent="0.4">
      <c r="A404" s="3">
        <v>45063</v>
      </c>
      <c r="B404" s="4" t="s">
        <v>96</v>
      </c>
      <c r="C404" s="4" t="s">
        <v>568</v>
      </c>
      <c r="D404" s="4">
        <v>41800</v>
      </c>
      <c r="E404" s="7">
        <f t="shared" si="63"/>
        <v>18960.1456</v>
      </c>
      <c r="F404" s="7">
        <f t="shared" si="64"/>
        <v>18.960145600000001</v>
      </c>
      <c r="G404" s="4">
        <v>44</v>
      </c>
      <c r="H404" s="4" t="s">
        <v>15</v>
      </c>
      <c r="I404" s="4" t="s">
        <v>25</v>
      </c>
      <c r="J404" s="5">
        <v>3500</v>
      </c>
      <c r="K404" s="5">
        <f t="shared" si="61"/>
        <v>0.18459773853213449</v>
      </c>
      <c r="L404" s="5">
        <f t="shared" si="62"/>
        <v>184.59773853213449</v>
      </c>
      <c r="M404" s="4"/>
    </row>
    <row r="405" spans="1:13" ht="15.9" x14ac:dyDescent="0.4">
      <c r="A405" s="3">
        <v>45063</v>
      </c>
      <c r="B405" s="4" t="s">
        <v>66</v>
      </c>
      <c r="C405" s="4" t="s">
        <v>571</v>
      </c>
      <c r="D405" s="4">
        <v>30020</v>
      </c>
      <c r="E405" s="7">
        <f t="shared" si="63"/>
        <v>13616.831840000001</v>
      </c>
      <c r="F405" s="7">
        <f t="shared" si="64"/>
        <v>13.616831840000001</v>
      </c>
      <c r="G405" s="4">
        <v>30</v>
      </c>
      <c r="H405" s="4" t="s">
        <v>15</v>
      </c>
      <c r="I405" s="4" t="s">
        <v>311</v>
      </c>
      <c r="J405" s="5">
        <v>3650</v>
      </c>
      <c r="K405" s="5">
        <f t="shared" si="61"/>
        <v>0.26805060405299092</v>
      </c>
      <c r="L405" s="5">
        <f t="shared" si="62"/>
        <v>268.05060405299088</v>
      </c>
      <c r="M405" s="4"/>
    </row>
    <row r="406" spans="1:13" ht="15.9" x14ac:dyDescent="0.4">
      <c r="A406" s="3">
        <v>45063</v>
      </c>
      <c r="B406" s="4" t="s">
        <v>312</v>
      </c>
      <c r="C406" s="4" t="s">
        <v>572</v>
      </c>
      <c r="D406" s="4">
        <v>7740</v>
      </c>
      <c r="E406" s="7">
        <f t="shared" si="63"/>
        <v>3510.8020799999999</v>
      </c>
      <c r="F406" s="7">
        <f t="shared" si="64"/>
        <v>3.5108020799999999</v>
      </c>
      <c r="G406" s="4">
        <v>9</v>
      </c>
      <c r="H406" s="4" t="s">
        <v>35</v>
      </c>
      <c r="I406" s="4" t="s">
        <v>16</v>
      </c>
      <c r="J406" s="5">
        <v>723.03</v>
      </c>
      <c r="K406" s="5">
        <f t="shared" si="61"/>
        <v>0.20594439205755513</v>
      </c>
      <c r="L406" s="5">
        <f t="shared" si="62"/>
        <v>205.94439205755512</v>
      </c>
      <c r="M406" s="4"/>
    </row>
    <row r="407" spans="1:13" ht="15.9" x14ac:dyDescent="0.4">
      <c r="A407" s="3">
        <v>45063</v>
      </c>
      <c r="B407" s="4" t="s">
        <v>573</v>
      </c>
      <c r="C407" s="4" t="s">
        <v>574</v>
      </c>
      <c r="D407" s="4">
        <v>20500</v>
      </c>
      <c r="E407" s="7">
        <f t="shared" si="63"/>
        <v>9298.6360000000004</v>
      </c>
      <c r="F407" s="7">
        <f t="shared" si="64"/>
        <v>9.2986360000000001</v>
      </c>
      <c r="G407" s="4">
        <v>25</v>
      </c>
      <c r="H407" s="4" t="s">
        <v>15</v>
      </c>
      <c r="I407" s="4" t="s">
        <v>16</v>
      </c>
      <c r="J407" s="5">
        <v>1123.4100000000001</v>
      </c>
      <c r="K407" s="5">
        <f t="shared" si="61"/>
        <v>0.12081449365261744</v>
      </c>
      <c r="L407" s="5">
        <f t="shared" si="62"/>
        <v>120.81449365261744</v>
      </c>
      <c r="M407" s="4"/>
    </row>
    <row r="408" spans="1:13" ht="15.9" x14ac:dyDescent="0.4">
      <c r="A408" s="3">
        <v>45063</v>
      </c>
      <c r="B408" s="4" t="s">
        <v>575</v>
      </c>
      <c r="C408" s="4" t="s">
        <v>576</v>
      </c>
      <c r="D408" s="4">
        <v>19608</v>
      </c>
      <c r="E408" s="7">
        <f t="shared" si="63"/>
        <v>8894.0319359999994</v>
      </c>
      <c r="F408" s="7">
        <f t="shared" si="64"/>
        <v>8.8940319359999993</v>
      </c>
      <c r="G408" s="4">
        <v>24</v>
      </c>
      <c r="H408" s="4" t="s">
        <v>15</v>
      </c>
      <c r="I408" s="4" t="s">
        <v>12</v>
      </c>
      <c r="J408" s="5"/>
      <c r="K408" s="5">
        <f t="shared" ref="K408:K452" si="65">J408/E408</f>
        <v>0</v>
      </c>
      <c r="L408" s="5">
        <f t="shared" ref="L408:L452" si="66">J408/F408</f>
        <v>0</v>
      </c>
      <c r="M408" s="4"/>
    </row>
    <row r="409" spans="1:13" ht="15.9" x14ac:dyDescent="0.4">
      <c r="A409" s="3">
        <v>45064</v>
      </c>
      <c r="B409" s="4" t="s">
        <v>191</v>
      </c>
      <c r="C409" s="4" t="s">
        <v>582</v>
      </c>
      <c r="D409" s="4">
        <v>26714</v>
      </c>
      <c r="E409" s="7">
        <f t="shared" ref="E409:E472" si="67">D409*0.453592</f>
        <v>12117.256687999999</v>
      </c>
      <c r="F409" s="7">
        <f t="shared" ref="F409:F452" si="68">E409*0.001</f>
        <v>12.117256687999999</v>
      </c>
      <c r="G409" s="4">
        <v>35</v>
      </c>
      <c r="H409" s="4" t="s">
        <v>15</v>
      </c>
      <c r="I409" s="4" t="s">
        <v>19</v>
      </c>
      <c r="J409" s="5">
        <v>1710</v>
      </c>
      <c r="K409" s="5">
        <f t="shared" si="65"/>
        <v>0.14112105107862019</v>
      </c>
      <c r="L409" s="5">
        <f t="shared" si="66"/>
        <v>141.12105107862018</v>
      </c>
      <c r="M409" s="4"/>
    </row>
    <row r="410" spans="1:13" ht="15.9" x14ac:dyDescent="0.4">
      <c r="A410" s="3">
        <v>45064</v>
      </c>
      <c r="B410" s="4" t="s">
        <v>583</v>
      </c>
      <c r="C410" s="4" t="s">
        <v>584</v>
      </c>
      <c r="D410" s="4">
        <v>6536</v>
      </c>
      <c r="E410" s="7">
        <f t="shared" si="67"/>
        <v>2964.6773119999998</v>
      </c>
      <c r="F410" s="7">
        <f t="shared" si="68"/>
        <v>2.9646773120000001</v>
      </c>
      <c r="G410" s="4">
        <v>8</v>
      </c>
      <c r="H410" s="4" t="s">
        <v>35</v>
      </c>
      <c r="I410" s="4" t="s">
        <v>12</v>
      </c>
      <c r="J410" s="5"/>
      <c r="K410" s="5">
        <f t="shared" si="65"/>
        <v>0</v>
      </c>
      <c r="L410" s="5">
        <f t="shared" si="66"/>
        <v>0</v>
      </c>
      <c r="M410" s="4"/>
    </row>
    <row r="411" spans="1:13" ht="15.9" x14ac:dyDescent="0.4">
      <c r="A411" s="3">
        <v>45064</v>
      </c>
      <c r="B411" s="4" t="s">
        <v>96</v>
      </c>
      <c r="C411" s="4" t="s">
        <v>585</v>
      </c>
      <c r="D411" s="4">
        <v>7830</v>
      </c>
      <c r="E411" s="7">
        <f t="shared" si="67"/>
        <v>3551.62536</v>
      </c>
      <c r="F411" s="7">
        <f t="shared" si="68"/>
        <v>3.5516253600000001</v>
      </c>
      <c r="G411" s="4">
        <v>9</v>
      </c>
      <c r="H411" s="4" t="s">
        <v>35</v>
      </c>
      <c r="I411" s="4" t="s">
        <v>12</v>
      </c>
      <c r="J411" s="5"/>
      <c r="K411" s="5">
        <f t="shared" si="65"/>
        <v>0</v>
      </c>
      <c r="L411" s="5">
        <f t="shared" si="66"/>
        <v>0</v>
      </c>
      <c r="M411" s="4"/>
    </row>
    <row r="412" spans="1:13" ht="15.9" x14ac:dyDescent="0.4">
      <c r="A412" s="3">
        <v>45064</v>
      </c>
      <c r="B412" s="4" t="s">
        <v>153</v>
      </c>
      <c r="C412" s="4" t="s">
        <v>586</v>
      </c>
      <c r="D412" s="4">
        <v>35784</v>
      </c>
      <c r="E412" s="7">
        <f t="shared" si="67"/>
        <v>16231.336127999999</v>
      </c>
      <c r="F412" s="7">
        <f t="shared" si="68"/>
        <v>16.231336127999999</v>
      </c>
      <c r="G412" s="4">
        <v>36</v>
      </c>
      <c r="H412" s="4" t="s">
        <v>15</v>
      </c>
      <c r="I412" s="4" t="s">
        <v>12</v>
      </c>
      <c r="J412" s="5"/>
      <c r="K412" s="5">
        <f t="shared" si="65"/>
        <v>0</v>
      </c>
      <c r="L412" s="5">
        <f t="shared" si="66"/>
        <v>0</v>
      </c>
      <c r="M412" s="4"/>
    </row>
    <row r="413" spans="1:13" ht="15.9" x14ac:dyDescent="0.4">
      <c r="A413" s="3">
        <v>45064</v>
      </c>
      <c r="B413" s="4" t="s">
        <v>153</v>
      </c>
      <c r="C413" s="4" t="s">
        <v>587</v>
      </c>
      <c r="D413" s="4">
        <v>13916</v>
      </c>
      <c r="E413" s="7">
        <f t="shared" si="67"/>
        <v>6312.1862719999999</v>
      </c>
      <c r="F413" s="7">
        <f t="shared" si="68"/>
        <v>6.3121862719999999</v>
      </c>
      <c r="G413" s="4">
        <v>14</v>
      </c>
      <c r="H413" s="4" t="s">
        <v>15</v>
      </c>
      <c r="I413" s="4" t="s">
        <v>12</v>
      </c>
      <c r="J413" s="5"/>
      <c r="K413" s="5">
        <f t="shared" si="65"/>
        <v>0</v>
      </c>
      <c r="L413" s="5">
        <f t="shared" si="66"/>
        <v>0</v>
      </c>
      <c r="M413" s="4"/>
    </row>
    <row r="414" spans="1:13" ht="15.9" x14ac:dyDescent="0.4">
      <c r="A414" s="3">
        <v>45064</v>
      </c>
      <c r="B414" s="4" t="s">
        <v>96</v>
      </c>
      <c r="C414" s="4" t="s">
        <v>588</v>
      </c>
      <c r="D414" s="4">
        <v>18050</v>
      </c>
      <c r="E414" s="7">
        <f t="shared" si="67"/>
        <v>8187.3356000000003</v>
      </c>
      <c r="F414" s="7">
        <f t="shared" si="68"/>
        <v>8.1873356000000008</v>
      </c>
      <c r="G414" s="4">
        <v>19</v>
      </c>
      <c r="H414" s="4" t="s">
        <v>15</v>
      </c>
      <c r="I414" s="4" t="s">
        <v>25</v>
      </c>
      <c r="J414" s="5">
        <v>3500</v>
      </c>
      <c r="K414" s="5">
        <f t="shared" si="65"/>
        <v>0.42748949975862721</v>
      </c>
      <c r="L414" s="5">
        <f t="shared" si="66"/>
        <v>427.48949975862718</v>
      </c>
      <c r="M414" s="4"/>
    </row>
    <row r="415" spans="1:13" ht="15.9" x14ac:dyDescent="0.4">
      <c r="A415" s="3">
        <v>45065</v>
      </c>
      <c r="B415" s="4" t="s">
        <v>146</v>
      </c>
      <c r="C415" s="4" t="s">
        <v>589</v>
      </c>
      <c r="D415" s="4">
        <v>36388</v>
      </c>
      <c r="E415" s="7">
        <f t="shared" si="67"/>
        <v>16505.305695999999</v>
      </c>
      <c r="F415" s="7">
        <f t="shared" si="68"/>
        <v>16.505305696000001</v>
      </c>
      <c r="G415" s="4">
        <v>44</v>
      </c>
      <c r="H415" s="4" t="s">
        <v>15</v>
      </c>
      <c r="I415" s="4" t="s">
        <v>12</v>
      </c>
      <c r="J415" s="5"/>
      <c r="K415" s="5">
        <f t="shared" si="65"/>
        <v>0</v>
      </c>
      <c r="L415" s="5">
        <f t="shared" si="66"/>
        <v>0</v>
      </c>
      <c r="M415" s="4"/>
    </row>
    <row r="416" spans="1:13" ht="15.9" x14ac:dyDescent="0.4">
      <c r="A416" s="3">
        <v>45065</v>
      </c>
      <c r="B416" s="4" t="s">
        <v>120</v>
      </c>
      <c r="C416" s="4" t="s">
        <v>590</v>
      </c>
      <c r="D416" s="4">
        <v>11124</v>
      </c>
      <c r="E416" s="7">
        <f t="shared" si="67"/>
        <v>5045.7574080000004</v>
      </c>
      <c r="F416" s="7">
        <f t="shared" si="68"/>
        <v>5.0457574080000009</v>
      </c>
      <c r="G416" s="4">
        <v>12</v>
      </c>
      <c r="H416" s="4" t="s">
        <v>35</v>
      </c>
      <c r="I416" s="4" t="s">
        <v>16</v>
      </c>
      <c r="J416" s="5">
        <v>1436.02</v>
      </c>
      <c r="K416" s="5">
        <f t="shared" si="65"/>
        <v>0.28459949297665477</v>
      </c>
      <c r="L416" s="5">
        <f t="shared" si="66"/>
        <v>284.59949297665474</v>
      </c>
      <c r="M416" s="4"/>
    </row>
    <row r="417" spans="1:13" ht="15.9" x14ac:dyDescent="0.4">
      <c r="A417" s="3">
        <v>45065</v>
      </c>
      <c r="B417" s="4" t="s">
        <v>96</v>
      </c>
      <c r="C417" s="4" t="s">
        <v>591</v>
      </c>
      <c r="D417" s="4">
        <v>41800</v>
      </c>
      <c r="E417" s="7">
        <f t="shared" si="67"/>
        <v>18960.1456</v>
      </c>
      <c r="F417" s="7">
        <f t="shared" si="68"/>
        <v>18.960145600000001</v>
      </c>
      <c r="G417" s="4">
        <v>44</v>
      </c>
      <c r="H417" s="4" t="s">
        <v>15</v>
      </c>
      <c r="I417" s="4" t="s">
        <v>25</v>
      </c>
      <c r="J417" s="5">
        <v>3500</v>
      </c>
      <c r="K417" s="5">
        <f t="shared" si="65"/>
        <v>0.18459773853213449</v>
      </c>
      <c r="L417" s="5">
        <f t="shared" si="66"/>
        <v>184.59773853213449</v>
      </c>
      <c r="M417" s="4"/>
    </row>
    <row r="418" spans="1:13" ht="15.9" x14ac:dyDescent="0.4">
      <c r="A418" s="3">
        <v>45068</v>
      </c>
      <c r="B418" s="4" t="s">
        <v>207</v>
      </c>
      <c r="C418" s="4" t="s">
        <v>592</v>
      </c>
      <c r="D418" s="4">
        <v>39696</v>
      </c>
      <c r="E418" s="7">
        <f t="shared" si="67"/>
        <v>18005.788032</v>
      </c>
      <c r="F418" s="7">
        <f t="shared" si="68"/>
        <v>18.005788032000002</v>
      </c>
      <c r="G418" s="4">
        <v>48</v>
      </c>
      <c r="H418" s="4" t="s">
        <v>11</v>
      </c>
      <c r="I418" s="4" t="s">
        <v>12</v>
      </c>
      <c r="J418" s="5"/>
      <c r="K418" s="5">
        <f t="shared" si="65"/>
        <v>0</v>
      </c>
      <c r="L418" s="5">
        <f t="shared" si="66"/>
        <v>0</v>
      </c>
      <c r="M418" s="4"/>
    </row>
    <row r="419" spans="1:13" ht="15.9" x14ac:dyDescent="0.4">
      <c r="A419" s="3">
        <v>45068</v>
      </c>
      <c r="B419" s="4" t="s">
        <v>593</v>
      </c>
      <c r="C419" s="4" t="s">
        <v>594</v>
      </c>
      <c r="D419" s="4">
        <v>33630</v>
      </c>
      <c r="E419" s="7">
        <f t="shared" si="67"/>
        <v>15254.29896</v>
      </c>
      <c r="F419" s="7">
        <f t="shared" si="68"/>
        <v>15.25429896</v>
      </c>
      <c r="G419" s="4">
        <v>33</v>
      </c>
      <c r="H419" s="4" t="s">
        <v>11</v>
      </c>
      <c r="I419" s="4" t="s">
        <v>19</v>
      </c>
      <c r="J419" s="5">
        <v>3780</v>
      </c>
      <c r="K419" s="5">
        <f t="shared" si="65"/>
        <v>0.24779899816517034</v>
      </c>
      <c r="L419" s="5">
        <f t="shared" si="66"/>
        <v>247.79899816517036</v>
      </c>
      <c r="M419" s="4"/>
    </row>
    <row r="420" spans="1:13" ht="15.9" x14ac:dyDescent="0.4">
      <c r="A420" s="3">
        <v>45068</v>
      </c>
      <c r="B420" s="4" t="s">
        <v>595</v>
      </c>
      <c r="C420" s="4" t="s">
        <v>596</v>
      </c>
      <c r="D420" s="4">
        <v>39560</v>
      </c>
      <c r="E420" s="7">
        <f t="shared" si="67"/>
        <v>17944.09952</v>
      </c>
      <c r="F420" s="7">
        <f t="shared" si="68"/>
        <v>17.944099520000002</v>
      </c>
      <c r="G420" s="4">
        <v>46</v>
      </c>
      <c r="H420" s="4" t="s">
        <v>15</v>
      </c>
      <c r="I420" s="4" t="s">
        <v>19</v>
      </c>
      <c r="J420" s="5">
        <v>1775</v>
      </c>
      <c r="K420" s="5">
        <f t="shared" si="65"/>
        <v>9.8918310056274147E-2</v>
      </c>
      <c r="L420" s="5">
        <f t="shared" si="66"/>
        <v>98.918310056274137</v>
      </c>
      <c r="M420" s="4"/>
    </row>
    <row r="421" spans="1:13" ht="15.9" x14ac:dyDescent="0.4">
      <c r="A421" s="3">
        <v>45068</v>
      </c>
      <c r="B421" s="4" t="s">
        <v>191</v>
      </c>
      <c r="C421" s="4" t="s">
        <v>597</v>
      </c>
      <c r="D421" s="4">
        <v>44519</v>
      </c>
      <c r="E421" s="7">
        <f t="shared" si="67"/>
        <v>20193.462248</v>
      </c>
      <c r="F421" s="7">
        <f t="shared" si="68"/>
        <v>20.193462247999999</v>
      </c>
      <c r="G421" s="4">
        <v>45</v>
      </c>
      <c r="H421" s="4" t="s">
        <v>15</v>
      </c>
      <c r="I421" s="4" t="s">
        <v>311</v>
      </c>
      <c r="J421" s="5">
        <v>2350</v>
      </c>
      <c r="K421" s="5">
        <f t="shared" si="65"/>
        <v>0.1163742983317657</v>
      </c>
      <c r="L421" s="5">
        <f t="shared" si="66"/>
        <v>116.3742983317657</v>
      </c>
      <c r="M421" s="4"/>
    </row>
    <row r="422" spans="1:13" ht="15.9" x14ac:dyDescent="0.4">
      <c r="A422" s="3">
        <v>45068</v>
      </c>
      <c r="B422" s="4" t="s">
        <v>595</v>
      </c>
      <c r="C422" s="4" t="s">
        <v>599</v>
      </c>
      <c r="D422" s="4">
        <v>37840</v>
      </c>
      <c r="E422" s="7">
        <f t="shared" si="67"/>
        <v>17163.921279999999</v>
      </c>
      <c r="F422" s="7">
        <f t="shared" si="68"/>
        <v>17.16392128</v>
      </c>
      <c r="G422" s="4">
        <v>44</v>
      </c>
      <c r="H422" s="4" t="s">
        <v>15</v>
      </c>
      <c r="I422" s="4" t="s">
        <v>19</v>
      </c>
      <c r="J422" s="5">
        <v>1775</v>
      </c>
      <c r="K422" s="5">
        <f t="shared" si="65"/>
        <v>0.10341459687701389</v>
      </c>
      <c r="L422" s="5">
        <f t="shared" si="66"/>
        <v>103.41459687701388</v>
      </c>
      <c r="M422" s="4"/>
    </row>
    <row r="423" spans="1:13" ht="15.9" x14ac:dyDescent="0.4">
      <c r="A423" s="3">
        <v>45068</v>
      </c>
      <c r="B423" s="4" t="s">
        <v>278</v>
      </c>
      <c r="C423" s="4" t="s">
        <v>598</v>
      </c>
      <c r="D423" s="4">
        <v>3391</v>
      </c>
      <c r="E423" s="7">
        <f t="shared" si="67"/>
        <v>1538.1304720000001</v>
      </c>
      <c r="F423" s="7">
        <f t="shared" si="68"/>
        <v>1.5381304720000002</v>
      </c>
      <c r="G423" s="4">
        <v>5</v>
      </c>
      <c r="H423" s="4" t="s">
        <v>35</v>
      </c>
      <c r="I423" s="4" t="s">
        <v>161</v>
      </c>
      <c r="J423" s="5">
        <v>487.85</v>
      </c>
      <c r="K423" s="5">
        <f t="shared" si="65"/>
        <v>0.31717075298928216</v>
      </c>
      <c r="L423" s="5">
        <f t="shared" si="66"/>
        <v>317.17075298928216</v>
      </c>
      <c r="M423" s="4"/>
    </row>
    <row r="424" spans="1:13" ht="15.9" x14ac:dyDescent="0.4">
      <c r="A424" s="3">
        <v>45069</v>
      </c>
      <c r="B424" s="4" t="s">
        <v>583</v>
      </c>
      <c r="C424" s="4" t="s">
        <v>600</v>
      </c>
      <c r="D424" s="4">
        <v>6702</v>
      </c>
      <c r="E424" s="7">
        <f t="shared" si="67"/>
        <v>3039.9735839999998</v>
      </c>
      <c r="F424" s="7">
        <f t="shared" si="68"/>
        <v>3.0399735839999997</v>
      </c>
      <c r="G424" s="4">
        <v>6</v>
      </c>
      <c r="H424" s="4" t="s">
        <v>35</v>
      </c>
      <c r="I424" s="4" t="s">
        <v>12</v>
      </c>
      <c r="J424" s="5"/>
      <c r="K424" s="5">
        <f t="shared" si="65"/>
        <v>0</v>
      </c>
      <c r="L424" s="5">
        <f t="shared" si="66"/>
        <v>0</v>
      </c>
      <c r="M424" s="4"/>
    </row>
    <row r="425" spans="1:13" ht="15.9" x14ac:dyDescent="0.4">
      <c r="A425" s="3">
        <v>45069</v>
      </c>
      <c r="B425" s="4" t="s">
        <v>268</v>
      </c>
      <c r="C425" s="4" t="s">
        <v>601</v>
      </c>
      <c r="D425" s="4">
        <v>17640</v>
      </c>
      <c r="E425" s="7">
        <f t="shared" si="67"/>
        <v>8001.3628799999997</v>
      </c>
      <c r="F425" s="7">
        <f t="shared" si="68"/>
        <v>8.0013628800000003</v>
      </c>
      <c r="G425" s="4">
        <v>24</v>
      </c>
      <c r="H425" s="4" t="s">
        <v>15</v>
      </c>
      <c r="I425" s="4" t="s">
        <v>19</v>
      </c>
      <c r="J425" s="5">
        <v>1775</v>
      </c>
      <c r="K425" s="5">
        <f t="shared" si="65"/>
        <v>0.22183720781327693</v>
      </c>
      <c r="L425" s="5">
        <f t="shared" si="66"/>
        <v>221.83720781327693</v>
      </c>
      <c r="M425" s="4"/>
    </row>
    <row r="426" spans="1:13" ht="15.9" x14ac:dyDescent="0.4">
      <c r="A426" s="3">
        <v>45069</v>
      </c>
      <c r="B426" s="4" t="s">
        <v>276</v>
      </c>
      <c r="C426" s="4" t="s">
        <v>602</v>
      </c>
      <c r="D426" s="4">
        <v>38720</v>
      </c>
      <c r="E426" s="7">
        <f t="shared" si="67"/>
        <v>17563.08224</v>
      </c>
      <c r="F426" s="7">
        <f t="shared" si="68"/>
        <v>17.56308224</v>
      </c>
      <c r="G426" s="4">
        <v>44</v>
      </c>
      <c r="H426" s="4" t="s">
        <v>15</v>
      </c>
      <c r="I426" s="4" t="s">
        <v>19</v>
      </c>
      <c r="J426" s="5">
        <v>2800</v>
      </c>
      <c r="K426" s="5">
        <f t="shared" si="65"/>
        <v>0.15942531964138887</v>
      </c>
      <c r="L426" s="5">
        <f t="shared" si="66"/>
        <v>159.42531964138888</v>
      </c>
      <c r="M426" s="4"/>
    </row>
    <row r="427" spans="1:13" ht="15.9" x14ac:dyDescent="0.4">
      <c r="A427" s="3">
        <v>45069</v>
      </c>
      <c r="B427" s="4" t="s">
        <v>268</v>
      </c>
      <c r="C427" s="4" t="s">
        <v>603</v>
      </c>
      <c r="D427" s="4">
        <v>32560</v>
      </c>
      <c r="E427" s="7">
        <f t="shared" si="67"/>
        <v>14768.95552</v>
      </c>
      <c r="F427" s="7">
        <f t="shared" si="68"/>
        <v>14.76895552</v>
      </c>
      <c r="G427" s="4">
        <v>44</v>
      </c>
      <c r="H427" s="4" t="s">
        <v>15</v>
      </c>
      <c r="I427" s="4" t="s">
        <v>19</v>
      </c>
      <c r="J427" s="5">
        <v>1775</v>
      </c>
      <c r="K427" s="5">
        <f t="shared" si="65"/>
        <v>0.12018453150571884</v>
      </c>
      <c r="L427" s="5">
        <f t="shared" si="66"/>
        <v>120.18453150571882</v>
      </c>
      <c r="M427" s="4"/>
    </row>
    <row r="428" spans="1:13" ht="15.9" x14ac:dyDescent="0.4">
      <c r="A428" s="3">
        <v>45069</v>
      </c>
      <c r="B428" s="4" t="s">
        <v>193</v>
      </c>
      <c r="C428" s="4" t="s">
        <v>604</v>
      </c>
      <c r="D428" s="4">
        <v>2451</v>
      </c>
      <c r="E428" s="7">
        <f t="shared" si="67"/>
        <v>1111.7539919999999</v>
      </c>
      <c r="F428" s="7">
        <f t="shared" si="68"/>
        <v>1.1117539919999999</v>
      </c>
      <c r="G428" s="4">
        <v>3</v>
      </c>
      <c r="H428" s="4" t="s">
        <v>35</v>
      </c>
      <c r="I428" s="4" t="s">
        <v>12</v>
      </c>
      <c r="J428" s="5"/>
      <c r="K428" s="5">
        <f t="shared" si="65"/>
        <v>0</v>
      </c>
      <c r="L428" s="5">
        <f t="shared" si="66"/>
        <v>0</v>
      </c>
      <c r="M428" s="4"/>
    </row>
    <row r="429" spans="1:13" ht="15.9" x14ac:dyDescent="0.4">
      <c r="A429" s="3">
        <v>45069</v>
      </c>
      <c r="B429" s="4" t="s">
        <v>120</v>
      </c>
      <c r="C429" s="4" t="s">
        <v>605</v>
      </c>
      <c r="D429" s="4">
        <v>36529</v>
      </c>
      <c r="E429" s="7">
        <f t="shared" si="67"/>
        <v>16569.262168000001</v>
      </c>
      <c r="F429" s="7">
        <f t="shared" si="68"/>
        <v>16.569262168000002</v>
      </c>
      <c r="G429" s="4">
        <v>37</v>
      </c>
      <c r="H429" s="4" t="s">
        <v>15</v>
      </c>
      <c r="I429" s="4" t="s">
        <v>311</v>
      </c>
      <c r="J429" s="5">
        <v>3000</v>
      </c>
      <c r="K429" s="5">
        <f t="shared" si="65"/>
        <v>0.18105815271568704</v>
      </c>
      <c r="L429" s="5">
        <f t="shared" si="66"/>
        <v>181.05815271568704</v>
      </c>
      <c r="M429" s="4"/>
    </row>
    <row r="430" spans="1:13" ht="15.9" x14ac:dyDescent="0.4">
      <c r="A430" s="3">
        <v>45070</v>
      </c>
      <c r="B430" s="4" t="s">
        <v>536</v>
      </c>
      <c r="C430" s="4" t="s">
        <v>606</v>
      </c>
      <c r="D430" s="4">
        <v>29280</v>
      </c>
      <c r="E430" s="7">
        <f t="shared" si="67"/>
        <v>13281.17376</v>
      </c>
      <c r="F430" s="7">
        <f t="shared" si="68"/>
        <v>13.28117376</v>
      </c>
      <c r="G430" s="4">
        <v>30</v>
      </c>
      <c r="H430" s="4" t="s">
        <v>11</v>
      </c>
      <c r="I430" s="4" t="s">
        <v>19</v>
      </c>
      <c r="J430" s="5">
        <v>4250</v>
      </c>
      <c r="K430" s="5">
        <f t="shared" si="65"/>
        <v>0.32000183694607426</v>
      </c>
      <c r="L430" s="5">
        <f t="shared" si="66"/>
        <v>320.00183694607426</v>
      </c>
      <c r="M430" s="4"/>
    </row>
    <row r="431" spans="1:13" ht="15.9" x14ac:dyDescent="0.4">
      <c r="A431" s="3">
        <v>45070</v>
      </c>
      <c r="B431" s="4" t="s">
        <v>96</v>
      </c>
      <c r="C431" s="4" t="s">
        <v>607</v>
      </c>
      <c r="D431" s="4">
        <v>42548</v>
      </c>
      <c r="E431" s="7">
        <f t="shared" si="67"/>
        <v>19299.432416</v>
      </c>
      <c r="F431" s="7">
        <f t="shared" si="68"/>
        <v>19.299432415999998</v>
      </c>
      <c r="G431" s="4">
        <v>44</v>
      </c>
      <c r="H431" s="4" t="s">
        <v>15</v>
      </c>
      <c r="I431" s="4" t="s">
        <v>25</v>
      </c>
      <c r="J431" s="5">
        <v>3500</v>
      </c>
      <c r="K431" s="5">
        <f t="shared" si="65"/>
        <v>0.1813524835631104</v>
      </c>
      <c r="L431" s="5">
        <f t="shared" si="66"/>
        <v>181.35248356311041</v>
      </c>
      <c r="M431" s="4"/>
    </row>
    <row r="432" spans="1:13" ht="15.9" x14ac:dyDescent="0.4">
      <c r="A432" s="3">
        <v>45070</v>
      </c>
      <c r="B432" s="4" t="s">
        <v>268</v>
      </c>
      <c r="C432" s="4" t="s">
        <v>608</v>
      </c>
      <c r="D432" s="4">
        <v>32340</v>
      </c>
      <c r="E432" s="7">
        <f t="shared" si="67"/>
        <v>14669.165279999999</v>
      </c>
      <c r="F432" s="7">
        <f t="shared" si="68"/>
        <v>14.66916528</v>
      </c>
      <c r="G432" s="4">
        <v>44</v>
      </c>
      <c r="H432" s="4" t="s">
        <v>15</v>
      </c>
      <c r="I432" s="4" t="s">
        <v>19</v>
      </c>
      <c r="J432" s="5">
        <v>1775</v>
      </c>
      <c r="K432" s="5">
        <f t="shared" si="65"/>
        <v>0.12100211335269652</v>
      </c>
      <c r="L432" s="5">
        <f t="shared" si="66"/>
        <v>121.00211335269651</v>
      </c>
      <c r="M432" s="4"/>
    </row>
    <row r="433" spans="1:13" ht="15.9" x14ac:dyDescent="0.4">
      <c r="A433" s="3">
        <v>45070</v>
      </c>
      <c r="B433" s="4" t="s">
        <v>375</v>
      </c>
      <c r="C433" s="4" t="s">
        <v>609</v>
      </c>
      <c r="D433" s="4">
        <v>14595</v>
      </c>
      <c r="E433" s="7">
        <f t="shared" si="67"/>
        <v>6620.1752399999996</v>
      </c>
      <c r="F433" s="7">
        <f t="shared" si="68"/>
        <v>6.62017524</v>
      </c>
      <c r="G433" s="4">
        <v>15</v>
      </c>
      <c r="H433" s="4" t="s">
        <v>15</v>
      </c>
      <c r="I433" s="4" t="s">
        <v>12</v>
      </c>
      <c r="J433" s="5"/>
      <c r="K433" s="5">
        <f t="shared" si="65"/>
        <v>0</v>
      </c>
      <c r="L433" s="5">
        <f t="shared" si="66"/>
        <v>0</v>
      </c>
      <c r="M433" s="4"/>
    </row>
    <row r="434" spans="1:13" ht="15.9" x14ac:dyDescent="0.4">
      <c r="A434" s="3">
        <v>45070</v>
      </c>
      <c r="B434" s="4" t="s">
        <v>75</v>
      </c>
      <c r="C434" s="4" t="s">
        <v>610</v>
      </c>
      <c r="D434" s="4">
        <v>42548</v>
      </c>
      <c r="E434" s="7">
        <f t="shared" si="67"/>
        <v>19299.432416</v>
      </c>
      <c r="F434" s="7">
        <f t="shared" si="68"/>
        <v>19.299432415999998</v>
      </c>
      <c r="G434" s="4">
        <v>44</v>
      </c>
      <c r="H434" s="4" t="s">
        <v>11</v>
      </c>
      <c r="I434" s="4" t="s">
        <v>12</v>
      </c>
      <c r="J434" s="4"/>
      <c r="K434" s="5">
        <f t="shared" si="65"/>
        <v>0</v>
      </c>
      <c r="L434" s="5">
        <f t="shared" si="66"/>
        <v>0</v>
      </c>
      <c r="M434" s="4"/>
    </row>
    <row r="435" spans="1:13" ht="15.9" x14ac:dyDescent="0.4">
      <c r="A435" s="3">
        <v>45070</v>
      </c>
      <c r="B435" s="4" t="s">
        <v>75</v>
      </c>
      <c r="C435" s="4" t="s">
        <v>611</v>
      </c>
      <c r="D435" s="4">
        <v>42548</v>
      </c>
      <c r="E435" s="7">
        <f t="shared" si="67"/>
        <v>19299.432416</v>
      </c>
      <c r="F435" s="7">
        <f t="shared" si="68"/>
        <v>19.299432415999998</v>
      </c>
      <c r="G435" s="4">
        <v>44</v>
      </c>
      <c r="H435" s="4" t="s">
        <v>11</v>
      </c>
      <c r="I435" s="4" t="s">
        <v>12</v>
      </c>
      <c r="J435" s="5"/>
      <c r="K435" s="5">
        <f t="shared" si="65"/>
        <v>0</v>
      </c>
      <c r="L435" s="5">
        <f t="shared" si="66"/>
        <v>0</v>
      </c>
      <c r="M435" s="4"/>
    </row>
    <row r="436" spans="1:13" ht="15.9" x14ac:dyDescent="0.4">
      <c r="A436" s="3">
        <v>45070</v>
      </c>
      <c r="B436" s="4" t="s">
        <v>75</v>
      </c>
      <c r="C436" s="4" t="s">
        <v>612</v>
      </c>
      <c r="D436" s="4">
        <v>22380</v>
      </c>
      <c r="E436" s="7">
        <f t="shared" si="67"/>
        <v>10151.38896</v>
      </c>
      <c r="F436" s="7">
        <f t="shared" si="68"/>
        <v>10.15138896</v>
      </c>
      <c r="G436" s="4">
        <v>23</v>
      </c>
      <c r="H436" s="4" t="s">
        <v>11</v>
      </c>
      <c r="I436" s="4" t="s">
        <v>12</v>
      </c>
      <c r="J436" s="5"/>
      <c r="K436" s="5">
        <f t="shared" si="65"/>
        <v>0</v>
      </c>
      <c r="L436" s="5">
        <f t="shared" si="66"/>
        <v>0</v>
      </c>
      <c r="M436" s="4"/>
    </row>
    <row r="437" spans="1:13" ht="15.9" x14ac:dyDescent="0.4">
      <c r="A437" s="3">
        <v>45070</v>
      </c>
      <c r="B437" s="4" t="s">
        <v>276</v>
      </c>
      <c r="C437" s="4" t="s">
        <v>613</v>
      </c>
      <c r="D437" s="4">
        <v>21160</v>
      </c>
      <c r="E437" s="7">
        <f t="shared" si="67"/>
        <v>9598.0067199999994</v>
      </c>
      <c r="F437" s="7">
        <f t="shared" si="68"/>
        <v>9.598006719999999</v>
      </c>
      <c r="G437" s="4">
        <v>23</v>
      </c>
      <c r="H437" s="4" t="s">
        <v>15</v>
      </c>
      <c r="I437" s="4" t="s">
        <v>16</v>
      </c>
      <c r="J437" s="5">
        <v>2145.2800000000002</v>
      </c>
      <c r="K437" s="5">
        <f t="shared" si="65"/>
        <v>0.22351307543156215</v>
      </c>
      <c r="L437" s="5">
        <f t="shared" si="66"/>
        <v>223.51307543156216</v>
      </c>
      <c r="M437" s="4"/>
    </row>
    <row r="438" spans="1:13" ht="15.9" x14ac:dyDescent="0.4">
      <c r="A438" s="3">
        <v>45070</v>
      </c>
      <c r="B438" s="4" t="s">
        <v>593</v>
      </c>
      <c r="C438" s="4" t="s">
        <v>614</v>
      </c>
      <c r="D438" s="4">
        <v>11940</v>
      </c>
      <c r="E438" s="7">
        <f t="shared" si="67"/>
        <v>5415.8884799999996</v>
      </c>
      <c r="F438" s="7">
        <f t="shared" si="68"/>
        <v>5.4158884799999996</v>
      </c>
      <c r="G438" s="4">
        <v>12</v>
      </c>
      <c r="H438" s="4" t="s">
        <v>11</v>
      </c>
      <c r="I438" s="4" t="s">
        <v>19</v>
      </c>
      <c r="J438" s="5">
        <v>2720</v>
      </c>
      <c r="K438" s="5">
        <f t="shared" si="65"/>
        <v>0.50222599856782879</v>
      </c>
      <c r="L438" s="5">
        <f t="shared" si="66"/>
        <v>502.22599856782875</v>
      </c>
      <c r="M438" s="4"/>
    </row>
    <row r="439" spans="1:13" ht="15.9" x14ac:dyDescent="0.4">
      <c r="A439" s="3">
        <v>45070</v>
      </c>
      <c r="B439" s="4" t="s">
        <v>615</v>
      </c>
      <c r="C439" s="4" t="s">
        <v>616</v>
      </c>
      <c r="D439" s="4">
        <v>2200</v>
      </c>
      <c r="E439" s="7">
        <f t="shared" si="67"/>
        <v>997.90239999999994</v>
      </c>
      <c r="F439" s="7">
        <f t="shared" si="68"/>
        <v>0.99790239999999997</v>
      </c>
      <c r="G439" s="4">
        <v>3</v>
      </c>
      <c r="H439" s="4" t="s">
        <v>35</v>
      </c>
      <c r="I439" s="4" t="s">
        <v>12</v>
      </c>
      <c r="J439" s="5"/>
      <c r="K439" s="5">
        <f t="shared" si="65"/>
        <v>0</v>
      </c>
      <c r="L439" s="5">
        <f t="shared" si="66"/>
        <v>0</v>
      </c>
      <c r="M439" s="4"/>
    </row>
    <row r="440" spans="1:13" ht="15.9" x14ac:dyDescent="0.4">
      <c r="A440" s="3">
        <v>45070</v>
      </c>
      <c r="B440" s="4" t="s">
        <v>486</v>
      </c>
      <c r="C440" s="4" t="s">
        <v>617</v>
      </c>
      <c r="D440" s="4">
        <v>1882</v>
      </c>
      <c r="E440" s="7">
        <f t="shared" si="67"/>
        <v>853.66014399999995</v>
      </c>
      <c r="F440" s="7">
        <f t="shared" si="68"/>
        <v>0.85366014400000001</v>
      </c>
      <c r="G440" s="4">
        <v>3</v>
      </c>
      <c r="H440" s="4" t="s">
        <v>35</v>
      </c>
      <c r="I440" s="4" t="s">
        <v>12</v>
      </c>
      <c r="J440" s="5"/>
      <c r="K440" s="5">
        <f t="shared" si="65"/>
        <v>0</v>
      </c>
      <c r="L440" s="5">
        <f t="shared" si="66"/>
        <v>0</v>
      </c>
      <c r="M440" s="4"/>
    </row>
    <row r="441" spans="1:13" ht="15.9" x14ac:dyDescent="0.4">
      <c r="A441" s="3">
        <v>45071</v>
      </c>
      <c r="B441" s="4" t="s">
        <v>618</v>
      </c>
      <c r="C441" s="4" t="s">
        <v>619</v>
      </c>
      <c r="D441" s="4">
        <v>37840</v>
      </c>
      <c r="E441" s="7">
        <f t="shared" si="67"/>
        <v>17163.921279999999</v>
      </c>
      <c r="F441" s="7">
        <f t="shared" si="68"/>
        <v>17.16392128</v>
      </c>
      <c r="G441" s="4">
        <v>44</v>
      </c>
      <c r="H441" s="4" t="s">
        <v>11</v>
      </c>
      <c r="I441" s="4" t="s">
        <v>19</v>
      </c>
      <c r="J441" s="5">
        <v>5200</v>
      </c>
      <c r="K441" s="5">
        <f t="shared" si="65"/>
        <v>0.3029610725411111</v>
      </c>
      <c r="L441" s="5">
        <f t="shared" si="66"/>
        <v>302.96107254111109</v>
      </c>
      <c r="M441" s="4"/>
    </row>
    <row r="442" spans="1:13" ht="15.9" x14ac:dyDescent="0.4">
      <c r="A442" s="3">
        <v>45071</v>
      </c>
      <c r="B442" s="4" t="s">
        <v>618</v>
      </c>
      <c r="C442" s="4" t="s">
        <v>620</v>
      </c>
      <c r="D442" s="4">
        <v>37840</v>
      </c>
      <c r="E442" s="7">
        <f t="shared" si="67"/>
        <v>17163.921279999999</v>
      </c>
      <c r="F442" s="7">
        <f t="shared" si="68"/>
        <v>17.16392128</v>
      </c>
      <c r="G442" s="4">
        <v>44</v>
      </c>
      <c r="H442" s="4" t="s">
        <v>11</v>
      </c>
      <c r="I442" s="4" t="s">
        <v>19</v>
      </c>
      <c r="J442" s="5">
        <v>5200</v>
      </c>
      <c r="K442" s="5">
        <f t="shared" si="65"/>
        <v>0.3029610725411111</v>
      </c>
      <c r="L442" s="5">
        <f t="shared" si="66"/>
        <v>302.96107254111109</v>
      </c>
      <c r="M442" s="4"/>
    </row>
    <row r="443" spans="1:13" ht="15.9" x14ac:dyDescent="0.4">
      <c r="A443" s="3">
        <v>45071</v>
      </c>
      <c r="B443" s="4" t="s">
        <v>618</v>
      </c>
      <c r="C443" s="4" t="s">
        <v>621</v>
      </c>
      <c r="D443" s="4">
        <v>37840</v>
      </c>
      <c r="E443" s="7">
        <f t="shared" si="67"/>
        <v>17163.921279999999</v>
      </c>
      <c r="F443" s="7">
        <f t="shared" si="68"/>
        <v>17.16392128</v>
      </c>
      <c r="G443" s="4">
        <v>44</v>
      </c>
      <c r="H443" s="4" t="s">
        <v>11</v>
      </c>
      <c r="I443" s="4" t="s">
        <v>19</v>
      </c>
      <c r="J443" s="5">
        <v>5200</v>
      </c>
      <c r="K443" s="5">
        <f t="shared" si="65"/>
        <v>0.3029610725411111</v>
      </c>
      <c r="L443" s="5">
        <f t="shared" si="66"/>
        <v>302.96107254111109</v>
      </c>
      <c r="M443" s="4"/>
    </row>
    <row r="444" spans="1:13" ht="15.9" x14ac:dyDescent="0.4">
      <c r="A444" s="3">
        <v>45071</v>
      </c>
      <c r="B444" s="4" t="s">
        <v>618</v>
      </c>
      <c r="C444" s="4" t="s">
        <v>622</v>
      </c>
      <c r="D444" s="4">
        <v>37840</v>
      </c>
      <c r="E444" s="7">
        <f t="shared" si="67"/>
        <v>17163.921279999999</v>
      </c>
      <c r="F444" s="7">
        <f t="shared" si="68"/>
        <v>17.16392128</v>
      </c>
      <c r="G444" s="4">
        <v>44</v>
      </c>
      <c r="H444" s="4" t="s">
        <v>11</v>
      </c>
      <c r="I444" s="4" t="s">
        <v>19</v>
      </c>
      <c r="J444" s="5">
        <v>5200</v>
      </c>
      <c r="K444" s="5">
        <f t="shared" si="65"/>
        <v>0.3029610725411111</v>
      </c>
      <c r="L444" s="5">
        <f t="shared" si="66"/>
        <v>302.96107254111109</v>
      </c>
      <c r="M444" s="4"/>
    </row>
    <row r="445" spans="1:13" ht="15.9" x14ac:dyDescent="0.4">
      <c r="A445" s="3">
        <v>45072</v>
      </c>
      <c r="B445" s="4" t="s">
        <v>618</v>
      </c>
      <c r="C445" s="4" t="s">
        <v>623</v>
      </c>
      <c r="D445" s="4">
        <v>37840</v>
      </c>
      <c r="E445" s="7">
        <f t="shared" si="67"/>
        <v>17163.921279999999</v>
      </c>
      <c r="F445" s="7">
        <f t="shared" si="68"/>
        <v>17.16392128</v>
      </c>
      <c r="G445" s="4">
        <v>44</v>
      </c>
      <c r="H445" s="4" t="s">
        <v>11</v>
      </c>
      <c r="I445" s="4" t="s">
        <v>19</v>
      </c>
      <c r="J445" s="5">
        <v>5200</v>
      </c>
      <c r="K445" s="5">
        <f t="shared" si="65"/>
        <v>0.3029610725411111</v>
      </c>
      <c r="L445" s="5">
        <f t="shared" si="66"/>
        <v>302.96107254111109</v>
      </c>
      <c r="M445" s="4"/>
    </row>
    <row r="446" spans="1:13" ht="15.9" x14ac:dyDescent="0.4">
      <c r="A446" s="3">
        <v>45072</v>
      </c>
      <c r="B446" s="4" t="s">
        <v>618</v>
      </c>
      <c r="C446" s="4" t="s">
        <v>624</v>
      </c>
      <c r="D446" s="4">
        <v>33907</v>
      </c>
      <c r="E446" s="7">
        <f t="shared" si="67"/>
        <v>15379.943944000001</v>
      </c>
      <c r="F446" s="7">
        <f t="shared" si="68"/>
        <v>15.379943944000001</v>
      </c>
      <c r="G446" s="4">
        <v>41</v>
      </c>
      <c r="H446" s="4" t="s">
        <v>11</v>
      </c>
      <c r="I446" s="4" t="s">
        <v>19</v>
      </c>
      <c r="J446" s="5">
        <v>5200</v>
      </c>
      <c r="K446" s="5">
        <f t="shared" si="65"/>
        <v>0.33810266272320294</v>
      </c>
      <c r="L446" s="5">
        <f t="shared" si="66"/>
        <v>338.10266272320297</v>
      </c>
      <c r="M446" s="4"/>
    </row>
    <row r="447" spans="1:13" ht="15.9" x14ac:dyDescent="0.4">
      <c r="A447" s="3">
        <v>45072</v>
      </c>
      <c r="B447" s="4" t="s">
        <v>625</v>
      </c>
      <c r="C447" s="4" t="s">
        <v>626</v>
      </c>
      <c r="D447" s="4">
        <v>8550</v>
      </c>
      <c r="E447" s="7">
        <f t="shared" si="67"/>
        <v>3878.2116000000001</v>
      </c>
      <c r="F447" s="7">
        <f t="shared" si="68"/>
        <v>3.8782116000000002</v>
      </c>
      <c r="G447" s="4">
        <v>9</v>
      </c>
      <c r="H447" s="4" t="s">
        <v>35</v>
      </c>
      <c r="I447" s="4" t="s">
        <v>12</v>
      </c>
      <c r="J447" s="4"/>
      <c r="K447" s="5">
        <f t="shared" si="65"/>
        <v>0</v>
      </c>
      <c r="L447" s="5">
        <f t="shared" si="66"/>
        <v>0</v>
      </c>
      <c r="M447" s="4"/>
    </row>
    <row r="448" spans="1:13" ht="15.9" x14ac:dyDescent="0.4">
      <c r="A448" s="3">
        <v>45072</v>
      </c>
      <c r="B448" s="4" t="s">
        <v>96</v>
      </c>
      <c r="C448" s="4" t="s">
        <v>627</v>
      </c>
      <c r="D448" s="4">
        <v>43120</v>
      </c>
      <c r="E448" s="7">
        <f t="shared" si="67"/>
        <v>19558.887040000001</v>
      </c>
      <c r="F448" s="7">
        <f t="shared" si="68"/>
        <v>19.558887040000002</v>
      </c>
      <c r="G448" s="4">
        <v>44</v>
      </c>
      <c r="H448" s="4" t="s">
        <v>15</v>
      </c>
      <c r="I448" s="4" t="s">
        <v>25</v>
      </c>
      <c r="J448" s="5">
        <v>3500</v>
      </c>
      <c r="K448" s="5">
        <f t="shared" si="65"/>
        <v>0.17894678735257932</v>
      </c>
      <c r="L448" s="5">
        <f t="shared" si="66"/>
        <v>178.94678735257932</v>
      </c>
      <c r="M448" s="4"/>
    </row>
    <row r="449" spans="1:13" ht="15.9" x14ac:dyDescent="0.4">
      <c r="A449" s="3">
        <v>45072</v>
      </c>
      <c r="B449" s="4" t="s">
        <v>96</v>
      </c>
      <c r="C449" s="4" t="s">
        <v>628</v>
      </c>
      <c r="D449" s="4">
        <v>42548</v>
      </c>
      <c r="E449" s="7">
        <f t="shared" si="67"/>
        <v>19299.432416</v>
      </c>
      <c r="F449" s="7">
        <f t="shared" si="68"/>
        <v>19.299432415999998</v>
      </c>
      <c r="G449" s="4">
        <v>44</v>
      </c>
      <c r="H449" s="4" t="s">
        <v>15</v>
      </c>
      <c r="I449" s="4" t="s">
        <v>25</v>
      </c>
      <c r="J449" s="5">
        <v>3500</v>
      </c>
      <c r="K449" s="5">
        <f t="shared" si="65"/>
        <v>0.1813524835631104</v>
      </c>
      <c r="L449" s="5">
        <f t="shared" si="66"/>
        <v>181.35248356311041</v>
      </c>
      <c r="M449" s="4"/>
    </row>
    <row r="450" spans="1:13" ht="15.9" x14ac:dyDescent="0.4">
      <c r="A450" s="3">
        <v>45072</v>
      </c>
      <c r="B450" s="4" t="s">
        <v>96</v>
      </c>
      <c r="C450" s="4" t="s">
        <v>629</v>
      </c>
      <c r="D450" s="4">
        <v>42548</v>
      </c>
      <c r="E450" s="7">
        <f t="shared" si="67"/>
        <v>19299.432416</v>
      </c>
      <c r="F450" s="7">
        <f t="shared" si="68"/>
        <v>19.299432415999998</v>
      </c>
      <c r="G450" s="4">
        <v>44</v>
      </c>
      <c r="H450" s="4" t="s">
        <v>15</v>
      </c>
      <c r="I450" s="4" t="s">
        <v>25</v>
      </c>
      <c r="J450" s="5">
        <v>3500</v>
      </c>
      <c r="K450" s="5">
        <f t="shared" si="65"/>
        <v>0.1813524835631104</v>
      </c>
      <c r="L450" s="5">
        <f t="shared" si="66"/>
        <v>181.35248356311041</v>
      </c>
      <c r="M450" s="4"/>
    </row>
    <row r="451" spans="1:13" ht="15.9" x14ac:dyDescent="0.4">
      <c r="A451" s="3">
        <v>45076</v>
      </c>
      <c r="B451" s="4" t="s">
        <v>96</v>
      </c>
      <c r="C451" s="4" t="s">
        <v>630</v>
      </c>
      <c r="D451" s="4">
        <v>9040</v>
      </c>
      <c r="E451" s="7">
        <f t="shared" si="67"/>
        <v>4100.4716799999997</v>
      </c>
      <c r="F451" s="7">
        <f t="shared" si="68"/>
        <v>4.1004716800000001</v>
      </c>
      <c r="G451" s="4">
        <v>8</v>
      </c>
      <c r="H451" s="4" t="s">
        <v>35</v>
      </c>
      <c r="I451" s="4" t="s">
        <v>16</v>
      </c>
      <c r="J451" s="5">
        <v>1756.42</v>
      </c>
      <c r="K451" s="5">
        <f t="shared" si="65"/>
        <v>0.42834584337380432</v>
      </c>
      <c r="L451" s="5">
        <f t="shared" si="66"/>
        <v>428.34584337380426</v>
      </c>
      <c r="M451" s="4"/>
    </row>
    <row r="452" spans="1:13" ht="15.9" x14ac:dyDescent="0.4">
      <c r="A452" s="3">
        <v>45076</v>
      </c>
      <c r="B452" s="4" t="s">
        <v>146</v>
      </c>
      <c r="C452" s="4" t="s">
        <v>631</v>
      </c>
      <c r="D452" s="4">
        <v>17100</v>
      </c>
      <c r="E452" s="7">
        <f t="shared" si="67"/>
        <v>7756.4232000000002</v>
      </c>
      <c r="F452" s="7">
        <f t="shared" si="68"/>
        <v>7.7564232000000004</v>
      </c>
      <c r="G452" s="4">
        <v>15</v>
      </c>
      <c r="H452" s="4" t="s">
        <v>15</v>
      </c>
      <c r="I452" s="4" t="s">
        <v>12</v>
      </c>
      <c r="J452" s="5"/>
      <c r="K452" s="5">
        <f t="shared" si="65"/>
        <v>0</v>
      </c>
      <c r="L452" s="5">
        <f t="shared" si="66"/>
        <v>0</v>
      </c>
      <c r="M452" s="4"/>
    </row>
    <row r="453" spans="1:13" ht="15.9" x14ac:dyDescent="0.4">
      <c r="A453" s="3">
        <v>45078</v>
      </c>
      <c r="B453" s="4" t="s">
        <v>96</v>
      </c>
      <c r="C453" s="4" t="s">
        <v>632</v>
      </c>
      <c r="D453" s="4">
        <v>33250</v>
      </c>
      <c r="E453" s="7">
        <f t="shared" si="67"/>
        <v>15081.933999999999</v>
      </c>
      <c r="F453" s="7">
        <f t="shared" ref="F453:F516" si="69">E453*0.001</f>
        <v>15.081934</v>
      </c>
      <c r="G453" s="4">
        <v>35</v>
      </c>
      <c r="H453" s="4" t="s">
        <v>15</v>
      </c>
      <c r="I453" s="4" t="s">
        <v>25</v>
      </c>
      <c r="J453" s="5">
        <v>3500</v>
      </c>
      <c r="K453" s="5">
        <f t="shared" ref="K453:K516" si="70">J453/E453</f>
        <v>0.23206572844039763</v>
      </c>
      <c r="L453" s="5">
        <f t="shared" ref="L453:L516" si="71">J453/F453</f>
        <v>232.06572844039763</v>
      </c>
      <c r="M453" s="4"/>
    </row>
    <row r="454" spans="1:13" ht="15.9" x14ac:dyDescent="0.4">
      <c r="A454" s="3">
        <v>45083</v>
      </c>
      <c r="B454" s="4" t="s">
        <v>13</v>
      </c>
      <c r="C454" s="4" t="s">
        <v>633</v>
      </c>
      <c r="D454" s="4">
        <v>13300</v>
      </c>
      <c r="E454" s="7">
        <f t="shared" si="67"/>
        <v>6032.7735999999995</v>
      </c>
      <c r="F454" s="7">
        <f t="shared" si="69"/>
        <v>6.0327735999999996</v>
      </c>
      <c r="G454" s="4">
        <v>12</v>
      </c>
      <c r="H454" s="4" t="s">
        <v>11</v>
      </c>
      <c r="I454" s="4" t="s">
        <v>19</v>
      </c>
      <c r="J454" s="5">
        <v>1510</v>
      </c>
      <c r="K454" s="5">
        <f t="shared" si="70"/>
        <v>0.2502994642464289</v>
      </c>
      <c r="L454" s="5">
        <f t="shared" si="71"/>
        <v>250.2994642464289</v>
      </c>
      <c r="M454" s="4"/>
    </row>
    <row r="455" spans="1:13" ht="15.9" x14ac:dyDescent="0.4">
      <c r="A455" s="3">
        <v>45083</v>
      </c>
      <c r="B455" s="4" t="s">
        <v>634</v>
      </c>
      <c r="C455" s="4" t="s">
        <v>635</v>
      </c>
      <c r="D455" s="4">
        <v>37008</v>
      </c>
      <c r="E455" s="7">
        <f t="shared" si="67"/>
        <v>16786.532736000001</v>
      </c>
      <c r="F455" s="7">
        <f t="shared" si="69"/>
        <v>16.786532736000002</v>
      </c>
      <c r="G455" s="4">
        <v>48</v>
      </c>
      <c r="H455" s="4" t="s">
        <v>15</v>
      </c>
      <c r="I455" s="4" t="s">
        <v>19</v>
      </c>
      <c r="J455" s="5">
        <v>5700</v>
      </c>
      <c r="K455" s="5">
        <f t="shared" si="70"/>
        <v>0.33955791166903188</v>
      </c>
      <c r="L455" s="5">
        <f t="shared" si="71"/>
        <v>339.55791166903185</v>
      </c>
      <c r="M455" s="4"/>
    </row>
    <row r="456" spans="1:13" ht="15.9" x14ac:dyDescent="0.4">
      <c r="A456" s="3">
        <v>45083</v>
      </c>
      <c r="B456" s="4" t="s">
        <v>634</v>
      </c>
      <c r="C456" s="4" t="s">
        <v>636</v>
      </c>
      <c r="D456" s="4">
        <v>37008</v>
      </c>
      <c r="E456" s="7">
        <f t="shared" si="67"/>
        <v>16786.532736000001</v>
      </c>
      <c r="F456" s="7">
        <f t="shared" si="69"/>
        <v>16.786532736000002</v>
      </c>
      <c r="G456" s="4">
        <v>48</v>
      </c>
      <c r="H456" s="4" t="s">
        <v>15</v>
      </c>
      <c r="I456" s="4" t="s">
        <v>19</v>
      </c>
      <c r="J456" s="5">
        <v>5700</v>
      </c>
      <c r="K456" s="5">
        <f t="shared" si="70"/>
        <v>0.33955791166903188</v>
      </c>
      <c r="L456" s="5">
        <f t="shared" si="71"/>
        <v>339.55791166903185</v>
      </c>
      <c r="M456" s="4"/>
    </row>
    <row r="457" spans="1:13" ht="15.9" x14ac:dyDescent="0.4">
      <c r="A457" s="3">
        <v>45083</v>
      </c>
      <c r="B457" s="4" t="s">
        <v>191</v>
      </c>
      <c r="C457" s="4" t="s">
        <v>637</v>
      </c>
      <c r="D457" s="4">
        <v>12840</v>
      </c>
      <c r="E457" s="7">
        <f t="shared" si="67"/>
        <v>5824.1212800000003</v>
      </c>
      <c r="F457" s="7">
        <f t="shared" si="69"/>
        <v>5.8241212800000008</v>
      </c>
      <c r="G457" s="4">
        <v>12</v>
      </c>
      <c r="H457" s="4" t="s">
        <v>35</v>
      </c>
      <c r="I457" s="4" t="s">
        <v>16</v>
      </c>
      <c r="J457" s="5">
        <v>1145.74</v>
      </c>
      <c r="K457" s="5">
        <f t="shared" si="70"/>
        <v>0.19672323856552656</v>
      </c>
      <c r="L457" s="5">
        <f t="shared" si="71"/>
        <v>196.72323856552654</v>
      </c>
      <c r="M457" s="4"/>
    </row>
    <row r="458" spans="1:13" ht="15.9" x14ac:dyDescent="0.4">
      <c r="A458" s="3">
        <v>45083</v>
      </c>
      <c r="B458" s="4" t="s">
        <v>312</v>
      </c>
      <c r="C458" s="4" t="s">
        <v>638</v>
      </c>
      <c r="D458" s="4">
        <v>12255</v>
      </c>
      <c r="E458" s="7">
        <f t="shared" si="67"/>
        <v>5558.7699599999996</v>
      </c>
      <c r="F458" s="7">
        <f t="shared" si="69"/>
        <v>5.5587699599999993</v>
      </c>
      <c r="G458" s="4">
        <v>15</v>
      </c>
      <c r="H458" s="4" t="s">
        <v>35</v>
      </c>
      <c r="I458" s="4" t="s">
        <v>16</v>
      </c>
      <c r="J458" s="5">
        <v>851</v>
      </c>
      <c r="K458" s="5">
        <f t="shared" si="70"/>
        <v>0.15309142240525458</v>
      </c>
      <c r="L458" s="5">
        <f t="shared" si="71"/>
        <v>153.09142240525458</v>
      </c>
      <c r="M458" s="4"/>
    </row>
    <row r="459" spans="1:13" ht="15.9" x14ac:dyDescent="0.4">
      <c r="A459" s="3">
        <v>45083</v>
      </c>
      <c r="B459" s="4" t="s">
        <v>77</v>
      </c>
      <c r="C459" s="4" t="s">
        <v>639</v>
      </c>
      <c r="D459" s="4">
        <v>13608</v>
      </c>
      <c r="E459" s="7">
        <f t="shared" si="67"/>
        <v>6172.4799359999997</v>
      </c>
      <c r="F459" s="7">
        <f t="shared" si="69"/>
        <v>6.1724799360000002</v>
      </c>
      <c r="G459" s="4">
        <v>14</v>
      </c>
      <c r="H459" s="4" t="s">
        <v>35</v>
      </c>
      <c r="I459" s="4" t="s">
        <v>16</v>
      </c>
      <c r="J459" s="5">
        <v>2997</v>
      </c>
      <c r="K459" s="5">
        <f t="shared" si="70"/>
        <v>0.4855422830166653</v>
      </c>
      <c r="L459" s="5">
        <f t="shared" si="71"/>
        <v>485.54228301666524</v>
      </c>
      <c r="M459" s="4"/>
    </row>
    <row r="460" spans="1:13" ht="15.9" x14ac:dyDescent="0.4">
      <c r="A460" s="3">
        <v>45083</v>
      </c>
      <c r="B460" s="4" t="s">
        <v>640</v>
      </c>
      <c r="C460" s="4" t="s">
        <v>641</v>
      </c>
      <c r="D460" s="4">
        <v>4290</v>
      </c>
      <c r="E460" s="7">
        <f t="shared" si="67"/>
        <v>1945.90968</v>
      </c>
      <c r="F460" s="7">
        <f t="shared" si="69"/>
        <v>1.94590968</v>
      </c>
      <c r="G460" s="4">
        <v>4</v>
      </c>
      <c r="H460" s="4" t="s">
        <v>35</v>
      </c>
      <c r="I460" s="4" t="s">
        <v>12</v>
      </c>
      <c r="J460" s="5"/>
      <c r="K460" s="5">
        <f t="shared" si="70"/>
        <v>0</v>
      </c>
      <c r="L460" s="5">
        <f t="shared" si="71"/>
        <v>0</v>
      </c>
      <c r="M460" s="4"/>
    </row>
    <row r="461" spans="1:13" ht="15.9" x14ac:dyDescent="0.4">
      <c r="A461" s="3">
        <v>45083</v>
      </c>
      <c r="B461" s="4" t="s">
        <v>81</v>
      </c>
      <c r="C461" s="4" t="s">
        <v>642</v>
      </c>
      <c r="D461" s="4">
        <v>11697</v>
      </c>
      <c r="E461" s="7">
        <f t="shared" si="67"/>
        <v>5305.6656240000002</v>
      </c>
      <c r="F461" s="7">
        <f t="shared" si="69"/>
        <v>5.3056656240000004</v>
      </c>
      <c r="G461" s="4">
        <v>11</v>
      </c>
      <c r="H461" s="4" t="s">
        <v>35</v>
      </c>
      <c r="I461" s="4" t="s">
        <v>54</v>
      </c>
      <c r="J461" s="5">
        <v>1535.04</v>
      </c>
      <c r="K461" s="5">
        <f t="shared" si="70"/>
        <v>0.28932090877651584</v>
      </c>
      <c r="L461" s="5">
        <f t="shared" si="71"/>
        <v>289.32090877651581</v>
      </c>
      <c r="M461" s="4"/>
    </row>
    <row r="462" spans="1:13" ht="15.9" x14ac:dyDescent="0.4">
      <c r="A462" s="3">
        <v>45084</v>
      </c>
      <c r="B462" s="4" t="s">
        <v>634</v>
      </c>
      <c r="C462" s="4" t="s">
        <v>643</v>
      </c>
      <c r="D462" s="4">
        <v>37008</v>
      </c>
      <c r="E462" s="7">
        <f t="shared" si="67"/>
        <v>16786.532736000001</v>
      </c>
      <c r="F462" s="7">
        <f t="shared" si="69"/>
        <v>16.786532736000002</v>
      </c>
      <c r="G462" s="4">
        <v>48</v>
      </c>
      <c r="H462" s="4" t="s">
        <v>15</v>
      </c>
      <c r="I462" s="4" t="s">
        <v>19</v>
      </c>
      <c r="J462" s="5">
        <v>5700</v>
      </c>
      <c r="K462" s="5">
        <f t="shared" si="70"/>
        <v>0.33955791166903188</v>
      </c>
      <c r="L462" s="5">
        <f t="shared" si="71"/>
        <v>339.55791166903185</v>
      </c>
      <c r="M462" s="4"/>
    </row>
    <row r="463" spans="1:13" ht="15.9" x14ac:dyDescent="0.4">
      <c r="A463" s="3">
        <v>45084</v>
      </c>
      <c r="B463" s="4" t="s">
        <v>634</v>
      </c>
      <c r="C463" s="4" t="s">
        <v>644</v>
      </c>
      <c r="D463" s="4">
        <v>37008</v>
      </c>
      <c r="E463" s="7">
        <f t="shared" si="67"/>
        <v>16786.532736000001</v>
      </c>
      <c r="F463" s="7">
        <f t="shared" si="69"/>
        <v>16.786532736000002</v>
      </c>
      <c r="G463" s="4">
        <v>48</v>
      </c>
      <c r="H463" s="4" t="s">
        <v>15</v>
      </c>
      <c r="I463" s="4" t="s">
        <v>19</v>
      </c>
      <c r="J463" s="5">
        <v>5700</v>
      </c>
      <c r="K463" s="5">
        <f t="shared" si="70"/>
        <v>0.33955791166903188</v>
      </c>
      <c r="L463" s="5">
        <f t="shared" si="71"/>
        <v>339.55791166903185</v>
      </c>
      <c r="M463" s="4"/>
    </row>
    <row r="464" spans="1:13" ht="15.9" x14ac:dyDescent="0.4">
      <c r="A464" s="3">
        <v>45084</v>
      </c>
      <c r="B464" s="4" t="s">
        <v>276</v>
      </c>
      <c r="C464" s="4" t="s">
        <v>645</v>
      </c>
      <c r="D464" s="4">
        <v>36012</v>
      </c>
      <c r="E464" s="7">
        <f t="shared" si="67"/>
        <v>16334.755104</v>
      </c>
      <c r="F464" s="7">
        <f t="shared" si="69"/>
        <v>16.334755103999999</v>
      </c>
      <c r="G464" s="4">
        <v>36</v>
      </c>
      <c r="H464" s="4" t="s">
        <v>15</v>
      </c>
      <c r="I464" s="4" t="s">
        <v>25</v>
      </c>
      <c r="J464" s="5">
        <v>3333.33</v>
      </c>
      <c r="K464" s="5">
        <f t="shared" si="70"/>
        <v>0.20406366540406506</v>
      </c>
      <c r="L464" s="5">
        <f t="shared" si="71"/>
        <v>204.06366540406506</v>
      </c>
      <c r="M464" s="4"/>
    </row>
    <row r="465" spans="1:13" ht="15.9" x14ac:dyDescent="0.4">
      <c r="A465" s="3">
        <v>45084</v>
      </c>
      <c r="B465" s="4" t="s">
        <v>560</v>
      </c>
      <c r="C465" s="4" t="s">
        <v>646</v>
      </c>
      <c r="D465" s="4">
        <v>4290</v>
      </c>
      <c r="E465" s="7">
        <f t="shared" si="67"/>
        <v>1945.90968</v>
      </c>
      <c r="F465" s="7">
        <f t="shared" si="69"/>
        <v>1.94590968</v>
      </c>
      <c r="G465" s="4">
        <v>4</v>
      </c>
      <c r="H465" s="4" t="s">
        <v>35</v>
      </c>
      <c r="I465" s="4" t="s">
        <v>161</v>
      </c>
      <c r="J465" s="5">
        <v>465.11</v>
      </c>
      <c r="K465" s="5">
        <f t="shared" si="70"/>
        <v>0.2390193156344235</v>
      </c>
      <c r="L465" s="5">
        <f t="shared" si="71"/>
        <v>239.01931563442349</v>
      </c>
      <c r="M465" s="4"/>
    </row>
    <row r="466" spans="1:13" ht="15.9" x14ac:dyDescent="0.4">
      <c r="A466" s="3">
        <v>45084</v>
      </c>
      <c r="B466" s="4" t="s">
        <v>312</v>
      </c>
      <c r="C466" s="4" t="s">
        <v>647</v>
      </c>
      <c r="D466" s="4">
        <v>44230</v>
      </c>
      <c r="E466" s="7">
        <f t="shared" si="67"/>
        <v>20062.374159999999</v>
      </c>
      <c r="F466" s="7">
        <f t="shared" si="69"/>
        <v>20.062374160000001</v>
      </c>
      <c r="G466" s="4">
        <v>39</v>
      </c>
      <c r="H466" s="4" t="s">
        <v>15</v>
      </c>
      <c r="I466" s="4" t="s">
        <v>648</v>
      </c>
      <c r="J466" s="5">
        <v>1800</v>
      </c>
      <c r="K466" s="5">
        <f t="shared" si="70"/>
        <v>8.9720188929025543E-2</v>
      </c>
      <c r="L466" s="5">
        <f t="shared" si="71"/>
        <v>89.720188929025539</v>
      </c>
      <c r="M466" s="4"/>
    </row>
    <row r="467" spans="1:13" ht="15.9" x14ac:dyDescent="0.4">
      <c r="A467" s="3">
        <v>45084</v>
      </c>
      <c r="B467" s="4" t="s">
        <v>649</v>
      </c>
      <c r="C467" s="4" t="s">
        <v>650</v>
      </c>
      <c r="D467" s="4">
        <v>25899</v>
      </c>
      <c r="E467" s="7">
        <f t="shared" si="67"/>
        <v>11747.579207999999</v>
      </c>
      <c r="F467" s="7">
        <f t="shared" si="69"/>
        <v>11.747579207999999</v>
      </c>
      <c r="G467" s="4">
        <v>21</v>
      </c>
      <c r="H467" s="4" t="s">
        <v>11</v>
      </c>
      <c r="I467" s="4" t="s">
        <v>19</v>
      </c>
      <c r="J467" s="5">
        <v>1275</v>
      </c>
      <c r="K467" s="5">
        <f t="shared" si="70"/>
        <v>0.10853299879278414</v>
      </c>
      <c r="L467" s="5">
        <f t="shared" si="71"/>
        <v>108.53299879278414</v>
      </c>
      <c r="M467" s="4"/>
    </row>
    <row r="468" spans="1:13" ht="15.9" x14ac:dyDescent="0.4">
      <c r="A468" s="3">
        <v>45089</v>
      </c>
      <c r="B468" s="4" t="s">
        <v>276</v>
      </c>
      <c r="C468" s="4" t="s">
        <v>651</v>
      </c>
      <c r="D468" s="4">
        <v>43340</v>
      </c>
      <c r="E468" s="7">
        <f t="shared" si="67"/>
        <v>19658.67728</v>
      </c>
      <c r="F468" s="7">
        <f t="shared" si="69"/>
        <v>19.658677279999999</v>
      </c>
      <c r="G468" s="4">
        <v>44</v>
      </c>
      <c r="H468" s="4" t="s">
        <v>15</v>
      </c>
      <c r="I468" s="4" t="s">
        <v>25</v>
      </c>
      <c r="J468" s="5">
        <v>3333.33</v>
      </c>
      <c r="K468" s="5">
        <f t="shared" si="70"/>
        <v>0.16956023808332235</v>
      </c>
      <c r="L468" s="5">
        <f t="shared" si="71"/>
        <v>169.56023808332236</v>
      </c>
      <c r="M468" s="4"/>
    </row>
    <row r="469" spans="1:13" ht="15.9" x14ac:dyDescent="0.4">
      <c r="A469" s="3">
        <v>45089</v>
      </c>
      <c r="B469" s="4" t="s">
        <v>52</v>
      </c>
      <c r="C469" s="4" t="s">
        <v>652</v>
      </c>
      <c r="D469" s="4">
        <v>12350</v>
      </c>
      <c r="E469" s="7">
        <f t="shared" si="67"/>
        <v>5601.8612000000003</v>
      </c>
      <c r="F469" s="7">
        <f t="shared" si="69"/>
        <v>5.6018612000000001</v>
      </c>
      <c r="G469" s="4">
        <v>13</v>
      </c>
      <c r="H469" s="4" t="s">
        <v>35</v>
      </c>
      <c r="I469" s="4" t="s">
        <v>16</v>
      </c>
      <c r="J469" s="5">
        <v>1697</v>
      </c>
      <c r="K469" s="5">
        <f t="shared" si="70"/>
        <v>0.30293503166411906</v>
      </c>
      <c r="L469" s="5">
        <f t="shared" si="71"/>
        <v>302.93503166411904</v>
      </c>
      <c r="M469" s="4"/>
    </row>
    <row r="470" spans="1:13" ht="15.9" x14ac:dyDescent="0.4">
      <c r="A470" s="3">
        <v>45089</v>
      </c>
      <c r="B470" s="4" t="s">
        <v>560</v>
      </c>
      <c r="C470" s="4" t="s">
        <v>653</v>
      </c>
      <c r="D470" s="4">
        <v>1840</v>
      </c>
      <c r="E470" s="7">
        <f t="shared" si="67"/>
        <v>834.60928000000001</v>
      </c>
      <c r="F470" s="7">
        <f t="shared" si="69"/>
        <v>0.83460928000000001</v>
      </c>
      <c r="G470" s="4">
        <v>2</v>
      </c>
      <c r="H470" s="4" t="s">
        <v>35</v>
      </c>
      <c r="I470" s="4" t="s">
        <v>161</v>
      </c>
      <c r="J470" s="5">
        <v>291.12</v>
      </c>
      <c r="K470" s="5">
        <f t="shared" si="70"/>
        <v>0.34880992456733767</v>
      </c>
      <c r="L470" s="5">
        <f t="shared" si="71"/>
        <v>348.80992456733765</v>
      </c>
      <c r="M470" s="4"/>
    </row>
    <row r="471" spans="1:13" ht="15.9" x14ac:dyDescent="0.4">
      <c r="A471" s="3">
        <v>45089</v>
      </c>
      <c r="B471" s="4" t="s">
        <v>654</v>
      </c>
      <c r="C471" s="4" t="s">
        <v>655</v>
      </c>
      <c r="D471" s="4">
        <v>6168</v>
      </c>
      <c r="E471" s="7">
        <f t="shared" si="67"/>
        <v>2797.7554559999999</v>
      </c>
      <c r="F471" s="7">
        <f t="shared" si="69"/>
        <v>2.797755456</v>
      </c>
      <c r="G471" s="4">
        <v>8</v>
      </c>
      <c r="H471" s="4" t="s">
        <v>35</v>
      </c>
      <c r="I471" s="4" t="s">
        <v>54</v>
      </c>
      <c r="J471" s="5">
        <v>1491.36</v>
      </c>
      <c r="K471" s="5">
        <f t="shared" si="70"/>
        <v>0.53305588120708147</v>
      </c>
      <c r="L471" s="5">
        <f t="shared" si="71"/>
        <v>533.05588120708137</v>
      </c>
      <c r="M471" s="4"/>
    </row>
    <row r="472" spans="1:13" ht="15.9" x14ac:dyDescent="0.4">
      <c r="A472" s="3">
        <v>45089</v>
      </c>
      <c r="B472" s="4" t="s">
        <v>634</v>
      </c>
      <c r="C472" s="4" t="s">
        <v>656</v>
      </c>
      <c r="D472" s="4">
        <v>9252</v>
      </c>
      <c r="E472" s="7">
        <f t="shared" si="67"/>
        <v>4196.6331840000003</v>
      </c>
      <c r="F472" s="7">
        <f t="shared" si="69"/>
        <v>4.1966331840000004</v>
      </c>
      <c r="G472" s="4">
        <v>12</v>
      </c>
      <c r="H472" s="4" t="s">
        <v>35</v>
      </c>
      <c r="I472" s="4" t="s">
        <v>16</v>
      </c>
      <c r="J472" s="5">
        <v>2709</v>
      </c>
      <c r="K472" s="5">
        <f t="shared" si="70"/>
        <v>0.64551746155186474</v>
      </c>
      <c r="L472" s="5">
        <f t="shared" si="71"/>
        <v>645.5174615518647</v>
      </c>
      <c r="M472" s="4"/>
    </row>
    <row r="473" spans="1:13" ht="15.9" x14ac:dyDescent="0.4">
      <c r="A473" s="3">
        <v>45089</v>
      </c>
      <c r="B473" s="4" t="s">
        <v>129</v>
      </c>
      <c r="C473" s="4" t="s">
        <v>657</v>
      </c>
      <c r="D473" s="4">
        <v>42960</v>
      </c>
      <c r="E473" s="7">
        <f t="shared" ref="E473:E536" si="72">D473*0.453592</f>
        <v>19486.312320000001</v>
      </c>
      <c r="F473" s="7">
        <f t="shared" si="69"/>
        <v>19.48631232</v>
      </c>
      <c r="G473" s="4">
        <v>44</v>
      </c>
      <c r="H473" s="4" t="s">
        <v>15</v>
      </c>
      <c r="I473" s="4" t="s">
        <v>19</v>
      </c>
      <c r="J473" s="5">
        <v>2200</v>
      </c>
      <c r="K473" s="5">
        <f t="shared" si="70"/>
        <v>0.11289976081015619</v>
      </c>
      <c r="L473" s="5">
        <f t="shared" si="71"/>
        <v>112.89976081015621</v>
      </c>
      <c r="M473" s="4"/>
    </row>
    <row r="474" spans="1:13" ht="15.9" x14ac:dyDescent="0.4">
      <c r="A474" s="3">
        <v>45090</v>
      </c>
      <c r="B474" s="4" t="s">
        <v>658</v>
      </c>
      <c r="C474" s="4" t="s">
        <v>659</v>
      </c>
      <c r="D474" s="4">
        <v>85</v>
      </c>
      <c r="E474" s="7">
        <f t="shared" si="72"/>
        <v>38.555320000000002</v>
      </c>
      <c r="F474" s="7">
        <f t="shared" si="69"/>
        <v>3.8555320000000004E-2</v>
      </c>
      <c r="G474" s="4">
        <v>1</v>
      </c>
      <c r="H474" s="4"/>
      <c r="I474" s="4" t="s">
        <v>660</v>
      </c>
      <c r="J474" s="5">
        <v>124.89</v>
      </c>
      <c r="K474" s="5">
        <f t="shared" si="70"/>
        <v>3.2392416921970817</v>
      </c>
      <c r="L474" s="5">
        <f t="shared" si="71"/>
        <v>3239.2416921970816</v>
      </c>
      <c r="M474" s="4"/>
    </row>
    <row r="475" spans="1:13" ht="15.9" x14ac:dyDescent="0.4">
      <c r="A475" s="3">
        <v>45090</v>
      </c>
      <c r="B475" s="4" t="s">
        <v>661</v>
      </c>
      <c r="C475" s="4" t="s">
        <v>662</v>
      </c>
      <c r="D475" s="4">
        <v>5510</v>
      </c>
      <c r="E475" s="7">
        <f t="shared" si="72"/>
        <v>2499.2919200000001</v>
      </c>
      <c r="F475" s="7">
        <f t="shared" si="69"/>
        <v>2.4992919200000001</v>
      </c>
      <c r="G475" s="4">
        <v>5</v>
      </c>
      <c r="H475" s="4" t="s">
        <v>35</v>
      </c>
      <c r="I475" s="4" t="s">
        <v>161</v>
      </c>
      <c r="J475" s="5">
        <v>1096.17</v>
      </c>
      <c r="K475" s="5">
        <f t="shared" si="70"/>
        <v>0.43859222335260462</v>
      </c>
      <c r="L475" s="5">
        <f t="shared" si="71"/>
        <v>438.59222335260461</v>
      </c>
      <c r="M475" s="4"/>
    </row>
    <row r="476" spans="1:13" ht="15.9" x14ac:dyDescent="0.4">
      <c r="A476" s="3">
        <v>45090</v>
      </c>
      <c r="B476" s="4" t="s">
        <v>649</v>
      </c>
      <c r="C476" s="6" t="s">
        <v>663</v>
      </c>
      <c r="D476" s="4">
        <v>10577</v>
      </c>
      <c r="E476" s="7">
        <f t="shared" si="72"/>
        <v>4797.6425840000002</v>
      </c>
      <c r="F476" s="7">
        <f t="shared" si="69"/>
        <v>4.7976425840000001</v>
      </c>
      <c r="G476" s="4">
        <v>9</v>
      </c>
      <c r="H476" s="4" t="s">
        <v>35</v>
      </c>
      <c r="I476" s="4" t="s">
        <v>54</v>
      </c>
      <c r="J476" s="5">
        <v>717.5</v>
      </c>
      <c r="K476" s="5">
        <f t="shared" si="70"/>
        <v>0.14955261619380356</v>
      </c>
      <c r="L476" s="5">
        <f t="shared" si="71"/>
        <v>149.55261619380357</v>
      </c>
      <c r="M476" s="4"/>
    </row>
    <row r="477" spans="1:13" ht="15.9" x14ac:dyDescent="0.4">
      <c r="A477" s="3">
        <v>45090</v>
      </c>
      <c r="B477" s="4" t="s">
        <v>13</v>
      </c>
      <c r="C477" s="4" t="s">
        <v>664</v>
      </c>
      <c r="D477" s="4">
        <v>41920</v>
      </c>
      <c r="E477" s="7">
        <f t="shared" si="72"/>
        <v>19014.576639999999</v>
      </c>
      <c r="F477" s="7">
        <f t="shared" si="69"/>
        <v>19.014576640000001</v>
      </c>
      <c r="G477" s="4">
        <v>50</v>
      </c>
      <c r="H477" s="4" t="s">
        <v>11</v>
      </c>
      <c r="I477" s="4" t="s">
        <v>19</v>
      </c>
      <c r="J477" s="5">
        <v>2050</v>
      </c>
      <c r="K477" s="5">
        <f t="shared" si="70"/>
        <v>0.10781202436490324</v>
      </c>
      <c r="L477" s="5">
        <f t="shared" si="71"/>
        <v>107.81202436490324</v>
      </c>
      <c r="M477" s="4"/>
    </row>
    <row r="478" spans="1:13" ht="15.9" x14ac:dyDescent="0.4">
      <c r="A478" s="3">
        <v>45091</v>
      </c>
      <c r="B478" s="4" t="s">
        <v>66</v>
      </c>
      <c r="C478" s="4" t="s">
        <v>665</v>
      </c>
      <c r="D478" s="4">
        <v>20959</v>
      </c>
      <c r="E478" s="7">
        <f t="shared" si="72"/>
        <v>9506.8347279999998</v>
      </c>
      <c r="F478" s="7">
        <f t="shared" si="69"/>
        <v>9.5068347279999994</v>
      </c>
      <c r="G478" s="4">
        <v>23</v>
      </c>
      <c r="H478" s="4" t="s">
        <v>11</v>
      </c>
      <c r="I478" s="4" t="s">
        <v>19</v>
      </c>
      <c r="J478" s="5">
        <v>3900</v>
      </c>
      <c r="K478" s="5">
        <f t="shared" si="70"/>
        <v>0.41023117699874673</v>
      </c>
      <c r="L478" s="5">
        <f t="shared" si="71"/>
        <v>410.23117699874672</v>
      </c>
      <c r="M478" s="4"/>
    </row>
    <row r="479" spans="1:13" ht="15.9" x14ac:dyDescent="0.4">
      <c r="A479" s="3">
        <v>45091</v>
      </c>
      <c r="B479" s="4" t="s">
        <v>542</v>
      </c>
      <c r="C479" s="4" t="s">
        <v>666</v>
      </c>
      <c r="D479" s="4">
        <v>31056</v>
      </c>
      <c r="E479" s="7">
        <f t="shared" si="72"/>
        <v>14086.753151999999</v>
      </c>
      <c r="F479" s="7">
        <f t="shared" si="69"/>
        <v>14.086753152</v>
      </c>
      <c r="G479" s="4">
        <v>34</v>
      </c>
      <c r="H479" s="4" t="s">
        <v>11</v>
      </c>
      <c r="I479" s="4" t="s">
        <v>19</v>
      </c>
      <c r="J479" s="5">
        <v>5000</v>
      </c>
      <c r="K479" s="5">
        <f t="shared" si="70"/>
        <v>0.35494339583072154</v>
      </c>
      <c r="L479" s="5">
        <f t="shared" si="71"/>
        <v>354.9433958307215</v>
      </c>
      <c r="M479" s="4"/>
    </row>
    <row r="480" spans="1:13" ht="15.9" x14ac:dyDescent="0.4">
      <c r="A480" s="3">
        <v>45091</v>
      </c>
      <c r="B480" s="4" t="s">
        <v>536</v>
      </c>
      <c r="C480" s="4" t="s">
        <v>667</v>
      </c>
      <c r="D480" s="4">
        <v>34400</v>
      </c>
      <c r="E480" s="7">
        <f t="shared" si="72"/>
        <v>15603.5648</v>
      </c>
      <c r="F480" s="7">
        <f t="shared" si="69"/>
        <v>15.603564800000001</v>
      </c>
      <c r="G480" s="4">
        <v>40</v>
      </c>
      <c r="H480" s="4" t="s">
        <v>11</v>
      </c>
      <c r="I480" s="4" t="s">
        <v>19</v>
      </c>
      <c r="J480" s="5">
        <v>4250</v>
      </c>
      <c r="K480" s="5">
        <f t="shared" si="70"/>
        <v>0.27237365656340273</v>
      </c>
      <c r="L480" s="5">
        <f t="shared" si="71"/>
        <v>272.37365656340273</v>
      </c>
      <c r="M480" s="4"/>
    </row>
    <row r="481" spans="1:13" ht="15.9" x14ac:dyDescent="0.4">
      <c r="A481" s="3">
        <v>45091</v>
      </c>
      <c r="B481" s="4" t="s">
        <v>349</v>
      </c>
      <c r="C481" s="4" t="s">
        <v>668</v>
      </c>
      <c r="D481" s="4">
        <v>36520</v>
      </c>
      <c r="E481" s="7">
        <f t="shared" si="72"/>
        <v>16565.179840000001</v>
      </c>
      <c r="F481" s="7">
        <f t="shared" si="69"/>
        <v>16.565179840000003</v>
      </c>
      <c r="G481" s="4">
        <v>44</v>
      </c>
      <c r="H481" s="4" t="s">
        <v>15</v>
      </c>
      <c r="I481" s="4" t="s">
        <v>25</v>
      </c>
      <c r="J481" s="5">
        <v>1555.56</v>
      </c>
      <c r="K481" s="5">
        <f t="shared" si="70"/>
        <v>9.3905409722373406E-2</v>
      </c>
      <c r="L481" s="5">
        <f t="shared" si="71"/>
        <v>93.905409722373392</v>
      </c>
      <c r="M481" s="4"/>
    </row>
    <row r="482" spans="1:13" ht="15.9" x14ac:dyDescent="0.4">
      <c r="A482" s="3">
        <v>45091</v>
      </c>
      <c r="B482" s="4" t="s">
        <v>669</v>
      </c>
      <c r="C482" s="4" t="s">
        <v>670</v>
      </c>
      <c r="D482" s="4">
        <v>34400</v>
      </c>
      <c r="E482" s="7">
        <f t="shared" si="72"/>
        <v>15603.5648</v>
      </c>
      <c r="F482" s="7">
        <f t="shared" si="69"/>
        <v>15.603564800000001</v>
      </c>
      <c r="G482" s="4">
        <v>40</v>
      </c>
      <c r="H482" s="4" t="s">
        <v>11</v>
      </c>
      <c r="I482" s="4" t="s">
        <v>19</v>
      </c>
      <c r="J482" s="5">
        <v>4450</v>
      </c>
      <c r="K482" s="5">
        <f t="shared" si="70"/>
        <v>0.28519124040168053</v>
      </c>
      <c r="L482" s="5">
        <f t="shared" si="71"/>
        <v>285.19124040168049</v>
      </c>
      <c r="M482" s="4"/>
    </row>
    <row r="483" spans="1:13" ht="15.9" x14ac:dyDescent="0.4">
      <c r="A483" s="3">
        <v>45091</v>
      </c>
      <c r="B483" s="4" t="s">
        <v>671</v>
      </c>
      <c r="C483" s="4" t="s">
        <v>672</v>
      </c>
      <c r="D483" s="4">
        <v>11480</v>
      </c>
      <c r="E483" s="7">
        <f t="shared" si="72"/>
        <v>5207.2361600000004</v>
      </c>
      <c r="F483" s="7">
        <f t="shared" si="69"/>
        <v>5.2072361600000008</v>
      </c>
      <c r="G483" s="4">
        <v>14</v>
      </c>
      <c r="H483" s="4" t="s">
        <v>35</v>
      </c>
      <c r="I483" s="4" t="s">
        <v>16</v>
      </c>
      <c r="J483" s="5">
        <v>2267</v>
      </c>
      <c r="K483" s="5">
        <f t="shared" si="70"/>
        <v>0.43535571084988006</v>
      </c>
      <c r="L483" s="5">
        <f t="shared" si="71"/>
        <v>435.35571084988004</v>
      </c>
      <c r="M483" s="4"/>
    </row>
    <row r="484" spans="1:13" ht="15.9" x14ac:dyDescent="0.4">
      <c r="A484" s="3">
        <v>45092</v>
      </c>
      <c r="B484" s="4" t="s">
        <v>113</v>
      </c>
      <c r="C484" s="4" t="s">
        <v>673</v>
      </c>
      <c r="D484" s="4">
        <v>37840</v>
      </c>
      <c r="E484" s="7">
        <f t="shared" si="72"/>
        <v>17163.921279999999</v>
      </c>
      <c r="F484" s="7">
        <f t="shared" si="69"/>
        <v>17.16392128</v>
      </c>
      <c r="G484" s="4">
        <v>44</v>
      </c>
      <c r="H484" s="4" t="s">
        <v>15</v>
      </c>
      <c r="I484" s="4" t="s">
        <v>25</v>
      </c>
      <c r="J484" s="5">
        <v>1650</v>
      </c>
      <c r="K484" s="5">
        <f t="shared" si="70"/>
        <v>9.6131878787083333E-2</v>
      </c>
      <c r="L484" s="5">
        <f t="shared" si="71"/>
        <v>96.131878787083323</v>
      </c>
      <c r="M484" s="4"/>
    </row>
    <row r="485" spans="1:13" ht="15.9" x14ac:dyDescent="0.4">
      <c r="A485" s="3">
        <v>45092</v>
      </c>
      <c r="B485" s="4" t="s">
        <v>113</v>
      </c>
      <c r="C485" s="4" t="s">
        <v>674</v>
      </c>
      <c r="D485" s="4">
        <v>36768</v>
      </c>
      <c r="E485" s="7">
        <f t="shared" si="72"/>
        <v>16677.670655999998</v>
      </c>
      <c r="F485" s="7">
        <f t="shared" si="69"/>
        <v>16.677670656</v>
      </c>
      <c r="G485" s="4">
        <v>44</v>
      </c>
      <c r="H485" s="4" t="s">
        <v>15</v>
      </c>
      <c r="I485" s="4" t="s">
        <v>25</v>
      </c>
      <c r="J485" s="5">
        <v>1650</v>
      </c>
      <c r="K485" s="5">
        <f t="shared" si="70"/>
        <v>9.8934679430570965E-2</v>
      </c>
      <c r="L485" s="5">
        <f t="shared" si="71"/>
        <v>98.934679430570952</v>
      </c>
      <c r="M485" s="4"/>
    </row>
    <row r="486" spans="1:13" ht="15.9" x14ac:dyDescent="0.4">
      <c r="A486" s="3">
        <v>45092</v>
      </c>
      <c r="B486" s="4" t="s">
        <v>375</v>
      </c>
      <c r="C486" s="4" t="s">
        <v>675</v>
      </c>
      <c r="D486" s="4">
        <v>29412</v>
      </c>
      <c r="E486" s="7">
        <f t="shared" si="72"/>
        <v>13341.047903999999</v>
      </c>
      <c r="F486" s="7">
        <f t="shared" si="69"/>
        <v>13.341047904</v>
      </c>
      <c r="G486" s="4">
        <v>36</v>
      </c>
      <c r="H486" s="4" t="s">
        <v>15</v>
      </c>
      <c r="I486" s="4" t="s">
        <v>648</v>
      </c>
      <c r="J486" s="5">
        <v>1600</v>
      </c>
      <c r="K486" s="5">
        <f t="shared" si="70"/>
        <v>0.1199306090131254</v>
      </c>
      <c r="L486" s="5">
        <f t="shared" si="71"/>
        <v>119.93060901312539</v>
      </c>
      <c r="M486" s="4"/>
    </row>
    <row r="487" spans="1:13" ht="15.9" x14ac:dyDescent="0.4">
      <c r="A487" s="3">
        <v>45092</v>
      </c>
      <c r="B487" s="4" t="s">
        <v>113</v>
      </c>
      <c r="C487" s="4" t="s">
        <v>676</v>
      </c>
      <c r="D487" s="4">
        <v>29300</v>
      </c>
      <c r="E487" s="7">
        <f t="shared" si="72"/>
        <v>13290.2456</v>
      </c>
      <c r="F487" s="7">
        <f t="shared" si="69"/>
        <v>13.2902456</v>
      </c>
      <c r="G487" s="4">
        <v>29</v>
      </c>
      <c r="H487" s="4" t="s">
        <v>15</v>
      </c>
      <c r="I487" s="4" t="s">
        <v>25</v>
      </c>
      <c r="J487" s="5">
        <v>1650</v>
      </c>
      <c r="K487" s="5">
        <f t="shared" si="70"/>
        <v>0.1241512045495984</v>
      </c>
      <c r="L487" s="5">
        <f t="shared" si="71"/>
        <v>124.15120454959839</v>
      </c>
      <c r="M487" s="4"/>
    </row>
    <row r="488" spans="1:13" ht="15.9" x14ac:dyDescent="0.4">
      <c r="A488" s="3">
        <v>45092</v>
      </c>
      <c r="B488" s="4" t="s">
        <v>20</v>
      </c>
      <c r="C488" s="4" t="s">
        <v>677</v>
      </c>
      <c r="D488" s="4">
        <v>21424</v>
      </c>
      <c r="E488" s="7">
        <f t="shared" si="72"/>
        <v>9717.7550080000001</v>
      </c>
      <c r="F488" s="7">
        <f t="shared" si="69"/>
        <v>9.717755008000001</v>
      </c>
      <c r="G488" s="4">
        <v>26</v>
      </c>
      <c r="H488" s="4" t="s">
        <v>11</v>
      </c>
      <c r="I488" s="4" t="s">
        <v>19</v>
      </c>
      <c r="J488" s="5">
        <v>3010</v>
      </c>
      <c r="K488" s="5">
        <f t="shared" si="70"/>
        <v>0.30974232191715695</v>
      </c>
      <c r="L488" s="5">
        <f t="shared" si="71"/>
        <v>309.74232191715691</v>
      </c>
      <c r="M488" s="4"/>
    </row>
    <row r="489" spans="1:13" ht="15.9" x14ac:dyDescent="0.4">
      <c r="A489" s="3">
        <v>45092</v>
      </c>
      <c r="B489" s="4" t="s">
        <v>146</v>
      </c>
      <c r="C489" s="4" t="s">
        <v>678</v>
      </c>
      <c r="D489" s="4">
        <v>37840</v>
      </c>
      <c r="E489" s="7">
        <f t="shared" si="72"/>
        <v>17163.921279999999</v>
      </c>
      <c r="F489" s="7">
        <f t="shared" si="69"/>
        <v>17.16392128</v>
      </c>
      <c r="G489" s="4">
        <v>44</v>
      </c>
      <c r="H489" s="4" t="s">
        <v>15</v>
      </c>
      <c r="I489" s="4" t="s">
        <v>19</v>
      </c>
      <c r="J489" s="5">
        <v>4100</v>
      </c>
      <c r="K489" s="5">
        <f t="shared" si="70"/>
        <v>0.2388731533497222</v>
      </c>
      <c r="L489" s="5">
        <f t="shared" si="71"/>
        <v>238.87315334972217</v>
      </c>
      <c r="M489" s="4"/>
    </row>
    <row r="490" spans="1:13" ht="15.9" x14ac:dyDescent="0.4">
      <c r="A490" s="3">
        <v>45092</v>
      </c>
      <c r="B490" s="4" t="s">
        <v>146</v>
      </c>
      <c r="C490" s="4" t="s">
        <v>679</v>
      </c>
      <c r="D490" s="4">
        <v>29428</v>
      </c>
      <c r="E490" s="7">
        <f t="shared" si="72"/>
        <v>13348.305376</v>
      </c>
      <c r="F490" s="7">
        <f t="shared" si="69"/>
        <v>13.348305376000001</v>
      </c>
      <c r="G490" s="4">
        <v>35</v>
      </c>
      <c r="H490" s="4" t="s">
        <v>15</v>
      </c>
      <c r="I490" s="4" t="s">
        <v>19</v>
      </c>
      <c r="J490" s="5">
        <v>4100</v>
      </c>
      <c r="K490" s="5">
        <f t="shared" si="70"/>
        <v>0.30715509456142065</v>
      </c>
      <c r="L490" s="5">
        <f t="shared" si="71"/>
        <v>307.15509456142064</v>
      </c>
      <c r="M490" s="4"/>
    </row>
    <row r="491" spans="1:13" ht="15.9" x14ac:dyDescent="0.4">
      <c r="A491" s="3">
        <v>45092</v>
      </c>
      <c r="B491" s="4" t="s">
        <v>680</v>
      </c>
      <c r="C491" s="4" t="s">
        <v>681</v>
      </c>
      <c r="D491" s="4">
        <v>1380</v>
      </c>
      <c r="E491" s="7">
        <f t="shared" si="72"/>
        <v>625.95695999999998</v>
      </c>
      <c r="F491" s="7">
        <f t="shared" si="69"/>
        <v>0.62595696000000001</v>
      </c>
      <c r="G491" s="4">
        <v>2</v>
      </c>
      <c r="H491" s="4" t="s">
        <v>35</v>
      </c>
      <c r="I491" s="4" t="s">
        <v>161</v>
      </c>
      <c r="J491" s="5">
        <v>499.49</v>
      </c>
      <c r="K491" s="5">
        <f t="shared" si="70"/>
        <v>0.79796221133159062</v>
      </c>
      <c r="L491" s="5">
        <f t="shared" si="71"/>
        <v>797.96221133159065</v>
      </c>
      <c r="M491" s="4"/>
    </row>
    <row r="492" spans="1:13" ht="15.9" x14ac:dyDescent="0.4">
      <c r="A492" s="3">
        <v>45093</v>
      </c>
      <c r="B492" s="4" t="s">
        <v>38</v>
      </c>
      <c r="C492" s="4" t="s">
        <v>682</v>
      </c>
      <c r="D492" s="4">
        <v>40480</v>
      </c>
      <c r="E492" s="7">
        <f t="shared" si="72"/>
        <v>18361.404159999998</v>
      </c>
      <c r="F492" s="7">
        <f t="shared" si="69"/>
        <v>18.361404159999999</v>
      </c>
      <c r="G492" s="4">
        <v>44</v>
      </c>
      <c r="H492" s="4" t="s">
        <v>15</v>
      </c>
      <c r="I492" s="4" t="s">
        <v>25</v>
      </c>
      <c r="J492" s="5">
        <v>3850</v>
      </c>
      <c r="K492" s="5">
        <f t="shared" si="70"/>
        <v>0.2096789530066093</v>
      </c>
      <c r="L492" s="5">
        <f t="shared" si="71"/>
        <v>209.67895300660928</v>
      </c>
      <c r="M492" s="4"/>
    </row>
    <row r="493" spans="1:13" ht="15.9" x14ac:dyDescent="0.4">
      <c r="A493" s="3">
        <v>45093</v>
      </c>
      <c r="B493" s="4" t="s">
        <v>113</v>
      </c>
      <c r="C493" s="4" t="s">
        <v>683</v>
      </c>
      <c r="D493" s="4">
        <v>43164</v>
      </c>
      <c r="E493" s="7">
        <f t="shared" si="72"/>
        <v>19578.845087999998</v>
      </c>
      <c r="F493" s="7">
        <f t="shared" si="69"/>
        <v>19.578845087999998</v>
      </c>
      <c r="G493" s="4">
        <v>44</v>
      </c>
      <c r="H493" s="4" t="s">
        <v>15</v>
      </c>
      <c r="I493" s="4" t="s">
        <v>25</v>
      </c>
      <c r="J493" s="5">
        <v>1650</v>
      </c>
      <c r="K493" s="5">
        <f t="shared" si="70"/>
        <v>8.4274633799074072E-2</v>
      </c>
      <c r="L493" s="5">
        <f t="shared" si="71"/>
        <v>84.274633799074067</v>
      </c>
      <c r="M493" s="4"/>
    </row>
    <row r="494" spans="1:13" ht="15.9" x14ac:dyDescent="0.4">
      <c r="A494" s="3">
        <v>45093</v>
      </c>
      <c r="B494" s="4" t="s">
        <v>113</v>
      </c>
      <c r="C494" s="4" t="s">
        <v>684</v>
      </c>
      <c r="D494" s="4">
        <v>41800</v>
      </c>
      <c r="E494" s="7">
        <f t="shared" si="72"/>
        <v>18960.1456</v>
      </c>
      <c r="F494" s="7">
        <f t="shared" si="69"/>
        <v>18.960145600000001</v>
      </c>
      <c r="G494" s="4">
        <v>44</v>
      </c>
      <c r="H494" s="4" t="s">
        <v>15</v>
      </c>
      <c r="I494" s="4" t="s">
        <v>25</v>
      </c>
      <c r="J494" s="5">
        <v>1650</v>
      </c>
      <c r="K494" s="5">
        <f t="shared" si="70"/>
        <v>8.7024648165149113E-2</v>
      </c>
      <c r="L494" s="5">
        <f t="shared" si="71"/>
        <v>87.024648165149102</v>
      </c>
      <c r="M494" s="4"/>
    </row>
    <row r="495" spans="1:13" ht="15.9" x14ac:dyDescent="0.4">
      <c r="A495" s="3">
        <v>45093</v>
      </c>
      <c r="B495" s="4" t="s">
        <v>191</v>
      </c>
      <c r="C495" s="4" t="s">
        <v>685</v>
      </c>
      <c r="D495" s="4">
        <v>11180</v>
      </c>
      <c r="E495" s="7">
        <f t="shared" si="72"/>
        <v>5071.1585599999999</v>
      </c>
      <c r="F495" s="7">
        <f t="shared" si="69"/>
        <v>5.0711585599999998</v>
      </c>
      <c r="G495" s="4">
        <v>13</v>
      </c>
      <c r="H495" s="4" t="s">
        <v>35</v>
      </c>
      <c r="I495" s="4" t="s">
        <v>16</v>
      </c>
      <c r="J495" s="5">
        <v>1043</v>
      </c>
      <c r="K495" s="5">
        <f t="shared" si="70"/>
        <v>0.20567292220498032</v>
      </c>
      <c r="L495" s="5">
        <f t="shared" si="71"/>
        <v>205.67292220498032</v>
      </c>
      <c r="M495" s="4"/>
    </row>
    <row r="496" spans="1:13" ht="15.9" x14ac:dyDescent="0.4">
      <c r="A496" s="3">
        <v>45093</v>
      </c>
      <c r="B496" s="4" t="s">
        <v>225</v>
      </c>
      <c r="C496" s="4" t="s">
        <v>686</v>
      </c>
      <c r="D496" s="4">
        <v>11400</v>
      </c>
      <c r="E496" s="7">
        <f t="shared" si="72"/>
        <v>5170.9488000000001</v>
      </c>
      <c r="F496" s="7">
        <f t="shared" si="69"/>
        <v>5.1709488000000006</v>
      </c>
      <c r="G496" s="4">
        <v>10</v>
      </c>
      <c r="H496" s="4" t="s">
        <v>35</v>
      </c>
      <c r="I496" s="4" t="s">
        <v>16</v>
      </c>
      <c r="J496" s="5">
        <v>2084</v>
      </c>
      <c r="K496" s="5">
        <f t="shared" si="70"/>
        <v>0.40302081505815723</v>
      </c>
      <c r="L496" s="5">
        <f t="shared" si="71"/>
        <v>403.02081505815715</v>
      </c>
      <c r="M496" s="4"/>
    </row>
    <row r="497" spans="1:13" ht="15.9" x14ac:dyDescent="0.4">
      <c r="A497" s="3">
        <v>45097</v>
      </c>
      <c r="B497" s="4" t="s">
        <v>687</v>
      </c>
      <c r="C497" s="4" t="s">
        <v>688</v>
      </c>
      <c r="D497" s="4">
        <v>31848</v>
      </c>
      <c r="E497" s="7">
        <f t="shared" si="72"/>
        <v>14445.998016</v>
      </c>
      <c r="F497" s="7">
        <f t="shared" si="69"/>
        <v>14.445998015999999</v>
      </c>
      <c r="G497" s="4">
        <v>35</v>
      </c>
      <c r="H497" s="4" t="s">
        <v>15</v>
      </c>
      <c r="I497" s="4" t="s">
        <v>25</v>
      </c>
      <c r="J497" s="5">
        <v>2650</v>
      </c>
      <c r="K497" s="5">
        <f t="shared" si="70"/>
        <v>0.18344180838630403</v>
      </c>
      <c r="L497" s="5">
        <f t="shared" si="71"/>
        <v>183.44180838630402</v>
      </c>
      <c r="M497" s="4"/>
    </row>
    <row r="498" spans="1:13" ht="15.9" x14ac:dyDescent="0.4">
      <c r="A498" s="3">
        <v>45097</v>
      </c>
      <c r="B498" s="4" t="s">
        <v>312</v>
      </c>
      <c r="C498" s="4" t="s">
        <v>689</v>
      </c>
      <c r="D498" s="4">
        <v>26961</v>
      </c>
      <c r="E498" s="7">
        <f t="shared" si="72"/>
        <v>12229.293911999999</v>
      </c>
      <c r="F498" s="7">
        <f t="shared" si="69"/>
        <v>12.229293911999999</v>
      </c>
      <c r="G498" s="4">
        <v>33</v>
      </c>
      <c r="H498" s="4" t="s">
        <v>15</v>
      </c>
      <c r="I498" s="4" t="s">
        <v>648</v>
      </c>
      <c r="J498" s="5">
        <v>1800</v>
      </c>
      <c r="K498" s="5">
        <f t="shared" si="70"/>
        <v>0.14718756560701754</v>
      </c>
      <c r="L498" s="5">
        <f t="shared" si="71"/>
        <v>147.18756560701755</v>
      </c>
      <c r="M498" s="4"/>
    </row>
    <row r="499" spans="1:13" ht="15.9" x14ac:dyDescent="0.4">
      <c r="A499" s="3">
        <v>45098</v>
      </c>
      <c r="B499" s="4" t="s">
        <v>129</v>
      </c>
      <c r="C499" s="4" t="s">
        <v>690</v>
      </c>
      <c r="D499" s="4">
        <v>13778</v>
      </c>
      <c r="E499" s="7">
        <f t="shared" si="72"/>
        <v>6249.5905759999996</v>
      </c>
      <c r="F499" s="7">
        <f t="shared" si="69"/>
        <v>6.2495905760000001</v>
      </c>
      <c r="G499" s="4">
        <v>17</v>
      </c>
      <c r="H499" s="4" t="s">
        <v>35</v>
      </c>
      <c r="I499" s="4" t="s">
        <v>16</v>
      </c>
      <c r="J499" s="5">
        <v>1485</v>
      </c>
      <c r="K499" s="5">
        <f t="shared" si="70"/>
        <v>0.23761556568245826</v>
      </c>
      <c r="L499" s="5">
        <f t="shared" si="71"/>
        <v>237.61556568245823</v>
      </c>
      <c r="M499" s="4"/>
    </row>
    <row r="500" spans="1:13" ht="15.9" x14ac:dyDescent="0.4">
      <c r="A500" s="3">
        <v>45098</v>
      </c>
      <c r="B500" s="4" t="s">
        <v>96</v>
      </c>
      <c r="C500" s="4" t="s">
        <v>691</v>
      </c>
      <c r="D500" s="4">
        <v>950</v>
      </c>
      <c r="E500" s="7">
        <f t="shared" si="72"/>
        <v>430.91239999999999</v>
      </c>
      <c r="F500" s="7">
        <f t="shared" si="69"/>
        <v>0.43091239999999997</v>
      </c>
      <c r="G500" s="4">
        <v>1</v>
      </c>
      <c r="H500" s="4" t="s">
        <v>35</v>
      </c>
      <c r="I500" s="4" t="s">
        <v>12</v>
      </c>
      <c r="J500" s="5"/>
      <c r="K500" s="5">
        <f t="shared" si="70"/>
        <v>0</v>
      </c>
      <c r="L500" s="5">
        <f t="shared" si="71"/>
        <v>0</v>
      </c>
      <c r="M500" s="4"/>
    </row>
    <row r="501" spans="1:13" ht="15.9" x14ac:dyDescent="0.4">
      <c r="A501" s="3">
        <v>45098</v>
      </c>
      <c r="B501" s="4" t="s">
        <v>692</v>
      </c>
      <c r="C501" s="4" t="s">
        <v>693</v>
      </c>
      <c r="D501" s="4">
        <v>5296</v>
      </c>
      <c r="E501" s="7">
        <f t="shared" si="72"/>
        <v>2402.2232319999998</v>
      </c>
      <c r="F501" s="7">
        <f t="shared" si="69"/>
        <v>2.4022232319999999</v>
      </c>
      <c r="G501" s="4">
        <v>7</v>
      </c>
      <c r="H501" s="4" t="s">
        <v>11</v>
      </c>
      <c r="I501" s="4" t="s">
        <v>19</v>
      </c>
      <c r="J501" s="5">
        <v>2500</v>
      </c>
      <c r="K501" s="5">
        <f t="shared" si="70"/>
        <v>1.0407026152680219</v>
      </c>
      <c r="L501" s="5">
        <f t="shared" si="71"/>
        <v>1040.7026152680219</v>
      </c>
      <c r="M501" s="4" t="s">
        <v>697</v>
      </c>
    </row>
    <row r="502" spans="1:13" ht="15.9" x14ac:dyDescent="0.4">
      <c r="A502" s="3">
        <v>45098</v>
      </c>
      <c r="B502" s="4" t="s">
        <v>694</v>
      </c>
      <c r="C502" s="4" t="s">
        <v>695</v>
      </c>
      <c r="D502" s="4">
        <v>2451</v>
      </c>
      <c r="E502" s="7">
        <f t="shared" si="72"/>
        <v>1111.7539919999999</v>
      </c>
      <c r="F502" s="7">
        <f t="shared" si="69"/>
        <v>1.1117539919999999</v>
      </c>
      <c r="G502" s="4">
        <v>3</v>
      </c>
      <c r="H502" s="4" t="s">
        <v>11</v>
      </c>
      <c r="I502" s="4" t="s">
        <v>19</v>
      </c>
      <c r="J502" s="5"/>
      <c r="K502" s="5">
        <f t="shared" si="70"/>
        <v>0</v>
      </c>
      <c r="L502" s="5">
        <f t="shared" si="71"/>
        <v>0</v>
      </c>
      <c r="M502" s="4" t="s">
        <v>696</v>
      </c>
    </row>
    <row r="503" spans="1:13" ht="15.9" x14ac:dyDescent="0.4">
      <c r="A503" s="3">
        <v>45098</v>
      </c>
      <c r="B503" s="4" t="s">
        <v>698</v>
      </c>
      <c r="C503" s="4" t="s">
        <v>699</v>
      </c>
      <c r="D503" s="4">
        <v>25800</v>
      </c>
      <c r="E503" s="7">
        <f t="shared" si="72"/>
        <v>11702.6736</v>
      </c>
      <c r="F503" s="7">
        <f t="shared" si="69"/>
        <v>11.702673600000001</v>
      </c>
      <c r="G503" s="4">
        <v>30</v>
      </c>
      <c r="H503" s="4" t="s">
        <v>11</v>
      </c>
      <c r="I503" s="4" t="s">
        <v>19</v>
      </c>
      <c r="J503" s="5">
        <v>4760</v>
      </c>
      <c r="K503" s="5">
        <f t="shared" si="70"/>
        <v>0.40674466046801477</v>
      </c>
      <c r="L503" s="5">
        <f t="shared" si="71"/>
        <v>406.74466046801473</v>
      </c>
      <c r="M503" s="4"/>
    </row>
    <row r="504" spans="1:13" ht="15.9" x14ac:dyDescent="0.4">
      <c r="A504" s="3">
        <v>45098</v>
      </c>
      <c r="B504" s="4" t="s">
        <v>129</v>
      </c>
      <c r="C504" s="4" t="s">
        <v>700</v>
      </c>
      <c r="D504" s="4">
        <v>36388</v>
      </c>
      <c r="E504" s="7">
        <f t="shared" si="72"/>
        <v>16505.305695999999</v>
      </c>
      <c r="F504" s="7">
        <f t="shared" si="69"/>
        <v>16.505305696000001</v>
      </c>
      <c r="G504" s="4">
        <v>44</v>
      </c>
      <c r="H504" s="4" t="s">
        <v>15</v>
      </c>
      <c r="I504" s="4" t="s">
        <v>25</v>
      </c>
      <c r="J504" s="5">
        <v>2700</v>
      </c>
      <c r="K504" s="5">
        <f t="shared" si="70"/>
        <v>0.1635837620780532</v>
      </c>
      <c r="L504" s="5">
        <f t="shared" si="71"/>
        <v>163.58376207805318</v>
      </c>
      <c r="M504" s="4"/>
    </row>
    <row r="505" spans="1:13" ht="15.9" x14ac:dyDescent="0.4">
      <c r="A505" s="3">
        <v>45098</v>
      </c>
      <c r="B505" s="4" t="s">
        <v>183</v>
      </c>
      <c r="C505" s="4" t="s">
        <v>701</v>
      </c>
      <c r="D505" s="4">
        <v>5600</v>
      </c>
      <c r="E505" s="7">
        <f t="shared" si="72"/>
        <v>2540.1152000000002</v>
      </c>
      <c r="F505" s="7">
        <f t="shared" si="69"/>
        <v>2.5401152000000002</v>
      </c>
      <c r="G505" s="4">
        <v>6</v>
      </c>
      <c r="H505" s="4" t="s">
        <v>35</v>
      </c>
      <c r="I505" s="4" t="s">
        <v>161</v>
      </c>
      <c r="J505" s="5">
        <v>467.09</v>
      </c>
      <c r="K505" s="5">
        <f t="shared" si="70"/>
        <v>0.18388536078993581</v>
      </c>
      <c r="L505" s="5">
        <f t="shared" si="71"/>
        <v>183.88536078993579</v>
      </c>
      <c r="M505" s="4"/>
    </row>
    <row r="506" spans="1:13" ht="15.9" x14ac:dyDescent="0.4">
      <c r="A506" s="3">
        <v>45099</v>
      </c>
      <c r="B506" s="4" t="s">
        <v>191</v>
      </c>
      <c r="C506" s="4" t="s">
        <v>702</v>
      </c>
      <c r="D506" s="4">
        <v>36388</v>
      </c>
      <c r="E506" s="7">
        <f t="shared" si="72"/>
        <v>16505.305695999999</v>
      </c>
      <c r="F506" s="7">
        <f t="shared" si="69"/>
        <v>16.505305696000001</v>
      </c>
      <c r="G506" s="4">
        <v>44</v>
      </c>
      <c r="H506" s="4" t="s">
        <v>15</v>
      </c>
      <c r="I506" s="4" t="s">
        <v>25</v>
      </c>
      <c r="J506" s="5">
        <v>2250</v>
      </c>
      <c r="K506" s="5">
        <f t="shared" si="70"/>
        <v>0.13631980173171099</v>
      </c>
      <c r="L506" s="5">
        <f t="shared" si="71"/>
        <v>136.31980173171098</v>
      </c>
      <c r="M506" s="4"/>
    </row>
    <row r="507" spans="1:13" ht="15.9" x14ac:dyDescent="0.4">
      <c r="A507" s="3">
        <v>45099</v>
      </c>
      <c r="B507" s="4" t="s">
        <v>349</v>
      </c>
      <c r="C507" s="4" t="s">
        <v>703</v>
      </c>
      <c r="D507" s="4">
        <v>36960</v>
      </c>
      <c r="E507" s="7">
        <f t="shared" si="72"/>
        <v>16764.760320000001</v>
      </c>
      <c r="F507" s="7">
        <f t="shared" si="69"/>
        <v>16.764760320000001</v>
      </c>
      <c r="G507" s="4">
        <v>44</v>
      </c>
      <c r="H507" s="4" t="s">
        <v>15</v>
      </c>
      <c r="I507" s="4" t="s">
        <v>25</v>
      </c>
      <c r="J507" s="5">
        <v>1555.56</v>
      </c>
      <c r="K507" s="5">
        <f t="shared" si="70"/>
        <v>9.278748817805943E-2</v>
      </c>
      <c r="L507" s="5">
        <f t="shared" si="71"/>
        <v>92.787488178059434</v>
      </c>
      <c r="M507" s="4"/>
    </row>
    <row r="508" spans="1:13" ht="15.9" x14ac:dyDescent="0.4">
      <c r="A508" s="3">
        <v>45100</v>
      </c>
      <c r="B508" s="4" t="s">
        <v>191</v>
      </c>
      <c r="C508" s="4" t="s">
        <v>704</v>
      </c>
      <c r="D508" s="4">
        <v>13460</v>
      </c>
      <c r="E508" s="7">
        <f t="shared" si="72"/>
        <v>6105.3483200000001</v>
      </c>
      <c r="F508" s="7">
        <f t="shared" si="69"/>
        <v>6.1053483200000001</v>
      </c>
      <c r="G508" s="4">
        <v>15</v>
      </c>
      <c r="H508" s="4" t="s">
        <v>35</v>
      </c>
      <c r="I508" s="4" t="s">
        <v>16</v>
      </c>
      <c r="J508" s="5">
        <v>1174</v>
      </c>
      <c r="K508" s="5">
        <f t="shared" si="70"/>
        <v>0.19229042119582129</v>
      </c>
      <c r="L508" s="5">
        <f t="shared" si="71"/>
        <v>192.2904211958213</v>
      </c>
      <c r="M508" s="4"/>
    </row>
    <row r="509" spans="1:13" ht="15.9" x14ac:dyDescent="0.4">
      <c r="A509" s="3">
        <v>45100</v>
      </c>
      <c r="B509" s="4" t="s">
        <v>255</v>
      </c>
      <c r="C509" s="4" t="s">
        <v>705</v>
      </c>
      <c r="D509" s="4">
        <v>35948</v>
      </c>
      <c r="E509" s="7">
        <f t="shared" si="72"/>
        <v>16305.725216000001</v>
      </c>
      <c r="F509" s="7">
        <f t="shared" si="69"/>
        <v>16.305725216000003</v>
      </c>
      <c r="G509" s="4">
        <v>44</v>
      </c>
      <c r="H509" s="4" t="s">
        <v>15</v>
      </c>
      <c r="I509" s="4" t="s">
        <v>19</v>
      </c>
      <c r="J509" s="5">
        <v>2200</v>
      </c>
      <c r="K509" s="5">
        <f t="shared" si="70"/>
        <v>0.13492193513976605</v>
      </c>
      <c r="L509" s="5">
        <f t="shared" si="71"/>
        <v>134.92193513976605</v>
      </c>
      <c r="M509" s="4"/>
    </row>
    <row r="510" spans="1:13" ht="15.9" x14ac:dyDescent="0.4">
      <c r="A510" s="3">
        <v>45100</v>
      </c>
      <c r="B510" s="4" t="s">
        <v>38</v>
      </c>
      <c r="C510" s="4" t="s">
        <v>706</v>
      </c>
      <c r="D510" s="4">
        <v>14706</v>
      </c>
      <c r="E510" s="7">
        <f t="shared" si="72"/>
        <v>6670.5239519999996</v>
      </c>
      <c r="F510" s="7">
        <f t="shared" si="69"/>
        <v>6.6705239519999999</v>
      </c>
      <c r="G510" s="4">
        <v>18</v>
      </c>
      <c r="H510" s="4" t="s">
        <v>35</v>
      </c>
      <c r="I510" s="4" t="s">
        <v>16</v>
      </c>
      <c r="J510" s="5">
        <v>2402</v>
      </c>
      <c r="K510" s="5">
        <f t="shared" si="70"/>
        <v>0.36009165356190903</v>
      </c>
      <c r="L510" s="5">
        <f t="shared" si="71"/>
        <v>360.09165356190897</v>
      </c>
      <c r="M510" s="4"/>
    </row>
    <row r="511" spans="1:13" ht="15.9" x14ac:dyDescent="0.4">
      <c r="A511" s="3">
        <v>45103</v>
      </c>
      <c r="B511" s="4" t="s">
        <v>146</v>
      </c>
      <c r="C511" s="4" t="s">
        <v>707</v>
      </c>
      <c r="D511" s="4">
        <v>11580</v>
      </c>
      <c r="E511" s="7">
        <f t="shared" si="72"/>
        <v>5252.5953600000003</v>
      </c>
      <c r="F511" s="7">
        <f t="shared" si="69"/>
        <v>5.2525953599999999</v>
      </c>
      <c r="G511" s="4">
        <v>14</v>
      </c>
      <c r="H511" s="4" t="s">
        <v>35</v>
      </c>
      <c r="I511" s="4" t="s">
        <v>16</v>
      </c>
      <c r="J511" s="5">
        <v>2374</v>
      </c>
      <c r="K511" s="5">
        <f t="shared" si="70"/>
        <v>0.45196704434510254</v>
      </c>
      <c r="L511" s="5">
        <f t="shared" si="71"/>
        <v>451.96704434510258</v>
      </c>
      <c r="M511" s="4"/>
    </row>
    <row r="512" spans="1:13" ht="15.9" x14ac:dyDescent="0.4">
      <c r="A512" s="3">
        <v>45103</v>
      </c>
      <c r="B512" s="4" t="s">
        <v>708</v>
      </c>
      <c r="C512" s="4" t="s">
        <v>709</v>
      </c>
      <c r="D512" s="4">
        <v>771</v>
      </c>
      <c r="E512" s="7">
        <f t="shared" si="72"/>
        <v>349.71943199999998</v>
      </c>
      <c r="F512" s="7">
        <f t="shared" si="69"/>
        <v>0.349719432</v>
      </c>
      <c r="G512" s="4">
        <v>1</v>
      </c>
      <c r="H512" s="4" t="s">
        <v>35</v>
      </c>
      <c r="I512" s="4" t="s">
        <v>161</v>
      </c>
      <c r="J512" s="5">
        <v>291.75</v>
      </c>
      <c r="K512" s="5">
        <f t="shared" si="70"/>
        <v>0.83424017456370569</v>
      </c>
      <c r="L512" s="5">
        <f t="shared" si="71"/>
        <v>834.24017456370564</v>
      </c>
      <c r="M512" s="4"/>
    </row>
    <row r="513" spans="1:13" ht="15.9" x14ac:dyDescent="0.4">
      <c r="A513" s="3">
        <v>45103</v>
      </c>
      <c r="B513" s="4" t="s">
        <v>496</v>
      </c>
      <c r="C513" s="4" t="s">
        <v>710</v>
      </c>
      <c r="D513" s="4">
        <v>9924</v>
      </c>
      <c r="E513" s="7">
        <f t="shared" si="72"/>
        <v>4501.4470080000001</v>
      </c>
      <c r="F513" s="7">
        <f t="shared" si="69"/>
        <v>4.5014470080000004</v>
      </c>
      <c r="G513" s="4">
        <v>12</v>
      </c>
      <c r="H513" s="4" t="s">
        <v>35</v>
      </c>
      <c r="I513" s="4" t="s">
        <v>16</v>
      </c>
      <c r="J513" s="5">
        <v>760</v>
      </c>
      <c r="K513" s="5">
        <f t="shared" si="70"/>
        <v>0.16883459888549687</v>
      </c>
      <c r="L513" s="5">
        <f t="shared" si="71"/>
        <v>168.83459888549686</v>
      </c>
      <c r="M513" s="4"/>
    </row>
    <row r="514" spans="1:13" ht="15.9" x14ac:dyDescent="0.4">
      <c r="A514" s="3">
        <v>45103</v>
      </c>
      <c r="B514" s="4" t="s">
        <v>255</v>
      </c>
      <c r="C514" s="4" t="s">
        <v>711</v>
      </c>
      <c r="D514" s="4">
        <v>43700</v>
      </c>
      <c r="E514" s="7">
        <f t="shared" si="72"/>
        <v>19821.970399999998</v>
      </c>
      <c r="F514" s="7">
        <f t="shared" si="69"/>
        <v>19.821970399999998</v>
      </c>
      <c r="G514" s="4">
        <v>46</v>
      </c>
      <c r="H514" s="4" t="s">
        <v>15</v>
      </c>
      <c r="I514" s="4" t="s">
        <v>19</v>
      </c>
      <c r="J514" s="5">
        <v>2200</v>
      </c>
      <c r="K514" s="5">
        <f t="shared" si="70"/>
        <v>0.11098795708019019</v>
      </c>
      <c r="L514" s="5">
        <f t="shared" si="71"/>
        <v>110.98795708019018</v>
      </c>
      <c r="M514" s="4"/>
    </row>
    <row r="515" spans="1:13" ht="15.9" x14ac:dyDescent="0.4">
      <c r="A515" s="3">
        <v>45103</v>
      </c>
      <c r="B515" s="4" t="s">
        <v>255</v>
      </c>
      <c r="C515" s="4" t="s">
        <v>712</v>
      </c>
      <c r="D515" s="4">
        <v>39160</v>
      </c>
      <c r="E515" s="7">
        <f t="shared" si="72"/>
        <v>17762.66272</v>
      </c>
      <c r="F515" s="7">
        <f t="shared" si="69"/>
        <v>17.762662720000002</v>
      </c>
      <c r="G515" s="4">
        <v>44</v>
      </c>
      <c r="H515" s="4" t="s">
        <v>15</v>
      </c>
      <c r="I515" s="4" t="s">
        <v>19</v>
      </c>
      <c r="J515" s="5">
        <v>2200</v>
      </c>
      <c r="K515" s="5">
        <f t="shared" si="70"/>
        <v>0.1238553045047066</v>
      </c>
      <c r="L515" s="5">
        <f t="shared" si="71"/>
        <v>123.8553045047066</v>
      </c>
      <c r="M515" s="4"/>
    </row>
    <row r="516" spans="1:13" ht="15.9" x14ac:dyDescent="0.4">
      <c r="A516" s="3">
        <v>45103</v>
      </c>
      <c r="B516" s="4" t="s">
        <v>171</v>
      </c>
      <c r="C516" s="4" t="s">
        <v>713</v>
      </c>
      <c r="D516" s="4">
        <v>5789</v>
      </c>
      <c r="E516" s="7">
        <f t="shared" si="72"/>
        <v>2625.8440879999998</v>
      </c>
      <c r="F516" s="7">
        <f t="shared" si="69"/>
        <v>2.625844088</v>
      </c>
      <c r="G516" s="4">
        <v>7</v>
      </c>
      <c r="H516" s="4" t="s">
        <v>35</v>
      </c>
      <c r="I516" s="4" t="s">
        <v>12</v>
      </c>
      <c r="J516" s="5"/>
      <c r="K516" s="5">
        <f t="shared" si="70"/>
        <v>0</v>
      </c>
      <c r="L516" s="5">
        <f t="shared" si="71"/>
        <v>0</v>
      </c>
      <c r="M516" s="4"/>
    </row>
    <row r="517" spans="1:13" ht="15.9" x14ac:dyDescent="0.4">
      <c r="A517" s="3">
        <v>45103</v>
      </c>
      <c r="B517" s="4" t="s">
        <v>38</v>
      </c>
      <c r="C517" s="4" t="s">
        <v>714</v>
      </c>
      <c r="D517" s="4">
        <v>35948</v>
      </c>
      <c r="E517" s="7">
        <f t="shared" si="72"/>
        <v>16305.725216000001</v>
      </c>
      <c r="F517" s="7">
        <f t="shared" ref="F517:F548" si="73">E517*0.001</f>
        <v>16.305725216000003</v>
      </c>
      <c r="G517" s="4">
        <v>44</v>
      </c>
      <c r="H517" s="4" t="s">
        <v>15</v>
      </c>
      <c r="I517" s="4" t="s">
        <v>25</v>
      </c>
      <c r="J517" s="5">
        <v>3850</v>
      </c>
      <c r="K517" s="5">
        <f t="shared" ref="K517:K548" si="74">J517/E517</f>
        <v>0.2361133864945906</v>
      </c>
      <c r="L517" s="5">
        <f t="shared" ref="L517:L548" si="75">J517/F517</f>
        <v>236.11338649459057</v>
      </c>
      <c r="M517" s="4"/>
    </row>
    <row r="518" spans="1:13" ht="15.9" x14ac:dyDescent="0.4">
      <c r="A518" s="3">
        <v>45103</v>
      </c>
      <c r="B518" s="4" t="s">
        <v>349</v>
      </c>
      <c r="C518" s="4" t="s">
        <v>715</v>
      </c>
      <c r="D518" s="4">
        <v>17974</v>
      </c>
      <c r="E518" s="7">
        <f t="shared" si="72"/>
        <v>8152.8626080000004</v>
      </c>
      <c r="F518" s="7">
        <f t="shared" si="73"/>
        <v>8.1528626080000013</v>
      </c>
      <c r="G518" s="4">
        <v>22</v>
      </c>
      <c r="H518" s="4" t="s">
        <v>15</v>
      </c>
      <c r="I518" s="4" t="s">
        <v>25</v>
      </c>
      <c r="J518" s="5">
        <v>1555.56</v>
      </c>
      <c r="K518" s="5">
        <f t="shared" si="74"/>
        <v>0.19079924129637679</v>
      </c>
      <c r="L518" s="5">
        <f t="shared" si="75"/>
        <v>190.79924129637678</v>
      </c>
      <c r="M518" s="4"/>
    </row>
    <row r="519" spans="1:13" ht="15.9" x14ac:dyDescent="0.4">
      <c r="A519" s="3">
        <v>45103</v>
      </c>
      <c r="B519" s="4" t="s">
        <v>141</v>
      </c>
      <c r="C519" s="4" t="s">
        <v>716</v>
      </c>
      <c r="D519" s="4">
        <v>28595</v>
      </c>
      <c r="E519" s="7">
        <f t="shared" si="72"/>
        <v>12970.463239999999</v>
      </c>
      <c r="F519" s="7">
        <f t="shared" si="73"/>
        <v>12.970463239999999</v>
      </c>
      <c r="G519" s="4">
        <v>35</v>
      </c>
      <c r="H519" s="4" t="s">
        <v>15</v>
      </c>
      <c r="I519" s="4" t="s">
        <v>648</v>
      </c>
      <c r="J519" s="5">
        <v>1600</v>
      </c>
      <c r="K519" s="5">
        <f t="shared" si="74"/>
        <v>0.12335719784207184</v>
      </c>
      <c r="L519" s="5">
        <f t="shared" si="75"/>
        <v>123.35719784207184</v>
      </c>
      <c r="M519" s="4"/>
    </row>
    <row r="520" spans="1:13" ht="15.9" x14ac:dyDescent="0.4">
      <c r="A520" s="3">
        <v>45103</v>
      </c>
      <c r="B520" s="4" t="s">
        <v>38</v>
      </c>
      <c r="C520" s="4" t="s">
        <v>717</v>
      </c>
      <c r="D520" s="4">
        <v>6616</v>
      </c>
      <c r="E520" s="7">
        <f t="shared" si="72"/>
        <v>3000.9646720000001</v>
      </c>
      <c r="F520" s="7">
        <f t="shared" si="73"/>
        <v>3.0009646720000003</v>
      </c>
      <c r="G520" s="4">
        <v>8</v>
      </c>
      <c r="H520" s="4" t="s">
        <v>35</v>
      </c>
      <c r="I520" s="4" t="s">
        <v>161</v>
      </c>
      <c r="J520" s="5">
        <v>1141.9100000000001</v>
      </c>
      <c r="K520" s="5">
        <f t="shared" si="74"/>
        <v>0.3805143095000087</v>
      </c>
      <c r="L520" s="5">
        <f t="shared" si="75"/>
        <v>380.51430950000866</v>
      </c>
      <c r="M520" s="4"/>
    </row>
    <row r="521" spans="1:13" ht="15.9" x14ac:dyDescent="0.4">
      <c r="A521" s="3">
        <v>45103</v>
      </c>
      <c r="B521" s="4" t="s">
        <v>496</v>
      </c>
      <c r="C521" s="4" t="s">
        <v>718</v>
      </c>
      <c r="D521" s="4">
        <v>36388</v>
      </c>
      <c r="E521" s="7">
        <f t="shared" si="72"/>
        <v>16505.305695999999</v>
      </c>
      <c r="F521" s="7">
        <f t="shared" si="73"/>
        <v>16.505305696000001</v>
      </c>
      <c r="G521" s="4">
        <v>44</v>
      </c>
      <c r="H521" s="4" t="s">
        <v>15</v>
      </c>
      <c r="I521" s="4" t="s">
        <v>648</v>
      </c>
      <c r="J521" s="5">
        <v>1500</v>
      </c>
      <c r="K521" s="5">
        <f t="shared" si="74"/>
        <v>9.0879867821140659E-2</v>
      </c>
      <c r="L521" s="5">
        <f t="shared" si="75"/>
        <v>90.87986782114065</v>
      </c>
      <c r="M521" s="4"/>
    </row>
    <row r="522" spans="1:13" ht="15.9" x14ac:dyDescent="0.4">
      <c r="A522" s="3">
        <v>45103</v>
      </c>
      <c r="B522" s="4" t="s">
        <v>719</v>
      </c>
      <c r="C522" s="4" t="s">
        <v>720</v>
      </c>
      <c r="D522" s="4">
        <v>1300</v>
      </c>
      <c r="E522" s="7">
        <f t="shared" si="72"/>
        <v>589.66959999999995</v>
      </c>
      <c r="F522" s="7">
        <f t="shared" si="73"/>
        <v>0.5896695999999999</v>
      </c>
      <c r="G522" s="4">
        <v>1</v>
      </c>
      <c r="H522" s="4" t="s">
        <v>35</v>
      </c>
      <c r="I522" s="4" t="s">
        <v>161</v>
      </c>
      <c r="J522" s="5">
        <v>256</v>
      </c>
      <c r="K522" s="5">
        <f t="shared" si="74"/>
        <v>0.43414142428234392</v>
      </c>
      <c r="L522" s="5">
        <f t="shared" si="75"/>
        <v>434.14142428234396</v>
      </c>
      <c r="M522" s="4"/>
    </row>
    <row r="523" spans="1:13" ht="15.9" x14ac:dyDescent="0.4">
      <c r="A523" s="3">
        <v>45104</v>
      </c>
      <c r="B523" s="4" t="s">
        <v>692</v>
      </c>
      <c r="C523" s="4" t="s">
        <v>721</v>
      </c>
      <c r="D523" s="4">
        <v>29652</v>
      </c>
      <c r="E523" s="7">
        <f t="shared" si="72"/>
        <v>13449.909984</v>
      </c>
      <c r="F523" s="7">
        <f t="shared" si="73"/>
        <v>13.449909984</v>
      </c>
      <c r="G523" s="4">
        <v>35</v>
      </c>
      <c r="H523" s="4" t="s">
        <v>11</v>
      </c>
      <c r="I523" s="4" t="s">
        <v>19</v>
      </c>
      <c r="J523" s="5">
        <v>3900</v>
      </c>
      <c r="K523" s="5">
        <f t="shared" si="74"/>
        <v>0.28996476590842885</v>
      </c>
      <c r="L523" s="5">
        <f t="shared" si="75"/>
        <v>289.96476590842883</v>
      </c>
      <c r="M523" s="4"/>
    </row>
    <row r="524" spans="1:13" ht="15.9" x14ac:dyDescent="0.4">
      <c r="A524" s="3">
        <v>45104</v>
      </c>
      <c r="B524" s="4" t="s">
        <v>75</v>
      </c>
      <c r="C524" s="4" t="s">
        <v>722</v>
      </c>
      <c r="D524" s="4">
        <v>2240</v>
      </c>
      <c r="E524" s="7">
        <f t="shared" si="72"/>
        <v>1016.04608</v>
      </c>
      <c r="F524" s="7">
        <f t="shared" si="73"/>
        <v>1.01604608</v>
      </c>
      <c r="G524" s="4">
        <v>3</v>
      </c>
      <c r="H524" s="4" t="s">
        <v>35</v>
      </c>
      <c r="I524" s="4" t="s">
        <v>12</v>
      </c>
      <c r="J524" s="5"/>
      <c r="K524" s="5">
        <f t="shared" si="74"/>
        <v>0</v>
      </c>
      <c r="L524" s="5">
        <f t="shared" si="75"/>
        <v>0</v>
      </c>
      <c r="M524" s="4"/>
    </row>
    <row r="525" spans="1:13" ht="15.9" x14ac:dyDescent="0.4">
      <c r="A525" s="3">
        <v>45104</v>
      </c>
      <c r="B525" s="4" t="s">
        <v>723</v>
      </c>
      <c r="C525" s="4" t="s">
        <v>724</v>
      </c>
      <c r="D525" s="4">
        <v>3800</v>
      </c>
      <c r="E525" s="7">
        <f t="shared" si="72"/>
        <v>1723.6496</v>
      </c>
      <c r="F525" s="7">
        <f t="shared" si="73"/>
        <v>1.7236495999999999</v>
      </c>
      <c r="G525" s="4">
        <v>4</v>
      </c>
      <c r="H525" s="4" t="s">
        <v>35</v>
      </c>
      <c r="I525" s="4" t="s">
        <v>12</v>
      </c>
      <c r="J525" s="5"/>
      <c r="K525" s="5">
        <f t="shared" si="74"/>
        <v>0</v>
      </c>
      <c r="L525" s="5">
        <f t="shared" si="75"/>
        <v>0</v>
      </c>
      <c r="M525" s="4"/>
    </row>
    <row r="526" spans="1:13" ht="15.9" x14ac:dyDescent="0.4">
      <c r="A526" s="3">
        <v>45104</v>
      </c>
      <c r="B526" s="4" t="s">
        <v>255</v>
      </c>
      <c r="C526" s="4" t="s">
        <v>725</v>
      </c>
      <c r="D526" s="4">
        <v>43700</v>
      </c>
      <c r="E526" s="7">
        <f t="shared" si="72"/>
        <v>19821.970399999998</v>
      </c>
      <c r="F526" s="7">
        <f t="shared" si="73"/>
        <v>19.821970399999998</v>
      </c>
      <c r="G526" s="4">
        <v>46</v>
      </c>
      <c r="H526" s="4" t="s">
        <v>15</v>
      </c>
      <c r="I526" s="4" t="s">
        <v>19</v>
      </c>
      <c r="J526" s="5">
        <v>2200</v>
      </c>
      <c r="K526" s="5">
        <f t="shared" si="74"/>
        <v>0.11098795708019019</v>
      </c>
      <c r="L526" s="5">
        <f t="shared" si="75"/>
        <v>110.98795708019018</v>
      </c>
      <c r="M526" s="4"/>
    </row>
    <row r="527" spans="1:13" ht="15.9" x14ac:dyDescent="0.4">
      <c r="A527" s="3">
        <v>45104</v>
      </c>
      <c r="B527" s="4" t="s">
        <v>255</v>
      </c>
      <c r="C527" s="4" t="s">
        <v>726</v>
      </c>
      <c r="D527" s="4">
        <v>43700</v>
      </c>
      <c r="E527" s="7">
        <f t="shared" si="72"/>
        <v>19821.970399999998</v>
      </c>
      <c r="F527" s="7">
        <f t="shared" si="73"/>
        <v>19.821970399999998</v>
      </c>
      <c r="G527" s="4">
        <v>46</v>
      </c>
      <c r="H527" s="4" t="s">
        <v>15</v>
      </c>
      <c r="I527" s="4" t="s">
        <v>19</v>
      </c>
      <c r="J527" s="5">
        <v>2200</v>
      </c>
      <c r="K527" s="5">
        <f t="shared" si="74"/>
        <v>0.11098795708019019</v>
      </c>
      <c r="L527" s="5">
        <f t="shared" si="75"/>
        <v>110.98795708019018</v>
      </c>
      <c r="M527" s="4"/>
    </row>
    <row r="528" spans="1:13" ht="15.9" x14ac:dyDescent="0.4">
      <c r="A528" s="3">
        <v>45104</v>
      </c>
      <c r="B528" s="4" t="s">
        <v>727</v>
      </c>
      <c r="C528" s="4" t="s">
        <v>728</v>
      </c>
      <c r="D528" s="4">
        <v>9854</v>
      </c>
      <c r="E528" s="7">
        <f t="shared" si="72"/>
        <v>4469.6955680000001</v>
      </c>
      <c r="F528" s="7">
        <f t="shared" si="73"/>
        <v>4.4696955680000006</v>
      </c>
      <c r="G528" s="4">
        <v>12</v>
      </c>
      <c r="H528" s="4" t="s">
        <v>11</v>
      </c>
      <c r="I528" s="4" t="s">
        <v>19</v>
      </c>
      <c r="J528" s="5">
        <v>2000</v>
      </c>
      <c r="K528" s="5">
        <f t="shared" si="74"/>
        <v>0.44745776744139992</v>
      </c>
      <c r="L528" s="5">
        <f t="shared" si="75"/>
        <v>447.45776744139988</v>
      </c>
      <c r="M528" s="4"/>
    </row>
    <row r="529" spans="1:13" ht="15.9" x14ac:dyDescent="0.4">
      <c r="A529" s="3">
        <v>45104</v>
      </c>
      <c r="B529" s="4" t="s">
        <v>96</v>
      </c>
      <c r="C529" s="4" t="s">
        <v>729</v>
      </c>
      <c r="D529" s="4">
        <v>5700</v>
      </c>
      <c r="E529" s="7">
        <f t="shared" si="72"/>
        <v>2585.4744000000001</v>
      </c>
      <c r="F529" s="7">
        <f t="shared" si="73"/>
        <v>2.5854744000000003</v>
      </c>
      <c r="G529" s="4">
        <v>6</v>
      </c>
      <c r="H529" s="4" t="s">
        <v>35</v>
      </c>
      <c r="I529" s="4" t="s">
        <v>12</v>
      </c>
      <c r="J529" s="5"/>
      <c r="K529" s="5">
        <f t="shared" si="74"/>
        <v>0</v>
      </c>
      <c r="L529" s="5">
        <f t="shared" si="75"/>
        <v>0</v>
      </c>
      <c r="M529" s="4"/>
    </row>
    <row r="530" spans="1:13" ht="15.9" x14ac:dyDescent="0.4">
      <c r="A530" s="3">
        <v>45104</v>
      </c>
      <c r="B530" s="4" t="s">
        <v>730</v>
      </c>
      <c r="C530" s="4" t="s">
        <v>731</v>
      </c>
      <c r="D530" s="4">
        <v>15640</v>
      </c>
      <c r="E530" s="7">
        <f t="shared" si="72"/>
        <v>7094.1788799999995</v>
      </c>
      <c r="F530" s="7">
        <f t="shared" si="73"/>
        <v>7.0941788799999994</v>
      </c>
      <c r="G530" s="4">
        <v>17</v>
      </c>
      <c r="H530" s="4" t="s">
        <v>35</v>
      </c>
      <c r="I530" s="4" t="s">
        <v>16</v>
      </c>
      <c r="J530" s="5">
        <v>2027</v>
      </c>
      <c r="K530" s="5">
        <f t="shared" si="74"/>
        <v>0.28572721865169548</v>
      </c>
      <c r="L530" s="5">
        <f t="shared" si="75"/>
        <v>285.72721865169547</v>
      </c>
      <c r="M530" s="4"/>
    </row>
    <row r="531" spans="1:13" ht="15.9" x14ac:dyDescent="0.4">
      <c r="A531" s="3">
        <v>45105</v>
      </c>
      <c r="B531" s="4" t="s">
        <v>255</v>
      </c>
      <c r="C531" s="4" t="s">
        <v>732</v>
      </c>
      <c r="D531" s="4">
        <v>35948</v>
      </c>
      <c r="E531" s="7">
        <f t="shared" si="72"/>
        <v>16305.725216000001</v>
      </c>
      <c r="F531" s="7">
        <f t="shared" si="73"/>
        <v>16.305725216000003</v>
      </c>
      <c r="G531" s="4">
        <v>44</v>
      </c>
      <c r="H531" s="4" t="s">
        <v>15</v>
      </c>
      <c r="I531" s="4" t="s">
        <v>19</v>
      </c>
      <c r="J531" s="5">
        <v>2200</v>
      </c>
      <c r="K531" s="5">
        <f t="shared" si="74"/>
        <v>0.13492193513976605</v>
      </c>
      <c r="L531" s="5">
        <f t="shared" si="75"/>
        <v>134.92193513976605</v>
      </c>
      <c r="M531" s="4"/>
    </row>
    <row r="532" spans="1:13" ht="15.9" x14ac:dyDescent="0.4">
      <c r="A532" s="3">
        <v>45105</v>
      </c>
      <c r="B532" s="4" t="s">
        <v>255</v>
      </c>
      <c r="C532" s="4" t="s">
        <v>733</v>
      </c>
      <c r="D532" s="4">
        <v>43700</v>
      </c>
      <c r="E532" s="7">
        <f t="shared" si="72"/>
        <v>19821.970399999998</v>
      </c>
      <c r="F532" s="7">
        <f t="shared" si="73"/>
        <v>19.821970399999998</v>
      </c>
      <c r="G532" s="4">
        <v>46</v>
      </c>
      <c r="H532" s="4" t="s">
        <v>15</v>
      </c>
      <c r="I532" s="4" t="s">
        <v>19</v>
      </c>
      <c r="J532" s="5">
        <v>2200</v>
      </c>
      <c r="K532" s="5">
        <f t="shared" si="74"/>
        <v>0.11098795708019019</v>
      </c>
      <c r="L532" s="5">
        <f t="shared" si="75"/>
        <v>110.98795708019018</v>
      </c>
      <c r="M532" s="4"/>
    </row>
    <row r="533" spans="1:13" ht="15.9" x14ac:dyDescent="0.4">
      <c r="A533" s="3">
        <v>45105</v>
      </c>
      <c r="B533" s="4" t="s">
        <v>730</v>
      </c>
      <c r="C533" s="4" t="s">
        <v>734</v>
      </c>
      <c r="D533" s="4">
        <v>36720</v>
      </c>
      <c r="E533" s="7">
        <f t="shared" si="72"/>
        <v>16655.898239999999</v>
      </c>
      <c r="F533" s="7">
        <f t="shared" si="73"/>
        <v>16.655898239999999</v>
      </c>
      <c r="G533" s="4">
        <v>44</v>
      </c>
      <c r="H533" s="4" t="s">
        <v>15</v>
      </c>
      <c r="I533" s="4" t="s">
        <v>648</v>
      </c>
      <c r="J533" s="5">
        <v>4200</v>
      </c>
      <c r="K533" s="5">
        <f t="shared" si="74"/>
        <v>0.25216292387722949</v>
      </c>
      <c r="L533" s="5">
        <f t="shared" si="75"/>
        <v>252.16292387722947</v>
      </c>
      <c r="M533" s="4"/>
    </row>
    <row r="534" spans="1:13" ht="15.9" x14ac:dyDescent="0.4">
      <c r="A534" s="3">
        <v>45105</v>
      </c>
      <c r="B534" s="4" t="s">
        <v>730</v>
      </c>
      <c r="C534" s="4" t="s">
        <v>735</v>
      </c>
      <c r="D534" s="4">
        <v>40560</v>
      </c>
      <c r="E534" s="7">
        <f t="shared" si="72"/>
        <v>18397.69152</v>
      </c>
      <c r="F534" s="7">
        <f t="shared" si="73"/>
        <v>18.397691520000002</v>
      </c>
      <c r="G534" s="4">
        <v>46</v>
      </c>
      <c r="H534" s="4" t="s">
        <v>15</v>
      </c>
      <c r="I534" s="4" t="s">
        <v>648</v>
      </c>
      <c r="J534" s="5">
        <v>4200</v>
      </c>
      <c r="K534" s="5">
        <f t="shared" si="74"/>
        <v>0.22828951096577577</v>
      </c>
      <c r="L534" s="5">
        <f t="shared" si="75"/>
        <v>228.28951096577575</v>
      </c>
      <c r="M534" s="4"/>
    </row>
    <row r="535" spans="1:13" ht="15.9" x14ac:dyDescent="0.4">
      <c r="A535" s="3">
        <v>45105</v>
      </c>
      <c r="B535" s="4" t="s">
        <v>52</v>
      </c>
      <c r="C535" s="4" t="s">
        <v>736</v>
      </c>
      <c r="D535" s="4">
        <v>37800</v>
      </c>
      <c r="E535" s="7">
        <f t="shared" si="72"/>
        <v>17145.777600000001</v>
      </c>
      <c r="F535" s="7">
        <f t="shared" si="73"/>
        <v>17.145777600000002</v>
      </c>
      <c r="G535" s="4">
        <v>45</v>
      </c>
      <c r="H535" s="4" t="s">
        <v>15</v>
      </c>
      <c r="I535" s="4" t="s">
        <v>648</v>
      </c>
      <c r="J535" s="5">
        <v>4200</v>
      </c>
      <c r="K535" s="5">
        <f t="shared" si="74"/>
        <v>0.24495826890930858</v>
      </c>
      <c r="L535" s="5">
        <f t="shared" si="75"/>
        <v>244.95826890930857</v>
      </c>
      <c r="M535" s="4"/>
    </row>
    <row r="536" spans="1:13" ht="15.9" x14ac:dyDescent="0.4">
      <c r="A536" s="3">
        <v>45105</v>
      </c>
      <c r="B536" s="4" t="s">
        <v>737</v>
      </c>
      <c r="C536" s="4" t="s">
        <v>738</v>
      </c>
      <c r="D536" s="4">
        <v>1690</v>
      </c>
      <c r="E536" s="7">
        <f t="shared" si="72"/>
        <v>766.57047999999998</v>
      </c>
      <c r="F536" s="7">
        <f t="shared" si="73"/>
        <v>0.76657047999999994</v>
      </c>
      <c r="G536" s="4">
        <v>2</v>
      </c>
      <c r="H536" s="4" t="s">
        <v>35</v>
      </c>
      <c r="I536" s="4" t="s">
        <v>12</v>
      </c>
      <c r="J536" s="5"/>
      <c r="K536" s="5">
        <f t="shared" si="74"/>
        <v>0</v>
      </c>
      <c r="L536" s="5">
        <f t="shared" si="75"/>
        <v>0</v>
      </c>
      <c r="M536" s="4"/>
    </row>
    <row r="537" spans="1:13" ht="15.9" x14ac:dyDescent="0.4">
      <c r="A537" s="3">
        <v>45105</v>
      </c>
      <c r="B537" s="4" t="s">
        <v>81</v>
      </c>
      <c r="C537" s="4" t="s">
        <v>739</v>
      </c>
      <c r="D537" s="4">
        <v>7200</v>
      </c>
      <c r="E537" s="7">
        <f t="shared" ref="E537:E594" si="76">D537*0.453592</f>
        <v>3265.8624</v>
      </c>
      <c r="F537" s="7">
        <f t="shared" si="73"/>
        <v>3.2658624000000001</v>
      </c>
      <c r="G537" s="4">
        <v>9</v>
      </c>
      <c r="H537" s="4" t="s">
        <v>35</v>
      </c>
      <c r="I537" s="4" t="s">
        <v>54</v>
      </c>
      <c r="J537" s="5">
        <v>1171.95</v>
      </c>
      <c r="K537" s="5">
        <f t="shared" si="74"/>
        <v>0.35884855406033028</v>
      </c>
      <c r="L537" s="5">
        <f t="shared" si="75"/>
        <v>358.84855406033029</v>
      </c>
      <c r="M537" s="4"/>
    </row>
    <row r="538" spans="1:13" ht="15.9" x14ac:dyDescent="0.4">
      <c r="A538" s="3">
        <v>45106</v>
      </c>
      <c r="B538" s="4" t="s">
        <v>625</v>
      </c>
      <c r="C538" s="4" t="s">
        <v>740</v>
      </c>
      <c r="D538" s="4">
        <v>22800</v>
      </c>
      <c r="E538" s="7">
        <f t="shared" si="76"/>
        <v>10341.8976</v>
      </c>
      <c r="F538" s="7">
        <f t="shared" si="73"/>
        <v>10.341897600000001</v>
      </c>
      <c r="G538" s="4">
        <v>24</v>
      </c>
      <c r="H538" s="4" t="s">
        <v>15</v>
      </c>
      <c r="I538" s="4" t="s">
        <v>12</v>
      </c>
      <c r="J538" s="5"/>
      <c r="K538" s="5">
        <f t="shared" si="74"/>
        <v>0</v>
      </c>
      <c r="L538" s="5">
        <f t="shared" si="75"/>
        <v>0</v>
      </c>
      <c r="M538" s="4"/>
    </row>
    <row r="539" spans="1:13" ht="15.9" x14ac:dyDescent="0.4">
      <c r="A539" s="3">
        <v>45106</v>
      </c>
      <c r="B539" s="4" t="s">
        <v>730</v>
      </c>
      <c r="C539" s="4" t="s">
        <v>741</v>
      </c>
      <c r="D539" s="4">
        <v>42750</v>
      </c>
      <c r="E539" s="7">
        <f t="shared" si="76"/>
        <v>19391.058000000001</v>
      </c>
      <c r="F539" s="7">
        <f t="shared" si="73"/>
        <v>19.391058000000001</v>
      </c>
      <c r="G539" s="4">
        <v>45</v>
      </c>
      <c r="H539" s="4" t="s">
        <v>15</v>
      </c>
      <c r="I539" s="4" t="s">
        <v>648</v>
      </c>
      <c r="J539" s="5">
        <v>4200</v>
      </c>
      <c r="K539" s="5">
        <f t="shared" si="74"/>
        <v>0.21659467987770445</v>
      </c>
      <c r="L539" s="5">
        <f t="shared" si="75"/>
        <v>216.59467987770444</v>
      </c>
      <c r="M539" s="4"/>
    </row>
    <row r="540" spans="1:13" ht="15.9" x14ac:dyDescent="0.4">
      <c r="A540" s="3">
        <v>45106</v>
      </c>
      <c r="B540" s="4" t="s">
        <v>52</v>
      </c>
      <c r="C540" s="4" t="s">
        <v>742</v>
      </c>
      <c r="D540" s="4">
        <v>43560</v>
      </c>
      <c r="E540" s="7">
        <f t="shared" si="76"/>
        <v>19758.467519999998</v>
      </c>
      <c r="F540" s="7">
        <f t="shared" si="73"/>
        <v>19.75846752</v>
      </c>
      <c r="G540" s="4">
        <v>44</v>
      </c>
      <c r="H540" s="4" t="s">
        <v>15</v>
      </c>
      <c r="I540" s="4" t="s">
        <v>25</v>
      </c>
      <c r="J540" s="5">
        <v>3050.4</v>
      </c>
      <c r="K540" s="5">
        <f t="shared" si="74"/>
        <v>0.15438444286796593</v>
      </c>
      <c r="L540" s="5">
        <f t="shared" si="75"/>
        <v>154.3844428679659</v>
      </c>
      <c r="M540" s="4"/>
    </row>
    <row r="541" spans="1:13" ht="15.9" x14ac:dyDescent="0.4">
      <c r="A541" s="3">
        <v>45106</v>
      </c>
      <c r="B541" s="4" t="s">
        <v>52</v>
      </c>
      <c r="C541" s="4" t="s">
        <v>743</v>
      </c>
      <c r="D541" s="4">
        <v>35150</v>
      </c>
      <c r="E541" s="7">
        <f t="shared" si="76"/>
        <v>15943.7588</v>
      </c>
      <c r="F541" s="7">
        <f t="shared" si="73"/>
        <v>15.943758799999999</v>
      </c>
      <c r="G541" s="4">
        <v>37</v>
      </c>
      <c r="H541" s="4" t="s">
        <v>15</v>
      </c>
      <c r="I541" s="4" t="s">
        <v>25</v>
      </c>
      <c r="J541" s="5">
        <v>3050.4</v>
      </c>
      <c r="K541" s="5">
        <f t="shared" si="74"/>
        <v>0.19132251298232134</v>
      </c>
      <c r="L541" s="5">
        <f t="shared" si="75"/>
        <v>191.32251298232134</v>
      </c>
      <c r="M541" s="4"/>
    </row>
    <row r="542" spans="1:13" ht="15.9" x14ac:dyDescent="0.4">
      <c r="A542" s="3">
        <v>45106</v>
      </c>
      <c r="B542" s="4" t="s">
        <v>191</v>
      </c>
      <c r="C542" s="4" t="s">
        <v>744</v>
      </c>
      <c r="D542" s="4">
        <v>10751</v>
      </c>
      <c r="E542" s="7">
        <f t="shared" si="76"/>
        <v>4876.5675920000003</v>
      </c>
      <c r="F542" s="7">
        <f t="shared" si="73"/>
        <v>4.8765675920000007</v>
      </c>
      <c r="G542" s="4">
        <v>13</v>
      </c>
      <c r="H542" s="4" t="s">
        <v>35</v>
      </c>
      <c r="I542" s="4" t="s">
        <v>16</v>
      </c>
      <c r="J542" s="5">
        <v>1164</v>
      </c>
      <c r="K542" s="5">
        <f t="shared" si="74"/>
        <v>0.23869247745269434</v>
      </c>
      <c r="L542" s="5">
        <f t="shared" si="75"/>
        <v>238.69247745269433</v>
      </c>
      <c r="M542" s="4"/>
    </row>
    <row r="543" spans="1:13" ht="15.9" x14ac:dyDescent="0.4">
      <c r="A543" s="3">
        <v>45106</v>
      </c>
      <c r="B543" s="4" t="s">
        <v>20</v>
      </c>
      <c r="C543" s="4" t="s">
        <v>745</v>
      </c>
      <c r="D543" s="4">
        <v>36960</v>
      </c>
      <c r="E543" s="7">
        <f t="shared" si="76"/>
        <v>16764.760320000001</v>
      </c>
      <c r="F543" s="7">
        <f t="shared" si="73"/>
        <v>16.764760320000001</v>
      </c>
      <c r="G543" s="4">
        <v>44</v>
      </c>
      <c r="H543" s="4" t="s">
        <v>11</v>
      </c>
      <c r="I543" s="4" t="s">
        <v>19</v>
      </c>
      <c r="J543" s="5">
        <v>3010</v>
      </c>
      <c r="K543" s="5">
        <f t="shared" si="74"/>
        <v>0.17954327664375461</v>
      </c>
      <c r="L543" s="5">
        <f t="shared" si="75"/>
        <v>179.54327664375461</v>
      </c>
      <c r="M543" s="4"/>
    </row>
    <row r="544" spans="1:13" ht="15.9" x14ac:dyDescent="0.4">
      <c r="A544" s="3">
        <v>45107</v>
      </c>
      <c r="B544" s="4" t="s">
        <v>52</v>
      </c>
      <c r="C544" s="4" t="s">
        <v>746</v>
      </c>
      <c r="D544" s="4">
        <v>40850</v>
      </c>
      <c r="E544" s="7">
        <f t="shared" si="76"/>
        <v>18529.233199999999</v>
      </c>
      <c r="F544" s="7">
        <f t="shared" si="73"/>
        <v>18.5292332</v>
      </c>
      <c r="G544" s="4">
        <v>43</v>
      </c>
      <c r="H544" s="4" t="s">
        <v>15</v>
      </c>
      <c r="I544" s="4" t="s">
        <v>25</v>
      </c>
      <c r="J544" s="5">
        <v>3050.4</v>
      </c>
      <c r="K544" s="5">
        <f t="shared" si="74"/>
        <v>0.16462634838013698</v>
      </c>
      <c r="L544" s="5">
        <f t="shared" si="75"/>
        <v>164.62634838013696</v>
      </c>
      <c r="M544" s="4"/>
    </row>
    <row r="545" spans="1:13" ht="15.9" x14ac:dyDescent="0.4">
      <c r="A545" s="3">
        <v>45107</v>
      </c>
      <c r="B545" s="4" t="s">
        <v>52</v>
      </c>
      <c r="C545" s="4" t="s">
        <v>747</v>
      </c>
      <c r="D545" s="4">
        <v>35150</v>
      </c>
      <c r="E545" s="7">
        <f t="shared" si="76"/>
        <v>15943.7588</v>
      </c>
      <c r="F545" s="7">
        <f t="shared" si="73"/>
        <v>15.943758799999999</v>
      </c>
      <c r="G545" s="4">
        <v>37</v>
      </c>
      <c r="H545" s="4" t="s">
        <v>15</v>
      </c>
      <c r="I545" s="4" t="s">
        <v>25</v>
      </c>
      <c r="J545" s="5">
        <v>3050.4</v>
      </c>
      <c r="K545" s="5">
        <f t="shared" si="74"/>
        <v>0.19132251298232134</v>
      </c>
      <c r="L545" s="5">
        <f t="shared" si="75"/>
        <v>191.32251298232134</v>
      </c>
      <c r="M545" s="4"/>
    </row>
    <row r="546" spans="1:13" ht="15.9" x14ac:dyDescent="0.4">
      <c r="A546" s="3">
        <v>45107</v>
      </c>
      <c r="B546" s="4" t="s">
        <v>52</v>
      </c>
      <c r="C546" s="4" t="s">
        <v>748</v>
      </c>
      <c r="D546" s="4">
        <v>30170</v>
      </c>
      <c r="E546" s="7">
        <f t="shared" si="76"/>
        <v>13684.870639999999</v>
      </c>
      <c r="F546" s="7">
        <f t="shared" si="73"/>
        <v>13.68487064</v>
      </c>
      <c r="G546" s="4">
        <v>37</v>
      </c>
      <c r="H546" s="4" t="s">
        <v>15</v>
      </c>
      <c r="I546" s="4" t="s">
        <v>25</v>
      </c>
      <c r="J546" s="5">
        <v>3050.4</v>
      </c>
      <c r="K546" s="5">
        <f t="shared" si="74"/>
        <v>0.22290309351437174</v>
      </c>
      <c r="L546" s="5">
        <f t="shared" si="75"/>
        <v>222.90309351437173</v>
      </c>
      <c r="M546" s="4"/>
    </row>
    <row r="547" spans="1:13" ht="15.9" x14ac:dyDescent="0.4">
      <c r="A547" s="3">
        <v>45107</v>
      </c>
      <c r="B547" s="4" t="s">
        <v>749</v>
      </c>
      <c r="C547" s="4" t="s">
        <v>750</v>
      </c>
      <c r="D547" s="4">
        <v>12255</v>
      </c>
      <c r="E547" s="7">
        <f t="shared" si="76"/>
        <v>5558.7699599999996</v>
      </c>
      <c r="F547" s="7">
        <f t="shared" si="73"/>
        <v>5.5587699599999993</v>
      </c>
      <c r="G547" s="4">
        <v>15</v>
      </c>
      <c r="H547" s="4" t="s">
        <v>35</v>
      </c>
      <c r="I547" s="4" t="s">
        <v>16</v>
      </c>
      <c r="J547" s="5">
        <v>1583</v>
      </c>
      <c r="K547" s="5">
        <f t="shared" si="74"/>
        <v>0.28477523110166625</v>
      </c>
      <c r="L547" s="5">
        <f t="shared" si="75"/>
        <v>284.77523110166629</v>
      </c>
      <c r="M547" s="4"/>
    </row>
    <row r="548" spans="1:13" ht="15.9" x14ac:dyDescent="0.4">
      <c r="A548" s="3">
        <v>45107</v>
      </c>
      <c r="B548" s="4" t="s">
        <v>751</v>
      </c>
      <c r="C548" s="4" t="s">
        <v>752</v>
      </c>
      <c r="D548" s="4">
        <v>9924</v>
      </c>
      <c r="E548" s="7">
        <f t="shared" si="76"/>
        <v>4501.4470080000001</v>
      </c>
      <c r="F548" s="7">
        <f t="shared" si="73"/>
        <v>4.5014470080000004</v>
      </c>
      <c r="G548" s="4">
        <v>12</v>
      </c>
      <c r="H548" s="4" t="s">
        <v>35</v>
      </c>
      <c r="I548" s="4" t="s">
        <v>16</v>
      </c>
      <c r="J548" s="5">
        <v>2496</v>
      </c>
      <c r="K548" s="5">
        <f t="shared" si="74"/>
        <v>0.55448836686605285</v>
      </c>
      <c r="L548" s="5">
        <f t="shared" si="75"/>
        <v>554.48836686605284</v>
      </c>
      <c r="M548" s="4"/>
    </row>
    <row r="549" spans="1:13" ht="15.9" x14ac:dyDescent="0.4">
      <c r="A549" s="3">
        <v>45112</v>
      </c>
      <c r="B549" s="4" t="s">
        <v>753</v>
      </c>
      <c r="C549" s="4" t="s">
        <v>754</v>
      </c>
      <c r="D549" s="4">
        <v>4600</v>
      </c>
      <c r="E549" s="7">
        <f t="shared" si="76"/>
        <v>2086.5232000000001</v>
      </c>
      <c r="F549" s="7">
        <f t="shared" ref="F549:F594" si="77">E549*0.001</f>
        <v>2.0865232000000002</v>
      </c>
      <c r="G549" s="4">
        <v>5</v>
      </c>
      <c r="H549" s="4" t="s">
        <v>35</v>
      </c>
      <c r="I549" s="4" t="s">
        <v>161</v>
      </c>
      <c r="J549" s="5">
        <v>561.52</v>
      </c>
      <c r="K549" s="5">
        <f t="shared" ref="K549:K594" si="78">J549/E549</f>
        <v>0.26911754443947711</v>
      </c>
      <c r="L549" s="5">
        <f t="shared" ref="L549:L594" si="79">J549/F549</f>
        <v>269.11754443947706</v>
      </c>
      <c r="M549" s="4"/>
    </row>
    <row r="550" spans="1:13" ht="15.9" x14ac:dyDescent="0.4">
      <c r="A550" s="3">
        <v>45113</v>
      </c>
      <c r="B550" s="4" t="s">
        <v>276</v>
      </c>
      <c r="C550" s="4" t="s">
        <v>755</v>
      </c>
      <c r="D550" s="4">
        <v>35280</v>
      </c>
      <c r="E550" s="7">
        <f t="shared" si="76"/>
        <v>16002.725759999999</v>
      </c>
      <c r="F550" s="7">
        <f t="shared" si="77"/>
        <v>16.002725760000001</v>
      </c>
      <c r="G550" s="4">
        <v>48</v>
      </c>
      <c r="H550" s="4" t="s">
        <v>756</v>
      </c>
      <c r="I550" s="4" t="s">
        <v>25</v>
      </c>
      <c r="J550" s="5">
        <v>3333.33</v>
      </c>
      <c r="K550" s="5">
        <f t="shared" si="78"/>
        <v>0.20829763941414942</v>
      </c>
      <c r="L550" s="5">
        <f t="shared" si="79"/>
        <v>208.29763941414939</v>
      </c>
      <c r="M550" s="4"/>
    </row>
    <row r="551" spans="1:13" ht="15.9" x14ac:dyDescent="0.4">
      <c r="A551" s="3">
        <v>45113</v>
      </c>
      <c r="B551" s="4" t="s">
        <v>757</v>
      </c>
      <c r="C551" s="4" t="s">
        <v>758</v>
      </c>
      <c r="D551" s="4">
        <v>33080</v>
      </c>
      <c r="E551" s="7">
        <f t="shared" si="76"/>
        <v>15004.82336</v>
      </c>
      <c r="F551" s="7">
        <f t="shared" si="77"/>
        <v>15.004823360000001</v>
      </c>
      <c r="G551" s="4">
        <v>40</v>
      </c>
      <c r="H551" s="4" t="s">
        <v>11</v>
      </c>
      <c r="I551" s="4" t="s">
        <v>19</v>
      </c>
      <c r="J551" s="5">
        <v>5400</v>
      </c>
      <c r="K551" s="5">
        <f t="shared" si="78"/>
        <v>0.35988427657171701</v>
      </c>
      <c r="L551" s="5">
        <f t="shared" si="79"/>
        <v>359.88427657171695</v>
      </c>
      <c r="M551" s="4"/>
    </row>
    <row r="552" spans="1:13" ht="15.9" x14ac:dyDescent="0.4">
      <c r="A552" s="3">
        <v>45113</v>
      </c>
      <c r="B552" s="4" t="s">
        <v>759</v>
      </c>
      <c r="C552" s="4" t="s">
        <v>760</v>
      </c>
      <c r="D552" s="4">
        <v>29280</v>
      </c>
      <c r="E552" s="7">
        <f t="shared" si="76"/>
        <v>13281.17376</v>
      </c>
      <c r="F552" s="7">
        <f t="shared" si="77"/>
        <v>13.28117376</v>
      </c>
      <c r="G552" s="4">
        <v>30</v>
      </c>
      <c r="H552" s="4" t="s">
        <v>11</v>
      </c>
      <c r="I552" s="4" t="s">
        <v>19</v>
      </c>
      <c r="J552" s="5">
        <v>5000</v>
      </c>
      <c r="K552" s="5">
        <f t="shared" si="78"/>
        <v>0.37647274934832264</v>
      </c>
      <c r="L552" s="5">
        <f t="shared" si="79"/>
        <v>376.47274934832268</v>
      </c>
      <c r="M552" s="4"/>
    </row>
    <row r="553" spans="1:13" ht="15.9" x14ac:dyDescent="0.4">
      <c r="A553" s="3">
        <v>45113</v>
      </c>
      <c r="B553" s="4" t="s">
        <v>276</v>
      </c>
      <c r="C553" s="4" t="s">
        <v>761</v>
      </c>
      <c r="D553" s="4">
        <v>37008</v>
      </c>
      <c r="E553" s="7">
        <f t="shared" si="76"/>
        <v>16786.532736000001</v>
      </c>
      <c r="F553" s="7">
        <f t="shared" si="77"/>
        <v>16.786532736000002</v>
      </c>
      <c r="G553" s="4">
        <v>48</v>
      </c>
      <c r="H553" s="4" t="s">
        <v>756</v>
      </c>
      <c r="I553" s="4" t="s">
        <v>25</v>
      </c>
      <c r="J553" s="5">
        <v>3333.33</v>
      </c>
      <c r="K553" s="5">
        <f t="shared" si="78"/>
        <v>0.19857167959714631</v>
      </c>
      <c r="L553" s="5">
        <f t="shared" si="79"/>
        <v>198.5716795971463</v>
      </c>
      <c r="M553" s="4"/>
    </row>
    <row r="554" spans="1:13" ht="15.9" x14ac:dyDescent="0.4">
      <c r="A554" s="3">
        <v>45114</v>
      </c>
      <c r="B554" s="4" t="s">
        <v>276</v>
      </c>
      <c r="C554" s="4" t="s">
        <v>762</v>
      </c>
      <c r="D554" s="4">
        <v>35280</v>
      </c>
      <c r="E554" s="7">
        <f t="shared" si="76"/>
        <v>16002.725759999999</v>
      </c>
      <c r="F554" s="7">
        <f t="shared" si="77"/>
        <v>16.002725760000001</v>
      </c>
      <c r="G554" s="4">
        <v>48</v>
      </c>
      <c r="H554" s="4" t="s">
        <v>756</v>
      </c>
      <c r="I554" s="4" t="s">
        <v>25</v>
      </c>
      <c r="J554" s="5">
        <v>3333.33</v>
      </c>
      <c r="K554" s="5">
        <f t="shared" si="78"/>
        <v>0.20829763941414942</v>
      </c>
      <c r="L554" s="5">
        <f t="shared" si="79"/>
        <v>208.29763941414939</v>
      </c>
      <c r="M554" s="4"/>
    </row>
    <row r="555" spans="1:13" ht="15.9" x14ac:dyDescent="0.4">
      <c r="A555" s="3">
        <v>45114</v>
      </c>
      <c r="B555" s="4" t="s">
        <v>276</v>
      </c>
      <c r="C555" s="4" t="s">
        <v>763</v>
      </c>
      <c r="D555" s="4">
        <v>35520</v>
      </c>
      <c r="E555" s="7">
        <f t="shared" si="76"/>
        <v>16111.58784</v>
      </c>
      <c r="F555" s="7">
        <f t="shared" si="77"/>
        <v>16.111587840000002</v>
      </c>
      <c r="G555" s="4">
        <v>48</v>
      </c>
      <c r="H555" s="4" t="s">
        <v>756</v>
      </c>
      <c r="I555" s="4" t="s">
        <v>25</v>
      </c>
      <c r="J555" s="5">
        <v>3333.33</v>
      </c>
      <c r="K555" s="5">
        <f t="shared" si="78"/>
        <v>0.20689022293162138</v>
      </c>
      <c r="L555" s="5">
        <f t="shared" si="79"/>
        <v>206.89022293162134</v>
      </c>
      <c r="M555" s="4"/>
    </row>
    <row r="556" spans="1:13" ht="15.9" x14ac:dyDescent="0.4">
      <c r="A556" s="3">
        <v>45114</v>
      </c>
      <c r="B556" s="4" t="s">
        <v>276</v>
      </c>
      <c r="C556" s="4" t="s">
        <v>764</v>
      </c>
      <c r="D556" s="4">
        <v>14700</v>
      </c>
      <c r="E556" s="7">
        <f t="shared" si="76"/>
        <v>6667.8023999999996</v>
      </c>
      <c r="F556" s="7">
        <f t="shared" si="77"/>
        <v>6.6678023999999994</v>
      </c>
      <c r="G556" s="4">
        <v>20</v>
      </c>
      <c r="H556" s="4" t="s">
        <v>35</v>
      </c>
      <c r="I556" s="4" t="s">
        <v>16</v>
      </c>
      <c r="J556" s="5">
        <v>2100</v>
      </c>
      <c r="K556" s="5">
        <f t="shared" si="78"/>
        <v>0.31494634574053965</v>
      </c>
      <c r="L556" s="5">
        <f t="shared" si="79"/>
        <v>314.9463457405397</v>
      </c>
      <c r="M556" s="4"/>
    </row>
    <row r="557" spans="1:13" ht="15.9" x14ac:dyDescent="0.4">
      <c r="A557" s="3">
        <v>45114</v>
      </c>
      <c r="B557" s="4" t="s">
        <v>276</v>
      </c>
      <c r="C557" s="4" t="s">
        <v>765</v>
      </c>
      <c r="D557" s="4">
        <v>37008</v>
      </c>
      <c r="E557" s="7">
        <f t="shared" si="76"/>
        <v>16786.532736000001</v>
      </c>
      <c r="F557" s="7">
        <f t="shared" si="77"/>
        <v>16.786532736000002</v>
      </c>
      <c r="G557" s="4">
        <v>48</v>
      </c>
      <c r="H557" s="4" t="s">
        <v>756</v>
      </c>
      <c r="I557" s="4" t="s">
        <v>25</v>
      </c>
      <c r="J557" s="5">
        <v>3333.33</v>
      </c>
      <c r="K557" s="5">
        <f t="shared" si="78"/>
        <v>0.19857167959714631</v>
      </c>
      <c r="L557" s="5">
        <f t="shared" si="79"/>
        <v>198.5716795971463</v>
      </c>
      <c r="M557" s="4"/>
    </row>
    <row r="558" spans="1:13" ht="15.9" x14ac:dyDescent="0.4">
      <c r="A558" s="3">
        <v>45117</v>
      </c>
      <c r="B558" s="4" t="s">
        <v>83</v>
      </c>
      <c r="C558" s="4" t="s">
        <v>766</v>
      </c>
      <c r="D558" s="4">
        <v>37576</v>
      </c>
      <c r="E558" s="7">
        <f t="shared" si="76"/>
        <v>17044.172992</v>
      </c>
      <c r="F558" s="7">
        <f t="shared" si="77"/>
        <v>17.044172992</v>
      </c>
      <c r="G558" s="4">
        <v>44</v>
      </c>
      <c r="H558" s="4" t="s">
        <v>11</v>
      </c>
      <c r="I558" s="4" t="s">
        <v>19</v>
      </c>
      <c r="J558" s="5">
        <v>5850</v>
      </c>
      <c r="K558" s="5">
        <f t="shared" si="78"/>
        <v>0.34322580525002921</v>
      </c>
      <c r="L558" s="5">
        <f t="shared" si="79"/>
        <v>343.22580525002923</v>
      </c>
      <c r="M558" s="4"/>
    </row>
    <row r="559" spans="1:13" ht="15.9" x14ac:dyDescent="0.4">
      <c r="A559" s="3">
        <v>45117</v>
      </c>
      <c r="B559" s="4" t="s">
        <v>276</v>
      </c>
      <c r="C559" s="4" t="s">
        <v>767</v>
      </c>
      <c r="D559" s="4">
        <v>30135</v>
      </c>
      <c r="E559" s="7">
        <f t="shared" si="76"/>
        <v>13668.994919999999</v>
      </c>
      <c r="F559" s="7">
        <f t="shared" si="77"/>
        <v>13.668994919999999</v>
      </c>
      <c r="G559" s="4">
        <v>41</v>
      </c>
      <c r="H559" s="4" t="s">
        <v>756</v>
      </c>
      <c r="I559" s="4" t="s">
        <v>25</v>
      </c>
      <c r="J559" s="5">
        <v>3333.33</v>
      </c>
      <c r="K559" s="5">
        <f t="shared" si="78"/>
        <v>0.24386065102144322</v>
      </c>
      <c r="L559" s="5">
        <f t="shared" si="79"/>
        <v>243.8606510214432</v>
      </c>
      <c r="M559" s="4"/>
    </row>
    <row r="560" spans="1:13" ht="15.9" x14ac:dyDescent="0.4">
      <c r="A560" s="3">
        <v>45117</v>
      </c>
      <c r="B560" s="4" t="s">
        <v>13</v>
      </c>
      <c r="C560" s="4" t="s">
        <v>768</v>
      </c>
      <c r="D560" s="4">
        <v>2937</v>
      </c>
      <c r="E560" s="7">
        <f t="shared" si="76"/>
        <v>1332.1997039999999</v>
      </c>
      <c r="F560" s="7">
        <f t="shared" si="77"/>
        <v>1.332199704</v>
      </c>
      <c r="G560" s="4">
        <v>4</v>
      </c>
      <c r="H560" s="4" t="s">
        <v>11</v>
      </c>
      <c r="I560" s="4" t="s">
        <v>19</v>
      </c>
      <c r="J560" s="5">
        <v>900</v>
      </c>
      <c r="K560" s="5">
        <f t="shared" si="78"/>
        <v>0.67557438820749061</v>
      </c>
      <c r="L560" s="5">
        <f t="shared" si="79"/>
        <v>675.57438820749053</v>
      </c>
      <c r="M560" s="4"/>
    </row>
    <row r="561" spans="1:13" ht="15.9" x14ac:dyDescent="0.4">
      <c r="A561" s="3">
        <v>45117</v>
      </c>
      <c r="B561" s="4" t="s">
        <v>60</v>
      </c>
      <c r="C561" s="4" t="s">
        <v>769</v>
      </c>
      <c r="D561" s="4">
        <v>1410</v>
      </c>
      <c r="E561" s="7">
        <f t="shared" si="76"/>
        <v>639.56471999999997</v>
      </c>
      <c r="F561" s="7">
        <f t="shared" si="77"/>
        <v>0.63956471999999998</v>
      </c>
      <c r="G561" s="4">
        <v>2</v>
      </c>
      <c r="H561" s="4" t="s">
        <v>35</v>
      </c>
      <c r="I561" s="4" t="s">
        <v>161</v>
      </c>
      <c r="J561" s="5">
        <v>294.69</v>
      </c>
      <c r="K561" s="5">
        <f t="shared" si="78"/>
        <v>0.4607665038184095</v>
      </c>
      <c r="L561" s="5">
        <f t="shared" si="79"/>
        <v>460.76650381840949</v>
      </c>
      <c r="M561" s="4"/>
    </row>
    <row r="562" spans="1:13" ht="15.9" x14ac:dyDescent="0.4">
      <c r="A562" s="3">
        <v>45117</v>
      </c>
      <c r="B562" s="4" t="s">
        <v>52</v>
      </c>
      <c r="C562" s="4" t="s">
        <v>770</v>
      </c>
      <c r="D562" s="4">
        <v>34197</v>
      </c>
      <c r="E562" s="7">
        <f t="shared" si="76"/>
        <v>15511.485623999999</v>
      </c>
      <c r="F562" s="7">
        <f t="shared" si="77"/>
        <v>15.511485623999999</v>
      </c>
      <c r="G562" s="4">
        <v>42</v>
      </c>
      <c r="H562" s="4" t="s">
        <v>756</v>
      </c>
      <c r="I562" s="4" t="s">
        <v>648</v>
      </c>
      <c r="J562" s="5">
        <v>2800</v>
      </c>
      <c r="K562" s="5">
        <f t="shared" si="78"/>
        <v>0.18051140089816584</v>
      </c>
      <c r="L562" s="5">
        <f t="shared" si="79"/>
        <v>180.51140089816585</v>
      </c>
      <c r="M562" s="4"/>
    </row>
    <row r="563" spans="1:13" ht="15.9" x14ac:dyDescent="0.4">
      <c r="A563" s="3">
        <v>45117</v>
      </c>
      <c r="B563" s="4" t="s">
        <v>52</v>
      </c>
      <c r="C563" s="4" t="s">
        <v>771</v>
      </c>
      <c r="D563" s="4">
        <v>23693</v>
      </c>
      <c r="E563" s="7">
        <f t="shared" si="76"/>
        <v>10746.955255999999</v>
      </c>
      <c r="F563" s="7">
        <f t="shared" si="77"/>
        <v>10.746955256</v>
      </c>
      <c r="G563" s="4">
        <v>29</v>
      </c>
      <c r="H563" s="4" t="s">
        <v>756</v>
      </c>
      <c r="I563" s="4" t="s">
        <v>648</v>
      </c>
      <c r="J563" s="5">
        <v>2800</v>
      </c>
      <c r="K563" s="5">
        <f t="shared" si="78"/>
        <v>0.26053890923541034</v>
      </c>
      <c r="L563" s="5">
        <f t="shared" si="79"/>
        <v>260.53890923541036</v>
      </c>
      <c r="M563" s="4"/>
    </row>
    <row r="564" spans="1:13" ht="15.9" x14ac:dyDescent="0.4">
      <c r="A564" s="3">
        <v>45117</v>
      </c>
      <c r="B564" s="4" t="s">
        <v>168</v>
      </c>
      <c r="C564" s="4" t="s">
        <v>772</v>
      </c>
      <c r="D564" s="4">
        <v>13152</v>
      </c>
      <c r="E564" s="7">
        <f t="shared" si="76"/>
        <v>5965.6419839999999</v>
      </c>
      <c r="F564" s="7">
        <f t="shared" si="77"/>
        <v>5.9656419840000003</v>
      </c>
      <c r="G564" s="4">
        <v>16</v>
      </c>
      <c r="H564" s="4" t="s">
        <v>35</v>
      </c>
      <c r="I564" s="4" t="s">
        <v>16</v>
      </c>
      <c r="J564" s="5">
        <v>1579</v>
      </c>
      <c r="K564" s="5">
        <f t="shared" si="78"/>
        <v>0.26468232660205177</v>
      </c>
      <c r="L564" s="5">
        <f t="shared" si="79"/>
        <v>264.68232660205172</v>
      </c>
      <c r="M564" s="4"/>
    </row>
    <row r="565" spans="1:13" ht="15.9" x14ac:dyDescent="0.4">
      <c r="A565" s="3">
        <v>45118</v>
      </c>
      <c r="B565" s="4" t="s">
        <v>536</v>
      </c>
      <c r="C565" s="4" t="s">
        <v>773</v>
      </c>
      <c r="D565" s="4">
        <v>33080</v>
      </c>
      <c r="E565" s="7">
        <f t="shared" si="76"/>
        <v>15004.82336</v>
      </c>
      <c r="F565" s="7">
        <f t="shared" si="77"/>
        <v>15.004823360000001</v>
      </c>
      <c r="G565" s="4">
        <v>40</v>
      </c>
      <c r="H565" s="4" t="s">
        <v>11</v>
      </c>
      <c r="I565" s="4" t="s">
        <v>19</v>
      </c>
      <c r="J565" s="5">
        <v>4250</v>
      </c>
      <c r="K565" s="5">
        <f t="shared" si="78"/>
        <v>0.28324225470922171</v>
      </c>
      <c r="L565" s="5">
        <f t="shared" si="79"/>
        <v>283.2422547092217</v>
      </c>
      <c r="M565" s="4"/>
    </row>
    <row r="566" spans="1:13" ht="15.9" x14ac:dyDescent="0.4">
      <c r="A566" s="3">
        <v>45118</v>
      </c>
      <c r="B566" s="4" t="s">
        <v>83</v>
      </c>
      <c r="C566" s="4" t="s">
        <v>774</v>
      </c>
      <c r="D566" s="4">
        <v>9000</v>
      </c>
      <c r="E566" s="7">
        <f t="shared" si="76"/>
        <v>4082.328</v>
      </c>
      <c r="F566" s="7">
        <f t="shared" si="77"/>
        <v>4.0823280000000004</v>
      </c>
      <c r="G566" s="4">
        <v>11</v>
      </c>
      <c r="H566" s="4" t="s">
        <v>11</v>
      </c>
      <c r="I566" s="4" t="s">
        <v>19</v>
      </c>
      <c r="J566" s="5">
        <v>2700</v>
      </c>
      <c r="K566" s="5">
        <f t="shared" si="78"/>
        <v>0.66138732605513328</v>
      </c>
      <c r="L566" s="5">
        <f t="shared" si="79"/>
        <v>661.38732605513314</v>
      </c>
      <c r="M566" s="4"/>
    </row>
    <row r="567" spans="1:13" ht="15.9" x14ac:dyDescent="0.4">
      <c r="A567" s="3">
        <v>45118</v>
      </c>
      <c r="B567" s="4" t="s">
        <v>775</v>
      </c>
      <c r="C567" s="4" t="s">
        <v>776</v>
      </c>
      <c r="D567" s="4">
        <v>4231</v>
      </c>
      <c r="E567" s="7">
        <f t="shared" si="76"/>
        <v>1919.1477520000001</v>
      </c>
      <c r="F567" s="7">
        <f t="shared" si="77"/>
        <v>1.9191477520000002</v>
      </c>
      <c r="G567" s="4">
        <v>5</v>
      </c>
      <c r="H567" s="4" t="s">
        <v>35</v>
      </c>
      <c r="I567" s="4" t="s">
        <v>161</v>
      </c>
      <c r="J567" s="5">
        <v>583.59</v>
      </c>
      <c r="K567" s="5">
        <f t="shared" si="78"/>
        <v>0.30408810337391884</v>
      </c>
      <c r="L567" s="5">
        <f t="shared" si="79"/>
        <v>304.08810337391884</v>
      </c>
      <c r="M567" s="4"/>
    </row>
    <row r="568" spans="1:13" ht="15.9" x14ac:dyDescent="0.4">
      <c r="A568" s="3">
        <v>45118</v>
      </c>
      <c r="B568" s="4" t="s">
        <v>255</v>
      </c>
      <c r="C568" s="4" t="s">
        <v>777</v>
      </c>
      <c r="D568" s="4">
        <v>5880</v>
      </c>
      <c r="E568" s="7">
        <f t="shared" si="76"/>
        <v>2667.1209600000002</v>
      </c>
      <c r="F568" s="7">
        <f t="shared" si="77"/>
        <v>2.6671209600000001</v>
      </c>
      <c r="G568" s="4">
        <v>7</v>
      </c>
      <c r="H568" s="4" t="s">
        <v>35</v>
      </c>
      <c r="I568" s="4" t="s">
        <v>54</v>
      </c>
      <c r="J568" s="5">
        <v>700.7</v>
      </c>
      <c r="K568" s="5">
        <f t="shared" si="78"/>
        <v>0.26271774340523346</v>
      </c>
      <c r="L568" s="5">
        <f t="shared" si="79"/>
        <v>262.71774340523348</v>
      </c>
      <c r="M568" s="4"/>
    </row>
    <row r="569" spans="1:13" ht="15.9" x14ac:dyDescent="0.4">
      <c r="A569" s="3">
        <v>45118</v>
      </c>
      <c r="B569" s="4" t="s">
        <v>778</v>
      </c>
      <c r="C569" s="4" t="s">
        <v>779</v>
      </c>
      <c r="D569" s="4">
        <v>30120</v>
      </c>
      <c r="E569" s="7">
        <f t="shared" si="76"/>
        <v>13662.19104</v>
      </c>
      <c r="F569" s="7">
        <f t="shared" si="77"/>
        <v>13.66219104</v>
      </c>
      <c r="G569" s="4">
        <v>36</v>
      </c>
      <c r="H569" s="4" t="s">
        <v>756</v>
      </c>
      <c r="I569" s="4" t="s">
        <v>25</v>
      </c>
      <c r="J569" s="5">
        <v>5900</v>
      </c>
      <c r="K569" s="5">
        <f t="shared" si="78"/>
        <v>0.43184874100545445</v>
      </c>
      <c r="L569" s="5">
        <f t="shared" si="79"/>
        <v>431.84874100545443</v>
      </c>
      <c r="M569" s="4" t="s">
        <v>780</v>
      </c>
    </row>
    <row r="570" spans="1:13" ht="15.9" x14ac:dyDescent="0.4">
      <c r="A570" s="3">
        <v>45118</v>
      </c>
      <c r="B570" s="4" t="s">
        <v>781</v>
      </c>
      <c r="C570" s="4" t="s">
        <v>782</v>
      </c>
      <c r="D570" s="4">
        <v>3855</v>
      </c>
      <c r="E570" s="7">
        <f t="shared" si="76"/>
        <v>1748.59716</v>
      </c>
      <c r="F570" s="7">
        <f t="shared" si="77"/>
        <v>1.7485971600000001</v>
      </c>
      <c r="G570" s="4">
        <v>5</v>
      </c>
      <c r="H570" s="4" t="s">
        <v>35</v>
      </c>
      <c r="I570" s="4" t="s">
        <v>161</v>
      </c>
      <c r="J570" s="5">
        <v>1044.77</v>
      </c>
      <c r="K570" s="5">
        <f t="shared" si="78"/>
        <v>0.59749039052539687</v>
      </c>
      <c r="L570" s="5">
        <f t="shared" si="79"/>
        <v>597.49039052539695</v>
      </c>
      <c r="M570" s="4"/>
    </row>
    <row r="571" spans="1:13" ht="15.9" x14ac:dyDescent="0.4">
      <c r="A571" s="3">
        <v>45119</v>
      </c>
      <c r="B571" s="4" t="s">
        <v>536</v>
      </c>
      <c r="C571" s="4" t="s">
        <v>783</v>
      </c>
      <c r="D571" s="4">
        <v>28880</v>
      </c>
      <c r="E571" s="7">
        <f t="shared" si="76"/>
        <v>13099.73696</v>
      </c>
      <c r="F571" s="7">
        <f t="shared" si="77"/>
        <v>13.099736960000001</v>
      </c>
      <c r="G571" s="4">
        <v>40</v>
      </c>
      <c r="H571" s="4" t="s">
        <v>11</v>
      </c>
      <c r="I571" s="4" t="s">
        <v>19</v>
      </c>
      <c r="J571" s="5">
        <v>4250</v>
      </c>
      <c r="K571" s="5">
        <f t="shared" si="78"/>
        <v>0.32443399535252959</v>
      </c>
      <c r="L571" s="5">
        <f t="shared" si="79"/>
        <v>324.43399535252956</v>
      </c>
      <c r="M571" s="4"/>
    </row>
    <row r="572" spans="1:13" ht="15.9" x14ac:dyDescent="0.4">
      <c r="A572" s="3">
        <v>45119</v>
      </c>
      <c r="B572" s="4" t="s">
        <v>778</v>
      </c>
      <c r="C572" s="6" t="s">
        <v>784</v>
      </c>
      <c r="D572" s="4">
        <v>35948</v>
      </c>
      <c r="E572" s="7">
        <f t="shared" si="76"/>
        <v>16305.725216000001</v>
      </c>
      <c r="F572" s="7">
        <f t="shared" si="77"/>
        <v>16.305725216000003</v>
      </c>
      <c r="G572" s="4">
        <v>44</v>
      </c>
      <c r="H572" s="4" t="s">
        <v>756</v>
      </c>
      <c r="I572" s="4" t="s">
        <v>25</v>
      </c>
      <c r="J572" s="5">
        <v>5900</v>
      </c>
      <c r="K572" s="5">
        <f t="shared" si="78"/>
        <v>0.36183609878391809</v>
      </c>
      <c r="L572" s="5">
        <f t="shared" si="79"/>
        <v>361.83609878391803</v>
      </c>
      <c r="M572" s="4" t="s">
        <v>780</v>
      </c>
    </row>
    <row r="573" spans="1:13" ht="15.9" x14ac:dyDescent="0.4">
      <c r="A573" s="3">
        <v>45119</v>
      </c>
      <c r="B573" s="4" t="s">
        <v>268</v>
      </c>
      <c r="C573" s="4" t="s">
        <v>785</v>
      </c>
      <c r="D573" s="4">
        <v>22880</v>
      </c>
      <c r="E573" s="7">
        <f t="shared" si="76"/>
        <v>10378.184960000001</v>
      </c>
      <c r="F573" s="7">
        <f t="shared" si="77"/>
        <v>10.37818496</v>
      </c>
      <c r="G573" s="4">
        <v>26</v>
      </c>
      <c r="H573" s="4" t="s">
        <v>756</v>
      </c>
      <c r="I573" s="4" t="s">
        <v>648</v>
      </c>
      <c r="J573" s="5">
        <v>2300</v>
      </c>
      <c r="K573" s="5">
        <f t="shared" si="78"/>
        <v>0.22161871356742519</v>
      </c>
      <c r="L573" s="5">
        <f t="shared" si="79"/>
        <v>221.61871356742517</v>
      </c>
      <c r="M573" s="4"/>
    </row>
    <row r="574" spans="1:13" ht="15.9" x14ac:dyDescent="0.4">
      <c r="A574" s="3">
        <v>45119</v>
      </c>
      <c r="B574" s="4" t="s">
        <v>778</v>
      </c>
      <c r="C574" s="4" t="s">
        <v>786</v>
      </c>
      <c r="D574" s="4">
        <v>35948</v>
      </c>
      <c r="E574" s="7">
        <f t="shared" si="76"/>
        <v>16305.725216000001</v>
      </c>
      <c r="F574" s="7">
        <f t="shared" si="77"/>
        <v>16.305725216000003</v>
      </c>
      <c r="G574" s="4">
        <v>44</v>
      </c>
      <c r="H574" s="4" t="s">
        <v>756</v>
      </c>
      <c r="I574" s="4" t="s">
        <v>25</v>
      </c>
      <c r="J574" s="5">
        <v>5900</v>
      </c>
      <c r="K574" s="5">
        <f t="shared" si="78"/>
        <v>0.36183609878391809</v>
      </c>
      <c r="L574" s="5">
        <f t="shared" si="79"/>
        <v>361.83609878391803</v>
      </c>
      <c r="M574" s="4"/>
    </row>
    <row r="575" spans="1:13" ht="15.9" x14ac:dyDescent="0.4">
      <c r="A575" s="3">
        <v>45120</v>
      </c>
      <c r="B575" s="4" t="s">
        <v>787</v>
      </c>
      <c r="C575" s="4" t="s">
        <v>788</v>
      </c>
      <c r="D575" s="4">
        <v>2850</v>
      </c>
      <c r="E575" s="7">
        <f t="shared" si="76"/>
        <v>1292.7372</v>
      </c>
      <c r="F575" s="7">
        <f t="shared" si="77"/>
        <v>1.2927372000000001</v>
      </c>
      <c r="G575" s="4">
        <v>3</v>
      </c>
      <c r="H575" s="4" t="s">
        <v>35</v>
      </c>
      <c r="I575" s="4" t="s">
        <v>12</v>
      </c>
      <c r="J575" s="4"/>
      <c r="K575" s="5">
        <f t="shared" si="78"/>
        <v>0</v>
      </c>
      <c r="L575" s="5">
        <f t="shared" si="79"/>
        <v>0</v>
      </c>
      <c r="M575" s="4"/>
    </row>
    <row r="576" spans="1:13" ht="15.9" x14ac:dyDescent="0.4">
      <c r="A576" s="3">
        <v>45120</v>
      </c>
      <c r="B576" s="4" t="s">
        <v>749</v>
      </c>
      <c r="C576" s="4" t="s">
        <v>789</v>
      </c>
      <c r="D576" s="4">
        <v>10621</v>
      </c>
      <c r="E576" s="7">
        <f t="shared" si="76"/>
        <v>4817.6006319999997</v>
      </c>
      <c r="F576" s="7">
        <f t="shared" si="77"/>
        <v>4.8176006319999995</v>
      </c>
      <c r="G576" s="4">
        <v>13</v>
      </c>
      <c r="H576" s="4" t="s">
        <v>35</v>
      </c>
      <c r="I576" s="4" t="s">
        <v>16</v>
      </c>
      <c r="J576" s="5">
        <v>1616</v>
      </c>
      <c r="K576" s="5">
        <f t="shared" si="78"/>
        <v>0.33543668797824922</v>
      </c>
      <c r="L576" s="5">
        <f t="shared" si="79"/>
        <v>335.43668797824921</v>
      </c>
      <c r="M576" s="4"/>
    </row>
    <row r="577" spans="1:13" ht="15.9" x14ac:dyDescent="0.4">
      <c r="A577" s="3">
        <v>45120</v>
      </c>
      <c r="B577" s="4" t="s">
        <v>191</v>
      </c>
      <c r="C577" s="4" t="s">
        <v>790</v>
      </c>
      <c r="D577" s="4">
        <v>13232</v>
      </c>
      <c r="E577" s="7">
        <f t="shared" si="76"/>
        <v>6001.9293440000001</v>
      </c>
      <c r="F577" s="7">
        <f t="shared" si="77"/>
        <v>6.0019293440000006</v>
      </c>
      <c r="G577" s="4">
        <v>16</v>
      </c>
      <c r="H577" s="4" t="s">
        <v>35</v>
      </c>
      <c r="I577" s="4" t="s">
        <v>16</v>
      </c>
      <c r="J577" s="5">
        <v>1123</v>
      </c>
      <c r="K577" s="5">
        <f t="shared" si="78"/>
        <v>0.18710650119909175</v>
      </c>
      <c r="L577" s="5">
        <f t="shared" si="79"/>
        <v>187.10650119909175</v>
      </c>
      <c r="M577" s="4"/>
    </row>
    <row r="578" spans="1:13" ht="15.9" x14ac:dyDescent="0.4">
      <c r="A578" s="3">
        <v>45120</v>
      </c>
      <c r="B578" s="4" t="s">
        <v>791</v>
      </c>
      <c r="C578" s="4" t="s">
        <v>792</v>
      </c>
      <c r="D578" s="4">
        <v>12750</v>
      </c>
      <c r="E578" s="7">
        <f t="shared" si="76"/>
        <v>5783.2979999999998</v>
      </c>
      <c r="F578" s="7">
        <f t="shared" si="77"/>
        <v>5.7832980000000003</v>
      </c>
      <c r="G578" s="4">
        <v>14</v>
      </c>
      <c r="H578" s="4" t="s">
        <v>11</v>
      </c>
      <c r="I578" s="4" t="s">
        <v>19</v>
      </c>
      <c r="J578" s="5">
        <v>2085</v>
      </c>
      <c r="K578" s="5">
        <f t="shared" si="78"/>
        <v>0.36052093459475892</v>
      </c>
      <c r="L578" s="5">
        <f t="shared" si="79"/>
        <v>360.5209345947589</v>
      </c>
      <c r="M578" s="4"/>
    </row>
    <row r="579" spans="1:13" ht="15.9" x14ac:dyDescent="0.4">
      <c r="A579" s="3">
        <v>45120</v>
      </c>
      <c r="B579" s="4" t="s">
        <v>56</v>
      </c>
      <c r="C579" s="4" t="s">
        <v>793</v>
      </c>
      <c r="D579" s="4">
        <v>21531</v>
      </c>
      <c r="E579" s="7">
        <f t="shared" si="76"/>
        <v>9766.2893519999998</v>
      </c>
      <c r="F579" s="7">
        <f t="shared" si="77"/>
        <v>9.7662893519999994</v>
      </c>
      <c r="G579" s="4">
        <v>27</v>
      </c>
      <c r="H579" s="4" t="s">
        <v>756</v>
      </c>
      <c r="I579" s="4" t="s">
        <v>648</v>
      </c>
      <c r="J579" s="5">
        <v>1700</v>
      </c>
      <c r="K579" s="5">
        <f t="shared" si="78"/>
        <v>0.17406815820502633</v>
      </c>
      <c r="L579" s="5">
        <f t="shared" si="79"/>
        <v>174.06815820502632</v>
      </c>
      <c r="M579" s="4"/>
    </row>
    <row r="580" spans="1:13" ht="15.9" x14ac:dyDescent="0.4">
      <c r="A580" s="3">
        <v>45120</v>
      </c>
      <c r="B580" s="4" t="s">
        <v>56</v>
      </c>
      <c r="C580" s="4" t="s">
        <v>794</v>
      </c>
      <c r="D580" s="4">
        <v>36960</v>
      </c>
      <c r="E580" s="7">
        <f t="shared" si="76"/>
        <v>16764.760320000001</v>
      </c>
      <c r="F580" s="7">
        <f t="shared" si="77"/>
        <v>16.764760320000001</v>
      </c>
      <c r="G580" s="4">
        <v>44</v>
      </c>
      <c r="H580" s="4" t="s">
        <v>756</v>
      </c>
      <c r="I580" s="4" t="s">
        <v>648</v>
      </c>
      <c r="J580" s="5">
        <v>1700</v>
      </c>
      <c r="K580" s="5">
        <f t="shared" si="78"/>
        <v>0.10140317949979495</v>
      </c>
      <c r="L580" s="5">
        <f t="shared" si="79"/>
        <v>101.40317949979496</v>
      </c>
      <c r="M580" s="4"/>
    </row>
    <row r="581" spans="1:13" ht="15.9" x14ac:dyDescent="0.4">
      <c r="A581" s="3">
        <v>45120</v>
      </c>
      <c r="B581" s="4" t="s">
        <v>795</v>
      </c>
      <c r="C581" s="4" t="s">
        <v>796</v>
      </c>
      <c r="D581" s="4">
        <v>39216</v>
      </c>
      <c r="E581" s="7">
        <f t="shared" si="76"/>
        <v>17788.063871999999</v>
      </c>
      <c r="F581" s="7">
        <f t="shared" si="77"/>
        <v>17.788063871999999</v>
      </c>
      <c r="G581" s="4">
        <v>48</v>
      </c>
      <c r="H581" s="4" t="s">
        <v>11</v>
      </c>
      <c r="I581" s="4" t="s">
        <v>19</v>
      </c>
      <c r="J581" s="5">
        <v>2050</v>
      </c>
      <c r="K581" s="5">
        <f t="shared" si="78"/>
        <v>0.11524581959855018</v>
      </c>
      <c r="L581" s="5">
        <f t="shared" si="79"/>
        <v>115.24581959855018</v>
      </c>
      <c r="M581" s="4"/>
    </row>
    <row r="582" spans="1:13" ht="15.9" x14ac:dyDescent="0.4">
      <c r="A582" s="3">
        <v>45121</v>
      </c>
      <c r="B582" s="4" t="s">
        <v>797</v>
      </c>
      <c r="C582" s="4" t="s">
        <v>798</v>
      </c>
      <c r="D582" s="4">
        <v>36388</v>
      </c>
      <c r="E582" s="7">
        <f t="shared" si="76"/>
        <v>16505.305695999999</v>
      </c>
      <c r="F582" s="7">
        <f t="shared" si="77"/>
        <v>16.505305696000001</v>
      </c>
      <c r="G582" s="4">
        <v>44</v>
      </c>
      <c r="H582" s="4" t="s">
        <v>11</v>
      </c>
      <c r="I582" s="4" t="s">
        <v>19</v>
      </c>
      <c r="J582" s="5">
        <v>4620</v>
      </c>
      <c r="K582" s="5">
        <f t="shared" si="78"/>
        <v>0.27990999288911322</v>
      </c>
      <c r="L582" s="5">
        <f t="shared" si="79"/>
        <v>279.9099928891132</v>
      </c>
      <c r="M582" s="4"/>
    </row>
    <row r="583" spans="1:13" ht="15.9" x14ac:dyDescent="0.4">
      <c r="A583" s="3">
        <v>45121</v>
      </c>
      <c r="B583" s="4" t="s">
        <v>146</v>
      </c>
      <c r="C583" s="4" t="s">
        <v>799</v>
      </c>
      <c r="D583" s="4">
        <v>36380</v>
      </c>
      <c r="E583" s="7">
        <f t="shared" si="76"/>
        <v>16501.676960000001</v>
      </c>
      <c r="F583" s="7">
        <f t="shared" si="77"/>
        <v>16.501676960000001</v>
      </c>
      <c r="G583" s="4">
        <v>44</v>
      </c>
      <c r="H583" s="4" t="s">
        <v>756</v>
      </c>
      <c r="I583" s="4" t="s">
        <v>25</v>
      </c>
      <c r="J583" s="5">
        <v>4650</v>
      </c>
      <c r="K583" s="5">
        <f t="shared" si="78"/>
        <v>0.28178954243690391</v>
      </c>
      <c r="L583" s="5">
        <f t="shared" si="79"/>
        <v>281.7895424369039</v>
      </c>
      <c r="M583" s="4"/>
    </row>
    <row r="584" spans="1:13" ht="15.9" x14ac:dyDescent="0.4">
      <c r="A584" s="3">
        <v>45121</v>
      </c>
      <c r="B584" s="4" t="s">
        <v>146</v>
      </c>
      <c r="C584" s="4" t="s">
        <v>800</v>
      </c>
      <c r="D584" s="4">
        <v>13760</v>
      </c>
      <c r="E584" s="7">
        <f t="shared" si="76"/>
        <v>6241.4259199999997</v>
      </c>
      <c r="F584" s="7">
        <f t="shared" si="77"/>
        <v>6.2414259200000002</v>
      </c>
      <c r="G584" s="4">
        <v>16</v>
      </c>
      <c r="H584" s="4" t="s">
        <v>35</v>
      </c>
      <c r="I584" s="4" t="s">
        <v>16</v>
      </c>
      <c r="J584" s="5">
        <v>2745</v>
      </c>
      <c r="K584" s="5">
        <f t="shared" si="78"/>
        <v>0.43980334545090621</v>
      </c>
      <c r="L584" s="5">
        <f t="shared" si="79"/>
        <v>439.80334545090619</v>
      </c>
      <c r="M584" s="4"/>
    </row>
    <row r="585" spans="1:13" ht="15.9" x14ac:dyDescent="0.4">
      <c r="A585" s="3">
        <v>45124</v>
      </c>
      <c r="B585" s="4" t="s">
        <v>797</v>
      </c>
      <c r="C585" s="4" t="s">
        <v>801</v>
      </c>
      <c r="D585" s="4">
        <v>36388</v>
      </c>
      <c r="E585" s="7">
        <f t="shared" si="76"/>
        <v>16505.305695999999</v>
      </c>
      <c r="F585" s="7">
        <f t="shared" si="77"/>
        <v>16.505305696000001</v>
      </c>
      <c r="G585" s="4">
        <v>44</v>
      </c>
      <c r="H585" s="4" t="s">
        <v>11</v>
      </c>
      <c r="I585" s="4" t="s">
        <v>19</v>
      </c>
      <c r="J585" s="5">
        <v>4620</v>
      </c>
      <c r="K585" s="5">
        <f t="shared" si="78"/>
        <v>0.27990999288911322</v>
      </c>
      <c r="L585" s="5">
        <f t="shared" si="79"/>
        <v>279.9099928891132</v>
      </c>
      <c r="M585" s="4"/>
    </row>
    <row r="586" spans="1:13" ht="15.9" x14ac:dyDescent="0.4">
      <c r="A586" s="3">
        <v>45124</v>
      </c>
      <c r="B586" s="4" t="s">
        <v>778</v>
      </c>
      <c r="C586" s="4" t="s">
        <v>802</v>
      </c>
      <c r="D586" s="4">
        <v>41800</v>
      </c>
      <c r="E586" s="7">
        <f t="shared" si="76"/>
        <v>18960.1456</v>
      </c>
      <c r="F586" s="7">
        <f t="shared" si="77"/>
        <v>18.960145600000001</v>
      </c>
      <c r="G586" s="4">
        <v>44</v>
      </c>
      <c r="H586" s="4" t="s">
        <v>756</v>
      </c>
      <c r="I586" s="4" t="s">
        <v>25</v>
      </c>
      <c r="J586" s="5">
        <v>5900</v>
      </c>
      <c r="K586" s="5">
        <f t="shared" si="78"/>
        <v>0.31117904495416954</v>
      </c>
      <c r="L586" s="5">
        <f t="shared" si="79"/>
        <v>311.17904495416951</v>
      </c>
      <c r="M586" s="4"/>
    </row>
    <row r="587" spans="1:13" ht="15.9" x14ac:dyDescent="0.4">
      <c r="A587" s="3">
        <v>45124</v>
      </c>
      <c r="B587" s="4" t="s">
        <v>778</v>
      </c>
      <c r="C587" s="4" t="s">
        <v>803</v>
      </c>
      <c r="D587" s="4">
        <v>43560</v>
      </c>
      <c r="E587" s="7">
        <f t="shared" si="76"/>
        <v>19758.467519999998</v>
      </c>
      <c r="F587" s="7">
        <f t="shared" si="77"/>
        <v>19.75846752</v>
      </c>
      <c r="G587" s="4">
        <v>44</v>
      </c>
      <c r="H587" s="4" t="s">
        <v>756</v>
      </c>
      <c r="I587" s="4" t="s">
        <v>25</v>
      </c>
      <c r="J587" s="5">
        <v>5900</v>
      </c>
      <c r="K587" s="5">
        <f t="shared" si="78"/>
        <v>0.29860615424895059</v>
      </c>
      <c r="L587" s="5">
        <f t="shared" si="79"/>
        <v>298.60615424895059</v>
      </c>
      <c r="M587" s="4"/>
    </row>
    <row r="588" spans="1:13" ht="15.9" x14ac:dyDescent="0.4">
      <c r="A588" s="3">
        <v>45124</v>
      </c>
      <c r="B588" s="4" t="s">
        <v>797</v>
      </c>
      <c r="C588" s="4" t="s">
        <v>804</v>
      </c>
      <c r="D588" s="4">
        <v>36388</v>
      </c>
      <c r="E588" s="7">
        <f t="shared" si="76"/>
        <v>16505.305695999999</v>
      </c>
      <c r="F588" s="7">
        <f t="shared" si="77"/>
        <v>16.505305696000001</v>
      </c>
      <c r="G588" s="4">
        <v>44</v>
      </c>
      <c r="H588" s="4" t="s">
        <v>11</v>
      </c>
      <c r="I588" s="4" t="s">
        <v>19</v>
      </c>
      <c r="J588" s="5">
        <v>4620</v>
      </c>
      <c r="K588" s="5">
        <f t="shared" si="78"/>
        <v>0.27990999288911322</v>
      </c>
      <c r="L588" s="5">
        <f t="shared" si="79"/>
        <v>279.9099928891132</v>
      </c>
      <c r="M588" s="4"/>
    </row>
    <row r="589" spans="1:13" ht="15.9" x14ac:dyDescent="0.4">
      <c r="A589" s="3">
        <v>45124</v>
      </c>
      <c r="B589" s="4" t="s">
        <v>424</v>
      </c>
      <c r="C589" s="4" t="s">
        <v>805</v>
      </c>
      <c r="D589" s="4">
        <v>23973</v>
      </c>
      <c r="E589" s="7">
        <f t="shared" si="76"/>
        <v>10873.961015999999</v>
      </c>
      <c r="F589" s="7">
        <f t="shared" si="77"/>
        <v>10.873961015999999</v>
      </c>
      <c r="G589" s="4">
        <v>30</v>
      </c>
      <c r="H589" s="4" t="s">
        <v>756</v>
      </c>
      <c r="I589" s="4" t="s">
        <v>648</v>
      </c>
      <c r="J589" s="5">
        <v>2200</v>
      </c>
      <c r="K589" s="5">
        <f t="shared" si="78"/>
        <v>0.20231817980245739</v>
      </c>
      <c r="L589" s="5">
        <f t="shared" si="79"/>
        <v>202.31817980245739</v>
      </c>
      <c r="M589" s="4"/>
    </row>
    <row r="590" spans="1:13" ht="15.9" x14ac:dyDescent="0.4">
      <c r="A590" s="3">
        <v>45124</v>
      </c>
      <c r="B590" s="4" t="s">
        <v>168</v>
      </c>
      <c r="C590" s="4" t="s">
        <v>806</v>
      </c>
      <c r="D590" s="4">
        <v>11508</v>
      </c>
      <c r="E590" s="7">
        <f t="shared" si="76"/>
        <v>5219.9367359999997</v>
      </c>
      <c r="F590" s="7">
        <f t="shared" si="77"/>
        <v>5.2199367360000002</v>
      </c>
      <c r="G590" s="4">
        <v>14</v>
      </c>
      <c r="H590" s="4" t="s">
        <v>35</v>
      </c>
      <c r="I590" s="4" t="s">
        <v>16</v>
      </c>
      <c r="J590" s="5">
        <v>1638</v>
      </c>
      <c r="K590" s="5">
        <f t="shared" si="78"/>
        <v>0.31379690652250852</v>
      </c>
      <c r="L590" s="5">
        <f t="shared" si="79"/>
        <v>313.79690652250844</v>
      </c>
      <c r="M590" s="4"/>
    </row>
    <row r="591" spans="1:13" ht="15.9" x14ac:dyDescent="0.4">
      <c r="A591" s="3">
        <v>45124</v>
      </c>
      <c r="B591" s="4" t="s">
        <v>778</v>
      </c>
      <c r="C591" s="4" t="s">
        <v>807</v>
      </c>
      <c r="D591" s="4">
        <v>2850</v>
      </c>
      <c r="E591" s="7">
        <f t="shared" si="76"/>
        <v>1292.7372</v>
      </c>
      <c r="F591" s="7">
        <f t="shared" si="77"/>
        <v>1.2927372000000001</v>
      </c>
      <c r="G591" s="4">
        <v>3</v>
      </c>
      <c r="H591" s="4" t="s">
        <v>35</v>
      </c>
      <c r="I591" s="4" t="s">
        <v>161</v>
      </c>
      <c r="J591" s="5">
        <v>726.38</v>
      </c>
      <c r="K591" s="5">
        <f t="shared" si="78"/>
        <v>0.56189301274845338</v>
      </c>
      <c r="L591" s="5">
        <f t="shared" si="79"/>
        <v>561.89301274845332</v>
      </c>
      <c r="M591" s="4"/>
    </row>
    <row r="592" spans="1:13" ht="15.9" x14ac:dyDescent="0.4">
      <c r="A592" s="3">
        <v>45124</v>
      </c>
      <c r="B592" s="4" t="s">
        <v>175</v>
      </c>
      <c r="C592" s="4" t="s">
        <v>808</v>
      </c>
      <c r="D592" s="4">
        <v>150</v>
      </c>
      <c r="E592" s="7">
        <f t="shared" si="76"/>
        <v>68.038799999999995</v>
      </c>
      <c r="F592" s="7">
        <f t="shared" si="77"/>
        <v>6.8038799999999997E-2</v>
      </c>
      <c r="G592" s="4">
        <v>1</v>
      </c>
      <c r="H592" s="4" t="s">
        <v>35</v>
      </c>
      <c r="I592" s="4" t="s">
        <v>161</v>
      </c>
      <c r="J592" s="5">
        <v>280.8</v>
      </c>
      <c r="K592" s="5">
        <f t="shared" si="78"/>
        <v>4.1270569145840321</v>
      </c>
      <c r="L592" s="5">
        <f t="shared" si="79"/>
        <v>4127.0569145840318</v>
      </c>
      <c r="M592" s="4"/>
    </row>
    <row r="593" spans="1:13" ht="15.9" x14ac:dyDescent="0.4">
      <c r="A593" s="3">
        <v>45124</v>
      </c>
      <c r="B593" s="4" t="s">
        <v>809</v>
      </c>
      <c r="C593" s="4" t="s">
        <v>810</v>
      </c>
      <c r="D593" s="4">
        <v>510</v>
      </c>
      <c r="E593" s="7">
        <f t="shared" si="76"/>
        <v>231.33192</v>
      </c>
      <c r="F593" s="7">
        <f t="shared" si="77"/>
        <v>0.23133192</v>
      </c>
      <c r="G593" s="4">
        <v>1</v>
      </c>
      <c r="H593" s="4" t="s">
        <v>35</v>
      </c>
      <c r="I593" s="4" t="s">
        <v>161</v>
      </c>
      <c r="J593" s="5">
        <v>333.92</v>
      </c>
      <c r="K593" s="5">
        <f t="shared" si="78"/>
        <v>1.4434670321328764</v>
      </c>
      <c r="L593" s="5">
        <f t="shared" si="79"/>
        <v>1443.4670321328765</v>
      </c>
      <c r="M593" s="4"/>
    </row>
    <row r="594" spans="1:13" ht="15.9" x14ac:dyDescent="0.4">
      <c r="A594" s="3">
        <v>45124</v>
      </c>
      <c r="B594" s="4" t="s">
        <v>501</v>
      </c>
      <c r="C594" s="4" t="s">
        <v>811</v>
      </c>
      <c r="D594" s="4">
        <v>4600</v>
      </c>
      <c r="E594" s="7">
        <f t="shared" si="76"/>
        <v>2086.5232000000001</v>
      </c>
      <c r="F594" s="7">
        <f t="shared" si="77"/>
        <v>2.0865232000000002</v>
      </c>
      <c r="G594" s="4">
        <v>5</v>
      </c>
      <c r="H594" s="4" t="s">
        <v>11</v>
      </c>
      <c r="I594" s="4" t="s">
        <v>19</v>
      </c>
      <c r="J594" s="5">
        <v>525</v>
      </c>
      <c r="K594" s="5">
        <f t="shared" si="78"/>
        <v>0.25161474360793112</v>
      </c>
      <c r="L594" s="5">
        <f t="shared" si="79"/>
        <v>251.6147436079311</v>
      </c>
      <c r="M594" s="4"/>
    </row>
  </sheetData>
  <autoFilter ref="A1:M345" xr:uid="{1230A85E-FCE8-4FDF-93F3-D0DA499FFB7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Jan 2025</vt:lpstr>
      <vt:lpstr>Feb 2025</vt:lpstr>
      <vt:lpstr>March 2025</vt:lpstr>
      <vt:lpstr>April 2025</vt:lpstr>
      <vt:lpstr>May 2025</vt:lpstr>
      <vt:lpstr>June 2025</vt:lpstr>
      <vt:lpstr>July 2025</vt:lpstr>
      <vt:lpstr>Aug 2025</vt:lpstr>
      <vt:lpstr>Sept 2025</vt:lpstr>
      <vt:lpstr>Oct 2025</vt:lpstr>
      <vt:lpstr>Nov 2025</vt:lpstr>
      <vt:lpstr>Dec 2025</vt:lpstr>
      <vt:lpstr>Sheet1</vt:lpstr>
      <vt:lpstr>Sheet2</vt:lpstr>
      <vt:lpstr>Full Year</vt:lpstr>
    </vt:vector>
  </TitlesOfParts>
  <Company>Seves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Johnson</dc:creator>
  <cp:lastModifiedBy>REAMS, Liz</cp:lastModifiedBy>
  <cp:lastPrinted>2025-03-19T12:06:43Z</cp:lastPrinted>
  <dcterms:created xsi:type="dcterms:W3CDTF">2023-01-04T15:20:03Z</dcterms:created>
  <dcterms:modified xsi:type="dcterms:W3CDTF">2026-01-05T13:39:25Z</dcterms:modified>
</cp:coreProperties>
</file>